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DieseArbeitsmappe"/>
  <mc:AlternateContent xmlns:mc="http://schemas.openxmlformats.org/markup-compatibility/2006">
    <mc:Choice Requires="x15">
      <x15ac:absPath xmlns:x15ac="http://schemas.microsoft.com/office/spreadsheetml/2010/11/ac" url="https://talanx-my.sharepoint.com/personal/254891_hdi_de/Documents/Regressionstest classic/"/>
    </mc:Choice>
  </mc:AlternateContent>
  <xr:revisionPtr revIDLastSave="490" documentId="8_{3E909327-86A9-4B83-B858-2A7DF966EAFC}" xr6:coauthVersionLast="47" xr6:coauthVersionMax="47" xr10:uidLastSave="{0FD1E2D5-FF2E-4EFF-AB73-7ECEB4430278}"/>
  <bookViews>
    <workbookView xWindow="-110" yWindow="-110" windowWidth="19420" windowHeight="11500" tabRatio="770" xr2:uid="{00000000-000D-0000-FFFF-FFFF00000000}"/>
  </bookViews>
  <sheets>
    <sheet name="Makro_Checker" sheetId="38" r:id="rId1"/>
    <sheet name="Input" sheetId="8" state="veryHidden" r:id="rId2"/>
    <sheet name="Dev_Sheet" sheetId="39" state="veryHidden" r:id="rId3"/>
    <sheet name="Algorithm" sheetId="14" state="veryHidden" r:id="rId4"/>
    <sheet name="Parameter" sheetId="12" state="veryHidden" r:id="rId5"/>
    <sheet name="Error Correction" sheetId="28" state="veryHidden" r:id="rId6"/>
    <sheet name="Storage_Input" sheetId="33" state="veryHidden" r:id="rId7"/>
    <sheet name="Storage_Algorithm" sheetId="34" state="veryHidden" r:id="rId8"/>
    <sheet name="Storage_Parameters" sheetId="35" state="veryHidden" r:id="rId9"/>
    <sheet name="Local_Policies" sheetId="36" state="veryHidden" r:id="rId10"/>
    <sheet name="LoPo_Algorithm" sheetId="37" state="veryHidden" r:id="rId11"/>
    <sheet name="Output" sheetId="5" state="veryHidden" r:id="rId12"/>
    <sheet name="References" sheetId="11" state="veryHidden" r:id="rId13"/>
    <sheet name="MidMarket_Texts" sheetId="27" state="veryHidden" r:id="rId14"/>
    <sheet name="Type of Goods" sheetId="26" state="veryHidden" r:id="rId15"/>
    <sheet name="Geographical Scope" sheetId="22" state="veryHidden" r:id="rId16"/>
    <sheet name="ARGOS Data" sheetId="20" state="veryHidden" r:id="rId17"/>
    <sheet name="Info" sheetId="16" state="veryHidden" r:id="rId18"/>
    <sheet name="Anleitung" sheetId="17" state="veryHidden" r:id="rId19"/>
    <sheet name="Notes" sheetId="4" state="veryHidden" r:id="rId20"/>
    <sheet name="Type of Goods Back" sheetId="21" state="veryHidden" r:id="rId21"/>
    <sheet name="Language" sheetId="24" state="veryHidden" r:id="rId22"/>
    <sheet name="UWWB" sheetId="32" state="veryHidden" r:id="rId23"/>
    <sheet name="Infos_for_UWWB" sheetId="31" state="veryHidden" r:id="rId24"/>
    <sheet name="Programm Structure" sheetId="30" state="veryHidden" r:id="rId25"/>
    <sheet name="Basic Values" sheetId="29" state="veryHidden" r:id="rId26"/>
  </sheets>
  <functionGroups builtInGroupCount="19"/>
  <definedNames>
    <definedName name="\geographicalScope_Input">'Geographical Scope'!$B$1</definedName>
    <definedName name="\language_countries_sorted">Language!$D$41</definedName>
    <definedName name="\language_english">Language!$A$16:$S$27</definedName>
    <definedName name="\language_german">Language!$A$2:$S$13</definedName>
    <definedName name="\language_offset">Language!$B$37</definedName>
    <definedName name="\language_subcontinent">Language!$B$41</definedName>
    <definedName name="\language_typeofgoods_Class1_backend">Language!$G$31</definedName>
    <definedName name="\language_typeofgoods_Class2_backend">Language!$G$32</definedName>
    <definedName name="\language_typeofgoods_Class3_backend">Language!$G$33</definedName>
    <definedName name="\language_typeofgoods_ClassAll_backend">Language!$G$31:$G$33</definedName>
    <definedName name="\language_typeofgoods_SClass1_backend">Language!$H$31</definedName>
    <definedName name="\language_typeofgoods_SClass2_backend">Language!$H$32</definedName>
    <definedName name="\language_typeofgoods_SClass3_backend">Language!$H$33</definedName>
    <definedName name="\language_typeofgoods_SClassAll_backend">Language!$H$31:$H$33</definedName>
    <definedName name="\parameter_ambition_margin">Parameter!$B$38</definedName>
    <definedName name="\parameter_aussteuerungLossRatio">Parameter!$B$45</definedName>
    <definedName name="\parameter_baseexposure_transport">Parameter!$B$20</definedName>
    <definedName name="\parameter_basisvaluation">Parameter!$BY$5:$CD$9</definedName>
    <definedName name="\parameter_central_expenses">Parameter!$B$40</definedName>
    <definedName name="\parameter_coc_ivc_ri">Parameter!$B$41</definedName>
    <definedName name="\parameter_constant_severitymodel">Parameter!$B$21</definedName>
    <definedName name="\parameter_constant_storagelosses">Parameter!$B$35</definedName>
    <definedName name="\parameter_constant2_severitymodel">Parameter!$B$31</definedName>
    <definedName name="\parameter_countmodel_dispersion">Parameter!$B$9</definedName>
    <definedName name="\parameter_countmodel_intercept">Parameter!$B$5</definedName>
    <definedName name="\parameter_countmodel_turnover">Parameter!$B$6</definedName>
    <definedName name="\parameter_decentral_expenses">Parameter!$B$39</definedName>
    <definedName name="\parameter_fxrates">Parameter!$D$5:$G$144</definedName>
    <definedName name="\parameter_geoscope_countrynames">Parameter!$CS$5:$CU$201</definedName>
    <definedName name="\parameter_geoscope_int_int">Parameter!$BJ$5:$BR$230</definedName>
    <definedName name="\parameter_geoscope_int_int_header">Parameter!$BJ$3:$BR$3</definedName>
    <definedName name="\parameter_geoscope_int_names">Parameter!$CL$5:$CM$20</definedName>
    <definedName name="\parameter_goods">Parameter!$X$5:$AH$57</definedName>
    <definedName name="\parameter_industry">Parameter!$I$5:$P$93</definedName>
    <definedName name="\parameter_inflation">Parameter!$B$44</definedName>
    <definedName name="\parameter_ip">Parameter!$R$5:$V$6</definedName>
    <definedName name="\parameter_language_offsets">Parameter!$CO$5:$CQ$6</definedName>
    <definedName name="\parameter_limitLoss_RP">Parameter!$B$53</definedName>
    <definedName name="\parameter_ll_frequencymean">Parameter!$B$29</definedName>
    <definedName name="\parameter_ll_GPD_shape">Parameter!$B$32</definedName>
    <definedName name="\parameter_ll_LN_Dispersion">Parameter!$B$33</definedName>
    <definedName name="\parameter_ll_severitymean">Parameter!$B$30</definedName>
    <definedName name="\parameter_llconstant_countmodel">Parameter!$B$29</definedName>
    <definedName name="\parameter_LLLALR">Parameter!$B$37</definedName>
    <definedName name="\parameter_llthreshold1_transport">Parameter!$B$28</definedName>
    <definedName name="\parameter_MidMarketChanges_MinMaxValues">Parameter!$CW$5:$CZ$6</definedName>
    <definedName name="\parameter_MidMarketChanges_TransportationType">Parameter!$AQ$5:$AS$8</definedName>
    <definedName name="\parameter_MidMarketChanges_typeofCover2PreDefined">Parameter!$DB$5:$DI$65</definedName>
    <definedName name="\parameter_packagingtype">Parameter!$AU$5:$AY$10</definedName>
    <definedName name="\parameter_premiumPerLocalPolicy_EUR">Parameter!$B$47</definedName>
    <definedName name="\parameter_producingRegionalOffice">Parameter!$DO$5:$DP$8</definedName>
    <definedName name="\parameter_RI_expenses">Parameter!#REF!</definedName>
    <definedName name="\parameter_riskcountry">Parameter!$BA$5:$BH$189</definedName>
    <definedName name="\parameter_storage_transports_days">Parameter!$CF$5:$CJ$95</definedName>
    <definedName name="\parameter_targetALR">Parameter!$B$36</definedName>
    <definedName name="\parameter_transportationtype">Parameter!$AJ$5:$AP$8</definedName>
    <definedName name="\parameter_useBCLLL">Parameter!$B$59</definedName>
    <definedName name="\parameter_war_strike">Parameter!$BT$5:$BW$72</definedName>
    <definedName name="\parameter_zerohurdle_intercept">Parameter!$B$7</definedName>
    <definedName name="\parameter_zerohurdle_turnover">Parameter!$B$8</definedName>
    <definedName name="\paramhelper_StorageTableNatCatColumn">Storage_Input!$R$2</definedName>
    <definedName name="\paramhelper_StorageTableStartColumn">Storage_Input!$B$2</definedName>
    <definedName name="\reference_absoluterelative">References!$M$35:$M$36</definedName>
    <definedName name="\reference_Allgemeine_Gebrauchsgueter">References!$P$4:$P$4</definedName>
    <definedName name="\reference_Andere_vegetabile_Gueter">References!$Q$4</definedName>
    <definedName name="\reference_Anlagenbau">References!$R$4:$R$7</definedName>
    <definedName name="\reference_Automobilbau">References!$S$4:$S$14</definedName>
    <definedName name="\reference_Baustoffe_Bauelemente">References!$T$4:$T$7</definedName>
    <definedName name="\reference_branch">References!$K$25:$K$55</definedName>
    <definedName name="\reference_Bulkgueter_fest">References!$U$4:$U$8</definedName>
    <definedName name="\reference_Bulkgueter_fluessig">References!$V$4:$V$7</definedName>
    <definedName name="\reference_Bulkgueter_gasfoermig">References!$W$4:$W$5</definedName>
    <definedName name="\reference_commercialAdjustment_minMax">References!$O$28:$O$29</definedName>
    <definedName name="\reference_covertype">References!$K$7:$K$8</definedName>
    <definedName name="\reference_covertype_midmarket">References!$K$4</definedName>
    <definedName name="\reference_covertype1_DropDown">References!$O$32</definedName>
    <definedName name="\reference_covertype2_DropDown">References!$O$22</definedName>
    <definedName name="\reference_covertype2_MidMarket">References!$K$17:$K$22</definedName>
    <definedName name="\reference_covertype2_nonMidMarket">References!$K$11:$K$14</definedName>
    <definedName name="\reference_currency_code">References!$A$4:$A$144</definedName>
    <definedName name="\reference_currency_longname">References!$B$4:$B$144</definedName>
    <definedName name="\reference_Elektronik_EDV">References!$Y$4:$Y$5</definedName>
    <definedName name="\reference_Elektrotechnik_Schaltschraenke_etc">References!$Z$4:$Z$5</definedName>
    <definedName name="\reference_Feinmechanik_Optik">References!$AA$4:$AA$6</definedName>
    <definedName name="\reference_industry_longname">References!$E$4:$E$91</definedName>
    <definedName name="\reference_Kabel_Seile_Seekabel_Tragseile_fuer_Bruecken_S">References!$AH$4</definedName>
    <definedName name="\reference_language">References!$M$39:$M$40</definedName>
    <definedName name="\reference_Maschinen_und_Anlagenbau">References!$AB$4</definedName>
    <definedName name="\reference_Militaerisches_Material_Wehrtechnik_Schusswaff">References!$AC$4:$AC$6</definedName>
    <definedName name="\reference_Papier_Druckerzeugnisse">References!$AD$4</definedName>
    <definedName name="\reference_Pharma_Medizin_Kosmetik_Lebensmittel">References!$X$4:$X$8</definedName>
    <definedName name="\reference_purchaseshipment">References!$M$13:$M$14</definedName>
    <definedName name="\reference_region">References!$M$17:$M$32</definedName>
    <definedName name="\reference_regionalOffice">References!$M$46</definedName>
    <definedName name="\reference_regionalOffice_preSplit">References!$M$43</definedName>
    <definedName name="\reference_riskcountry_name">References!$G$4:$G$188</definedName>
    <definedName name="\reference_Schiffs_Luft_Schienenbau_Fahrzeuge_excl_Automo">References!$AE$4</definedName>
    <definedName name="\reference_Status">References!$M$8:$M$10</definedName>
    <definedName name="\reference_technicalAdjustment_transit_reasons">References!$M$55:$M$58</definedName>
    <definedName name="\reference_Technische_Komponenten">References!$AF$4</definedName>
    <definedName name="\reference_Textilien_Leder_Bekleidung_Schuhe">References!$AG$4</definedName>
    <definedName name="\reference_transportationtype">Parameter!$AQ$5:$AQ$8</definedName>
    <definedName name="\reference_typeofgoods1">References!$P$3:$AH$3</definedName>
    <definedName name="\reference_typeofparticipation_DropDown">References!$O$25</definedName>
    <definedName name="\reference_typeofparticipation_MidMarket">References!$K$63</definedName>
    <definedName name="\reference_typeofparticipation_nonMidMarket">References!$K$58:$K$60</definedName>
    <definedName name="\reference_warstrikecountry_name">References!$I$4:$I$71</definedName>
    <definedName name="\reference_YesNo">References!$M$4:$M$5</definedName>
    <definedName name="\selected_additional_deductible_Cyber">Input!$E$65</definedName>
    <definedName name="\selected_additional_deductible_Gueterfolge">Input!$E$58</definedName>
    <definedName name="\selected_additional_deductible_Krieg">Input!$E$60</definedName>
    <definedName name="\selected_additional_deductible_Luggage">Input!$E$64</definedName>
    <definedName name="\selected_additional_deductible_Messen">Input!$E$57</definedName>
    <definedName name="\selected_additional_deductible_Pandemic">Input!$E$66</definedName>
    <definedName name="\selected_additional_deductible_Streik">Input!$E$62</definedName>
    <definedName name="\selected_additional_deductible_Vermoegen">Input!$E$59</definedName>
    <definedName name="\selected_additional_deductibleAggregat_Cyber">Input!$H$65</definedName>
    <definedName name="\selected_additional_deductibleAggregat_Gueterfolge">Input!$H$58</definedName>
    <definedName name="\selected_additional_deductibleAggregat_Krieg">Input!$H$60</definedName>
    <definedName name="\selected_additional_deductibleAggregat_Luggage">Input!$H$64</definedName>
    <definedName name="\selected_additional_deductibleAggregat_Messen">Input!$H$57</definedName>
    <definedName name="\selected_additional_deductibleAggregat_Pandemic">Input!$H$66</definedName>
    <definedName name="\selected_additional_deductibleAggregat_Streik">Input!$H$62</definedName>
    <definedName name="\selected_additional_deductibleAggregat_Vermoegen">Input!$H$59</definedName>
    <definedName name="\selected_additional_deductibleMax_Cyber">Input!$G$65</definedName>
    <definedName name="\selected_additional_deductibleMax_Gueterfolge">Input!$G$58</definedName>
    <definedName name="\selected_additional_deductibleMax_Krieg">Input!$G$60</definedName>
    <definedName name="\selected_additional_deductibleMax_Luggage">Input!$G$64</definedName>
    <definedName name="\selected_additional_deductibleMax_Messen">Input!$G$57</definedName>
    <definedName name="\selected_additional_deductibleMax_Pandemic">Input!$G$66</definedName>
    <definedName name="\selected_additional_deductibleMax_Streik">Input!$G$62</definedName>
    <definedName name="\selected_additional_deductibleMax_Vermoegen">Input!$G$59</definedName>
    <definedName name="\selected_additional_deductibleProp_Cyber">Input!$F$65</definedName>
    <definedName name="\selected_additional_deductibleProp_Gueterfolge">Input!$F$58</definedName>
    <definedName name="\selected_additional_deductibleProp_Krieg">Input!$F$60</definedName>
    <definedName name="\selected_additional_deductibleProp_Luggage">Input!$F$64</definedName>
    <definedName name="\selected_additional_deductibleProp_Messen">Input!$F$57</definedName>
    <definedName name="\selected_additional_deductibleProp_Pandemic">Input!$F$66</definedName>
    <definedName name="\selected_additional_deductibleProp_Streik">Input!$F$62</definedName>
    <definedName name="\selected_additional_deductibleProp_Vermoegen">Input!$F$59</definedName>
    <definedName name="\selected_additional_limit_Cyber">Input!$C$65</definedName>
    <definedName name="\selected_additional_limit_Gueterfolge">Input!$C$58</definedName>
    <definedName name="\selected_additional_limit_Krieg">Input!$C$60</definedName>
    <definedName name="\selected_additional_limit_Luggage">Input!$C$64</definedName>
    <definedName name="\selected_additional_limit_Messen">Input!$C$57</definedName>
    <definedName name="\selected_additional_limit_Pandemic">Input!$C$66</definedName>
    <definedName name="\selected_additional_limit_Streik">Input!$C$62</definedName>
    <definedName name="\selected_additional_limit_Vermoegen">Input!$C$59</definedName>
    <definedName name="\selected_additional_YesNo_Cyber">Input!$A$65</definedName>
    <definedName name="\selected_additional_YesNo_Gueterfolge">Input!$A$58</definedName>
    <definedName name="\selected_additional_YesNo_Krieg">Input!$A$60</definedName>
    <definedName name="\selected_additional_YesNo_Luggage">Input!$A$64</definedName>
    <definedName name="\selected_additional_YesNo_Messen">Input!$A$57</definedName>
    <definedName name="\selected_additional_YesNo_Pandemic">Input!$A$66</definedName>
    <definedName name="\selected_additional_YesNo_Streik">Input!$A$62</definedName>
    <definedName name="\selected_additional_YesNo_Vermoegen">Input!$A$59</definedName>
    <definedName name="\selected_conditions_deductible_Air">Input!$E$51</definedName>
    <definedName name="\selected_conditions_deductible_General">Input!$E$47</definedName>
    <definedName name="\selected_conditions_deductible_Land">Input!$E$48</definedName>
    <definedName name="\selected_conditions_deductible_Rail">Input!$E$49</definedName>
    <definedName name="\selected_conditions_deductible_Sea">Input!$E$50</definedName>
    <definedName name="\selected_conditions_deductible_temperatureContr">Input!$E$52</definedName>
    <definedName name="\selected_conditions_deductibleAggregat_Air">Input!$H$51</definedName>
    <definedName name="\selected_conditions_deductibleAggregat_General">Input!$H$47</definedName>
    <definedName name="\selected_conditions_deductibleAggregat_Land">Input!$H$48</definedName>
    <definedName name="\selected_conditions_deductibleAggregat_Rail">Input!$H$49</definedName>
    <definedName name="\selected_conditions_deductibleAggregat_Sea">Input!$H$50</definedName>
    <definedName name="\selected_conditions_deductibleAggregat_temperatureContr">Input!$H$52</definedName>
    <definedName name="\selected_conditions_deductibleMax_Air">Input!$G$51</definedName>
    <definedName name="\selected_conditions_deductibleMax_General">Input!$G$47</definedName>
    <definedName name="\selected_conditions_deductibleMax_Land">Input!$G$48</definedName>
    <definedName name="\selected_conditions_deductibleMax_Rail">Input!$G$49</definedName>
    <definedName name="\selected_conditions_deductibleMax_Sea">Input!$G$50</definedName>
    <definedName name="\selected_conditions_deductibleMax_temperatureContr">Input!$G$52</definedName>
    <definedName name="\selected_conditions_deductibleProp_Air">Input!$F$51</definedName>
    <definedName name="\selected_conditions_deductibleProp_General">Input!$F$47</definedName>
    <definedName name="\selected_conditions_deductibleProp_Land">Input!$F$48</definedName>
    <definedName name="\selected_conditions_deductibleProp_Rail">Input!$F$49</definedName>
    <definedName name="\selected_conditions_deductibleProp_Sea">Input!$F$50</definedName>
    <definedName name="\selected_conditions_deductibleProp_temperatureContr">Input!$F$52</definedName>
    <definedName name="\selected_conditions_limit_Air">Input!$C$51</definedName>
    <definedName name="\selected_conditions_limit_General">Input!$C$47</definedName>
    <definedName name="\selected_conditions_limit_Land">Input!$C$48</definedName>
    <definedName name="\selected_conditions_limit_Rail">Input!$C$49</definedName>
    <definedName name="\selected_conditions_limit_Sea">Input!$C$50</definedName>
    <definedName name="\selected_conditions_limit_temperatureContr">Input!$C$52</definedName>
    <definedName name="\selected_country1_Krieg">Input!$C$61</definedName>
    <definedName name="\selected_country1_Streik">Input!$C$63</definedName>
    <definedName name="\selected_currency">Input!$C$6</definedName>
    <definedName name="\selected_deductible_transportationtype">Input!$E$48:$E$51</definedName>
    <definedName name="\selected_deductiblemax_transportationtype">Input!$G$48:$G$51</definedName>
    <definedName name="\selected_deductibleprop_transportationtype">Input!$F$48:$F$51</definedName>
    <definedName name="\selected_expectedprofit">Input!$C$43</definedName>
    <definedName name="\selected_geoscope_international">Input!$E$31</definedName>
    <definedName name="\selected_geoscope_national">Input!$C$31</definedName>
    <definedName name="\selected_industry">Input!$C$8</definedName>
    <definedName name="\selected_ip_numberLocalPolicies">Input!$J$5</definedName>
    <definedName name="\selected_ipflag">Input!$J$4</definedName>
    <definedName name="\selected_limit_transportationtype">Input!$C$48:$C$51</definedName>
    <definedName name="\selected_limitdays_storage_transport">Input!$C$53</definedName>
    <definedName name="\selected_lossratio">Input!$C$73</definedName>
    <definedName name="\selected_MidMarketNewBusiness">Input!$C$7</definedName>
    <definedName name="\selected_partner">Input!$C$3</definedName>
    <definedName name="\selected_partnerID">Input!$C$4</definedName>
    <definedName name="\selected_riskcountry">Input!$C$5</definedName>
    <definedName name="\selected_subsidiariesflag">Input!$J$6</definedName>
    <definedName name="\selected_transportationtype_Air">Input!$C$29</definedName>
    <definedName name="\selected_transportationtype_Land">Input!$C$26</definedName>
    <definedName name="\selected_transportationtype_perc">Input!$C$26:$C$29</definedName>
    <definedName name="\selected_transportationtype_Sea">Input!$C$27</definedName>
    <definedName name="\selected_turnover_cargo">Input!$C$12</definedName>
    <definedName name="\selected_turnover_shipped">Input!$C$11</definedName>
    <definedName name="\selected_turnover_total">Input!$C$13</definedName>
    <definedName name="\selected_typeofcover1">Input!$I$7</definedName>
    <definedName name="\selected_typeofcover2">Input!$I$8</definedName>
    <definedName name="\selected_typeofgoods_Class1">Input!$H$11</definedName>
    <definedName name="\selected_typeofgoods_Class1_Split">Input!$L$11</definedName>
    <definedName name="\selected_typeofgoods_Class2">Input!$H$15</definedName>
    <definedName name="\selected_typeofgoods_Class2_Split">Input!$L$15</definedName>
    <definedName name="\selected_typeofgoods_Class3">Input!$H$19</definedName>
    <definedName name="\selected_typeofgoods_Class3_Split">Input!$L$19</definedName>
    <definedName name="\selected_typeofgoods_SClass1">Input!$H$12</definedName>
    <definedName name="\selected_typeofgoods_SClass2">Input!$H$16</definedName>
    <definedName name="\selected_typeofgoods_SClass3">Input!$H$20</definedName>
    <definedName name="\selected_typeofgoods_TClass1">Input!$H$13</definedName>
    <definedName name="\selected_typeofgoods_TClass2">Input!$H$17</definedName>
    <definedName name="\selected_typeofgoods_TClass3">Input!$H$21</definedName>
    <definedName name="\selected_typeofgoods_ThClass1">Input!$H$14</definedName>
    <definedName name="\selected_typeofgoods_ThClass2">Input!$H$18</definedName>
    <definedName name="\selected_typeofgoods_ThClass3">Input!$H$22</definedName>
    <definedName name="\selected_typeofparticipation">Input!$J$3</definedName>
    <definedName name="\showHide_GeoScope_Detail">Input!$35:$41</definedName>
    <definedName name="\showHide_MidMarket_1">Input!$A$14:$A$29</definedName>
    <definedName name="\showHide_MidMarket_2">Input!$A$32:$A$43</definedName>
    <definedName name="\showHide_MidMarket_3">Input!$A$48:$A$52</definedName>
    <definedName name="\showHide_MidMarket_Output_1">Output!$7:$57</definedName>
    <definedName name="\showHide_MidMarket_Output_2">Output!$59:$80</definedName>
    <definedName name="\showHide_TransportationType">Input!$26:$29</definedName>
    <definedName name="\storageCalc_typeOfGoods_totalFactor">Storage_Algorithm!$G$2</definedName>
    <definedName name="\storageCalc_typeOfGoods_totalShare">Storage_Algorithm!$F$2</definedName>
    <definedName name="\storageCalc_typeOfGoodsNr">Storage_Algorithm!$A$2</definedName>
    <definedName name="\storageInput_Deductible_FixedAmount">Storage_Input!$AA$2</definedName>
    <definedName name="\storageInput_Deductible_Max">Storage_Input!$AD$2</definedName>
    <definedName name="\storageInput_Deductible_Min">Storage_Input!$AC$2</definedName>
    <definedName name="\storageInput_Deductible_PercentageAmount">Storage_Input!$AB$2</definedName>
    <definedName name="\storageInput_Deductible_Type">Storage_Input!$Z$2</definedName>
    <definedName name="\storageInput_NatCat_YLT_Gross">Storage_Input!$AP:$AP</definedName>
    <definedName name="\storageInput_TypeOfGoods_Top">Storage_Input!$W$2</definedName>
    <definedName name="\storageInput_TypeOfGoodsCount">Storage_Input!$T$2</definedName>
    <definedName name="\storageInput_TypeOfGoodsShare_Top">Storage_Input!$X$2</definedName>
    <definedName name="\storageParams_Alpha">Storage_Parameters!$B$3</definedName>
    <definedName name="\storageParams_BaseRate">Storage_Parameters!$B$2</definedName>
    <definedName name="\storageParams_ColumnCount">Storage_Parameters!$P$2</definedName>
    <definedName name="\storageParams_DeductibleTypes">Storage_Parameters!$G$2:$G$4</definedName>
    <definedName name="\storageParams_Import_ARGOSexportv3_ColumnIndex">Storage_Parameters!$AA$2:$AA$78</definedName>
    <definedName name="\storageParams_Import_ARGOSexportv3_ColumnNames">Storage_Parameters!$Z$2:$Z$78</definedName>
    <definedName name="\storageParams_Import_ARGOSexportv3_HeaderRow">Storage_Parameters!$AB$2</definedName>
    <definedName name="\storageParams_Import_ARGOSexportv3_SheetName">Storage_Parameters!$AC$2</definedName>
    <definedName name="\storageParams_Import_ARGOSexportv4_ColumnIndex">Storage_Parameters!$AE$2:$AE$81</definedName>
    <definedName name="\storageParams_Import_ARGOSexportv4_ColumnNames">Storage_Parameters!$AD$2:$AD$81</definedName>
    <definedName name="\storageParams_Import_ARGOSexportv4_HeaderRow">Storage_Parameters!$AF$2</definedName>
    <definedName name="\storageParams_Import_ARGOSexportv4_SheetName">Storage_Parameters!$AG$2</definedName>
    <definedName name="\storageParams_Import_ARGOSImport_ColumnIndex">Storage_Parameters!$W$2:$W$17</definedName>
    <definedName name="\storageParams_Import_ARGOSImport_ColumnNames">Storage_Parameters!$V$2:$V$17</definedName>
    <definedName name="\storageParams_Import_ARGOSImport_HeaderRow">Storage_Parameters!$X$2</definedName>
    <definedName name="\storageParams_Import_ARGOSImport_SheetName">Storage_Parameters!$Y$2</definedName>
    <definedName name="\storageParams_Import_MarineDB_ColumnIndex">Storage_Parameters!$S$2:$S$16</definedName>
    <definedName name="\storageParams_Import_MarineDB_ColumnNames">Storage_Parameters!$R$2:$R$16</definedName>
    <definedName name="\storageParams_Import_MarineDB_HeaderRow">Storage_Parameters!$T$2</definedName>
    <definedName name="\storageParams_Import_MarineDB_SheetName">Storage_Parameters!$U$2</definedName>
    <definedName name="\storageParams_Import_Types">Storage_Parameters!$Q$2:$Q$5</definedName>
    <definedName name="\storageParams_LimitQuantile">Storage_Parameters!$B$6</definedName>
    <definedName name="\storageParams_NatCat_NrYears">Storage_Parameters!$N$2</definedName>
    <definedName name="\storageParams_ReturnPeriodLimit">Storage_Parameters!$B$5</definedName>
    <definedName name="\storageParams_ReturnPeriodThreshold">Storage_Parameters!$B$7</definedName>
    <definedName name="\storageParams_technicalAdjustments_combinedReason_lowerBound">Storage_Parameters!$L$4</definedName>
    <definedName name="\storageParams_technicalAdjustments_combinedReason_upperBound">Storage_Parameters!$L$5</definedName>
    <definedName name="\storageParams_technicalAdjustments_Reasons">Storage_Parameters!$J$2:$J$6</definedName>
    <definedName name="\storageParams_technicalAdjustments_singleReason_lowerBound">Storage_Parameters!$L$2</definedName>
    <definedName name="\storageParams_technicalAdjustments_singleReason_upperBound">Storage_Parameters!$L$3</definedName>
    <definedName name="\storageParams_ThresholdFactor">Storage_Parameters!$B$4</definedName>
    <definedName name="\storageParams_typeOfGoods">Storage_Parameters!$D$2:$E$18</definedName>
    <definedName name="_xlnm._FilterDatabase" localSheetId="3" hidden="1">Algorithm!$A$1:$B$788</definedName>
    <definedName name="_xlnm._FilterDatabase" localSheetId="18" hidden="1">Anleitung!$A$1:$D$4</definedName>
    <definedName name="_xlnm._FilterDatabase" localSheetId="16" hidden="1">'ARGOS Data'!$A$1:$BX$1</definedName>
    <definedName name="_xlnm._FilterDatabase" localSheetId="25" hidden="1">'Basic Values'!$A$1:$J$1</definedName>
    <definedName name="_xlnm._FilterDatabase" localSheetId="17" hidden="1">Info!$A$1:$F$27</definedName>
    <definedName name="_xlnm._FilterDatabase" localSheetId="1" hidden="1">Input!$A$64:$C$66</definedName>
    <definedName name="_xlnm._FilterDatabase" localSheetId="4" hidden="1">Parameter!$D$4:$G$144</definedName>
    <definedName name="_xlnm._FilterDatabase" localSheetId="6" hidden="1">Storage_Input!$B$2:$R$52</definedName>
    <definedName name="_xleta.CONCAT" hidden="1" xlm="1">#NAME?</definedName>
    <definedName name="_xleta.ERROR.TYPE" hidden="1" xlm="1">#NAME?</definedName>
    <definedName name="_xleta.LEFT" hidden="1" xlm="1">#NAME?</definedName>
    <definedName name="_xleta.MID" hidden="1" xlm="1">#NAME?</definedName>
    <definedName name="_xleta.N" hidden="1" xlm="1">#NAME?</definedName>
    <definedName name="_xleta.NOT" hidden="1" xlm="1">#NAME?</definedName>
    <definedName name="_xleta.RIGHT" hidden="1" xlm="1">#NAME?</definedName>
    <definedName name="_xleta.ROW" hidden="1" xlm="1">#NAME?</definedName>
    <definedName name="_xleta.ROWS" hidden="1" xlm="1">#NAME?</definedName>
    <definedName name="_xleta.SEQUENCE" hidden="1" xlm="1">#NAME?</definedName>
    <definedName name="_xleta.SUM" hidden="1" xlm="1">#NAME?</definedName>
    <definedName name="_xleta.T" hidden="1" xlm="1">#NAME?</definedName>
    <definedName name="_xleta.VALUE" hidden="1" xlm="1">#NAME?</definedName>
    <definedName name="_xlpm.\selected_branch" hidden="1" xlm="1">#NAME?</definedName>
    <definedName name="_xlpm.curr" hidden="1" xlm="1">#NAME?</definedName>
    <definedName name="_xlpm.data" hidden="1" xlm="1">#NAME?</definedName>
    <definedName name="_xlpm.diff" hidden="1" xlm="1">#NAME?</definedName>
    <definedName name="_xlpm.left" hidden="1" xlm="1">#NAME?</definedName>
    <definedName name="_xlpm.lowerBound" hidden="1" xlm="1">#NAME?</definedName>
    <definedName name="_xlpm.M" hidden="1" xlm="1">#NAME?</definedName>
    <definedName name="_xlpm.MA" hidden="1" xlm="1">#NAME?</definedName>
    <definedName name="_xlpm.MAX" hidden="1" xlm="1">#NAME?</definedName>
    <definedName name="_xlpm.mid" hidden="1" xlm="1">#NAME?</definedName>
    <definedName name="_xlpm.midleft" hidden="1" xlm="1">#NAME?</definedName>
    <definedName name="_xlpm.mileft" hidden="1" xlm="1">#NAME?</definedName>
    <definedName name="_xlpm.min_premium" hidden="1" xlm="1">#NAME?</definedName>
    <definedName name="_xlpm.mleft" hidden="1" xlm="1">#NAME?</definedName>
    <definedName name="_xlpm.p" hidden="1" xlm="1">#NAME?</definedName>
    <definedName name="_xlpm.pc" hidden="1" xlm="1">#NAME?</definedName>
    <definedName name="_xlpm.pct" hidden="1" xlm="1">#NAME?</definedName>
    <definedName name="_xlpm.prev" hidden="1" xlm="1">#NAME?</definedName>
    <definedName name="_xlpm.producing_offices" hidden="1" xlm="1">#NAME?</definedName>
    <definedName name="_xlpm.reduced_premium" hidden="1" xlm="1">#NAME?</definedName>
    <definedName name="_xlpm.regional_offices" hidden="1" xlm="1">#NAME?</definedName>
    <definedName name="_xlpm.right" hidden="1" xlm="1">#NAME?</definedName>
    <definedName name="_xlpm.subStr" hidden="1" xlm="1">#NAME?</definedName>
    <definedName name="_xlpm.subStrL" hidden="1" xlm="1">#NAME?</definedName>
    <definedName name="_xlpm.subStrLe" hidden="1" xlm="1">#NAME?</definedName>
    <definedName name="_xlpm.subStrLen" hidden="1" xlm="1">#NAME?</definedName>
    <definedName name="_xlpm.table" hidden="1" xlm="1">#NAME?</definedName>
    <definedName name="_xlpm.threshold_absolute" hidden="1" xlm="1">#NAME?</definedName>
    <definedName name="_xlpm.to_based_premium" hidden="1" xlm="1">#NAME?</definedName>
    <definedName name="_xlpm.turnover" hidden="1" xlm="1">#NAME?</definedName>
    <definedName name="_xlpm.upperBound" hidden="1" xlm="1">#NAME?</definedName>
    <definedName name="_xlpm.v" hidden="1" xlm="1">#NAME?</definedName>
    <definedName name="_xlpm.va" hidden="1" xlm="1">#NAME?</definedName>
    <definedName name="_xlpm.val" hidden="1" xlm="1">#NAME?</definedName>
    <definedName name="_xlpm.valu" hidden="1" xlm="1">#NAME?</definedName>
    <definedName name="_xlpm.value" hidden="1" xlm="1">#NAME?</definedName>
    <definedName name="_xlpm.values" hidden="1" xlm="1">#NAME?</definedName>
    <definedName name="Additional_YesNo">Input!$A$57:$A$66</definedName>
    <definedName name="AVG_VALUE_ORIG_L">'ARGOS Data'!$O:$O</definedName>
    <definedName name="calc_additional_costs">Algorithm!$C$716</definedName>
    <definedName name="calc_additionalcostsflag">Algorithm!$G$716</definedName>
    <definedName name="calc_alr_brokerage">Algorithm!$C$813</definedName>
    <definedName name="calc_alr_expenses">Algorithm!$C$811</definedName>
    <definedName name="calc_alr_premium">Algorithm!#REF!</definedName>
    <definedName name="calc_alr_vola">Algorithm!$C$807</definedName>
    <definedName name="calc_brokerage">Algorithm!$C$721</definedName>
    <definedName name="calc_brokerageflag">Algorithm!$G$721</definedName>
    <definedName name="calc_central_expenses">Algorithm!$C$713</definedName>
    <definedName name="calc_central_expenses_ELC">Algorithm!$F$714:$F$715</definedName>
    <definedName name="calc_coc_ivc_ri">Algorithm!$C$715</definedName>
    <definedName name="calc_coverageflag_storage">Algorithm!$C$658</definedName>
    <definedName name="calc_coverageflag_transport">Algorithm!$C$17</definedName>
    <definedName name="calc_currency_code">Algorithm!$C$9</definedName>
    <definedName name="calc_decentral_expenses">Algorithm!$C$712</definedName>
    <definedName name="calc_decentral_expenses_ELC">Algorithm!$F$712:$F$713</definedName>
    <definedName name="calc_deductible_general">Algorithm!$H$127</definedName>
    <definedName name="calc_deductible_general_EUR">Algorithm!$I$127</definedName>
    <definedName name="calc_deductible_notspecified_temperaturecontrolled">Algorithm!$L$135</definedName>
    <definedName name="calc_deductible_notspecified_transportationtype">Algorithm!$L$130:$L$133</definedName>
    <definedName name="calc_deductible_temperaturecontrolled">Algorithm!$H$135</definedName>
    <definedName name="calc_deductible_temperaturecontrolled_EUR">Algorithm!$I$135</definedName>
    <definedName name="calc_deductible_transportationtype">Algorithm!$H$130:$H$133</definedName>
    <definedName name="calc_deductibleagg_general">Algorithm!$M$127</definedName>
    <definedName name="calc_deductibleagg_general_EUR">Algorithm!$N$127</definedName>
    <definedName name="calc_deductibleagg_transportationtype">Algorithm!$M$130:$M$133</definedName>
    <definedName name="calc_deductibleagg_transportationtype_EUR">Algorithm!$N$130:$N$133</definedName>
    <definedName name="calc_deductiblemax_general">Algorithm!$J$127</definedName>
    <definedName name="calc_deductiblemax_general_EUR">Algorithm!$K$127</definedName>
    <definedName name="calc_deductiblemax_temperaturecontrolled">Algorithm!$J$135</definedName>
    <definedName name="calc_deductiblemax_temperaturecontrolled_EUR">Algorithm!$K$135</definedName>
    <definedName name="calc_deductiblemax_transportationtype">Algorithm!$J$130:$J$133</definedName>
    <definedName name="calc_deductiblemax_transportationtype_EUR">Algorithm!$K$130:$K$133</definedName>
    <definedName name="calc_deductiblemin_transportationtype_EUR">Algorithm!$I$130:$I$133</definedName>
    <definedName name="calc_deductibleprop_general">Algorithm!$G$127</definedName>
    <definedName name="calc_deductibleprop_temperaturecontrolled">Algorithm!$G$135</definedName>
    <definedName name="calc_deductibleprop_transportationtype">Algorithm!$G$130:$G$133</definedName>
    <definedName name="calc_expected_loss_polCur">Algorithm!$N$760</definedName>
    <definedName name="calc_expectedloss_EUR">Algorithm!$F$760</definedName>
    <definedName name="calc_expectedprofit">Algorithm!$L$40</definedName>
    <definedName name="calc_exposure_transport_total">Algorithm!$G$26</definedName>
    <definedName name="calc_exposure_transport_total_EUR">Algorithm!$G$27</definedName>
    <definedName name="calc_fxrate">Algorithm!$C$10</definedName>
    <definedName name="calc_geoscope">Algorithm!$G$34:$G$121</definedName>
    <definedName name="calc_geoscope_int_adjlllosscount">Algorithm!$C$395:$C$475</definedName>
    <definedName name="calc_geoscope_int_adjlllosscount_hashtag">Algorithm!$C$395</definedName>
    <definedName name="calc_geoscope_int_adjllseverity">Algorithm!$K$395:$K$475</definedName>
    <definedName name="calc_geoscope_int_adjllseverity_hashtag">Algorithm!$K$395</definedName>
    <definedName name="calc_geoscope_int_adjlosscount">Algorithm!$C$169:$C$249</definedName>
    <definedName name="calc_geoscope_int_adjlosscount_hashtag">Algorithm!$C$169</definedName>
    <definedName name="calc_geoscope_int_adjseverity">Algorithm!$K$169:$K$249</definedName>
    <definedName name="calc_geoscope_int_adjseverity_hashtag">Algorithm!$K$169</definedName>
    <definedName name="calc_geoscope_int_adjuwadjustment_hashtag">Algorithm!#REF!</definedName>
    <definedName name="calc_geoscope_int_int_charges_hashtag">Algorithm!$I$35</definedName>
    <definedName name="calc_geoscope_int_int_hashtag">Algorithm!$G$35</definedName>
    <definedName name="calc_geoscope_int_int_perc_hashtag">Algorithm!$H$35</definedName>
    <definedName name="calc_geoscope_int_nat">Algorithm!$G$34</definedName>
    <definedName name="calc_geoscope_int_nat_perc">Algorithm!$H$34</definedName>
    <definedName name="calc_geoscope_int_perc">Algorithm!$H$34:$H$121</definedName>
    <definedName name="calc_geoscope_nat">Algorithm!$G$34</definedName>
    <definedName name="calc_goods_code">Algorithm!$B$34:$B$36</definedName>
    <definedName name="calc_goods_code_perc">Algorithm!$C$34:$C$36</definedName>
    <definedName name="calc_goods_temperature">Algorithm!$D$39:$D$41</definedName>
    <definedName name="calc_goods_theft">Algorithm!$C$39:$C$41</definedName>
    <definedName name="calc_industry_code">Algorithm!$G$10</definedName>
    <definedName name="calc_inputrelevant_temperaturecontrolled">Algorithm!$O$135</definedName>
    <definedName name="calc_ipflag">Algorithm!$G$11</definedName>
    <definedName name="calc_leading_fee">Algorithm!$C$717</definedName>
    <definedName name="calc_leadingfeeflag">Algorithm!$G$717</definedName>
    <definedName name="calc_limit_general">Algorithm!$C$127</definedName>
    <definedName name="calc_limit_general_EUR">Algorithm!$D$127</definedName>
    <definedName name="calc_limit_temperaturecontrolled">Algorithm!$C$135</definedName>
    <definedName name="calc_limit_temperaturecontrolled_EUR">Algorithm!$D$135</definedName>
    <definedName name="calc_limit_transportationtype">Algorithm!$C$130:$C$133</definedName>
    <definedName name="calc_limit_transportationtype_EUR">Algorithm!$D$130:$D$133</definedName>
    <definedName name="calc_limitdays_storage_transport">Algorithm!$C$137</definedName>
    <definedName name="calc_llloss">Algorithm!$C$526</definedName>
    <definedName name="calc_llloss_base">Algorithm!$C$512</definedName>
    <definedName name="calc_llloss_modelled">Algorithm!$C$524</definedName>
    <definedName name="calc_lllosscount_adjbasisvaluation">Algorithm!$G$477</definedName>
    <definedName name="calc_lllosscount_adjexposure">Algorithm!$G$378</definedName>
    <definedName name="calc_lllosscount_adjgeoscope">Algorithm!$G$395</definedName>
    <definedName name="calc_lllosscount_adjgeoscope_MidMarket">Algorithm!$G$394</definedName>
    <definedName name="calc_lllosscount_adjgoods">Algorithm!$G$383</definedName>
    <definedName name="calc_lllosscount_adjgoods_singlegoods">Algorithm!$C$383:$C$385</definedName>
    <definedName name="calc_lllosscount_adjindustry">Algorithm!$G$376</definedName>
    <definedName name="calc_lllosscount_adjip">Algorithm!$G$377</definedName>
    <definedName name="calc_lllosscount_adjlimit">Algorithm!$G$505</definedName>
    <definedName name="calc_lllosscount_adjpackagingtype">Algorithm!$G$392</definedName>
    <definedName name="calc_lllosscount_adjretention">Algorithm!$G$507</definedName>
    <definedName name="calc_lllosscount_adjtransportationtype">Algorithm!$G$388</definedName>
    <definedName name="calc_lllosscount_base">Algorithm!$G$374</definedName>
    <definedName name="calc_lllosscount_modelled">Algorithm!$G$380</definedName>
    <definedName name="calc_llseverity_adjbasisvaluation">Algorithm!$O$477</definedName>
    <definedName name="calc_llseverity_adjexposure">Algorithm!$O$378</definedName>
    <definedName name="calc_llseverity_adjgeoscope">Algorithm!$O$395</definedName>
    <definedName name="calc_llseverity_adjgeoscope_MidMarket">Algorithm!$O$394</definedName>
    <definedName name="calc_llseverity_adjgoods">Algorithm!$O$383</definedName>
    <definedName name="calc_llseverity_adjgoods_singlegoods">Algorithm!$K$383:$K$385</definedName>
    <definedName name="calc_llseverity_adjindustry">Algorithm!$O$376</definedName>
    <definedName name="calc_llseverity_adjip">Algorithm!$O$377</definedName>
    <definedName name="calc_llseverity_adjlimit">Algorithm!$O$505</definedName>
    <definedName name="calc_llseverity_adjpackagingtype">Algorithm!$O$392</definedName>
    <definedName name="calc_llseverity_adjretention">Algorithm!$O$507</definedName>
    <definedName name="calc_llseverity_adjtransportationtype">Algorithm!$O$388</definedName>
    <definedName name="calc_llseverity_base">Algorithm!$O$374</definedName>
    <definedName name="calc_llseverity_modelled">Algorithm!$O$380</definedName>
    <definedName name="calc_llsim_frequencymean">Algorithm!$G$484</definedName>
    <definedName name="calc_llthreshold1_transport">Algorithm!$C$550</definedName>
    <definedName name="calc_llthreshold1_transport_polcurr">Algorithm!$C$729</definedName>
    <definedName name="calc_loss">Algorithm!$H$367</definedName>
    <definedName name="calc_loss_base">Algorithm!$C$352</definedName>
    <definedName name="calc_loss_modelled">Algorithm!$C$365</definedName>
    <definedName name="calc_losscount_AAD">Algorithm!$G$282</definedName>
    <definedName name="calc_losscount_adjbasisvaluation">Algorithm!$G$251</definedName>
    <definedName name="calc_losscount_adjexposure">Algorithm!$G$152</definedName>
    <definedName name="calc_losscount_adjgeoscope">Algorithm!$G$169</definedName>
    <definedName name="calc_losscount_adjgeoscope_MidMarket">Algorithm!$G$168</definedName>
    <definedName name="calc_losscount_adjgoods">Algorithm!$G$157</definedName>
    <definedName name="calc_losscount_adjgoods_singlegoods">Algorithm!$C$157:$C$159</definedName>
    <definedName name="calc_losscount_adjindustry">Algorithm!$G$150</definedName>
    <definedName name="calc_losscount_adjip">Algorithm!$G$151</definedName>
    <definedName name="calc_losscount_adjlimit">Algorithm!$G$255</definedName>
    <definedName name="calc_losscount_adjpackagingtype">Algorithm!$G$166</definedName>
    <definedName name="calc_losscount_adjretention">Algorithm!$G$272</definedName>
    <definedName name="calc_losscount_adjtransportationtype">Algorithm!$G$162</definedName>
    <definedName name="calc_losscount_adjtransportationtype_MidMarket">Algorithm!$G$161</definedName>
    <definedName name="calc_losscount_base">Algorithm!$G$143</definedName>
    <definedName name="calc_losscount_base2">Algorithm!$G$144</definedName>
    <definedName name="calc_losscount_glmresult">Algorithm!$G$148</definedName>
    <definedName name="calc_losscount_inverselogit">Algorithm!$G$146</definedName>
    <definedName name="calc_losscount_modelled">Algorithm!$G$154</definedName>
    <definedName name="calc_midmarket">Algorithm!$C$12</definedName>
    <definedName name="calc_packagingtype_adjlllosscount">Algorithm!$C$392:$C$392</definedName>
    <definedName name="calc_packagingtype_adjllseverity">Algorithm!$K$392:$K$392</definedName>
    <definedName name="calc_packagingtype_adjlosscount">Algorithm!$C$166:$C$166</definedName>
    <definedName name="calc_packagingtype_adjseverity">Algorithm!$K$166:$K$166</definedName>
    <definedName name="calc_pareto_shape_sim">Algorithm!$H$484</definedName>
    <definedName name="calc_retention_adjseverity_temperaturecontrolled">Algorithm!$M$276</definedName>
    <definedName name="calc_retention_adjseverity_transportationtype">Algorithm!$K$272:$K$275</definedName>
    <definedName name="calc_retention_minvalue1_temperaturecontrolled">Algorithm!$J$269</definedName>
    <definedName name="calc_retention_minvalue1_transportationtype">Algorithm!$J$265:$J$268</definedName>
    <definedName name="calc_retention_minvalue2_temperaturecontrolled">Algorithm!$K$269</definedName>
    <definedName name="calc_retention_minvalue2_transportationtype">Algorithm!$K$265:$K$268</definedName>
    <definedName name="calc_retention_mvalue_temperaturecontrolled">Algorithm!$L$269</definedName>
    <definedName name="calc_retention_mvalue_transportationtype">Algorithm!$L$265:$L$268</definedName>
    <definedName name="calc_RI_expenses">Algorithm!$C$714</definedName>
    <definedName name="calc_riskcountry_adjlllosscount">Algorithm!$C$394</definedName>
    <definedName name="calc_riskcountry_adjllseverity">Algorithm!$K$394</definedName>
    <definedName name="calc_riskcountry_adjlosscount">Algorithm!$C$168</definedName>
    <definedName name="calc_riskcountry_adjseverity">Algorithm!$K$168</definedName>
    <definedName name="calc_riskcountry_adjuwadjustment">Algorithm!$C$596</definedName>
    <definedName name="calc_riskcountry_code">Algorithm!$G$9</definedName>
    <definedName name="calc_riskpremium_EUR">Algorithm!$F$764</definedName>
    <definedName name="calc_riskpremium_polCur">Algorithm!$N$764</definedName>
    <definedName name="calc_severity_aad_AAD">Algorithm!$K$284</definedName>
    <definedName name="calc_severity_adjbasisvaluation">Algorithm!$O$251</definedName>
    <definedName name="calc_severity_adjexposure">Algorithm!$O$152</definedName>
    <definedName name="calc_severity_adjgeoscope">Algorithm!$O$169</definedName>
    <definedName name="calc_severity_adjgeoscope_MidMarket">Algorithm!$O$168</definedName>
    <definedName name="calc_severity_adjgoods">Algorithm!$O$157</definedName>
    <definedName name="calc_severity_adjgoods_singlegoods">Algorithm!$K$157:$K$159</definedName>
    <definedName name="calc_severity_adjindustry">Algorithm!$O$150</definedName>
    <definedName name="calc_severity_adjip">Algorithm!$O$151</definedName>
    <definedName name="calc_severity_adjlimit">Algorithm!$O$255</definedName>
    <definedName name="calc_severity_adjpackagingtype">Algorithm!$O$166</definedName>
    <definedName name="calc_severity_adjretention">Algorithm!$O$272</definedName>
    <definedName name="calc_severity_adjtransportationtype">Algorithm!$O$162</definedName>
    <definedName name="calc_severity_adjtransportationtype_MidMarket">Algorithm!$O$161</definedName>
    <definedName name="calc_severity_base">Algorithm!$O$143</definedName>
    <definedName name="calc_severity_ded_AAD">Algorithm!$K$283</definedName>
    <definedName name="calc_severity_ELP_AAD">Algorithm!$O$284</definedName>
    <definedName name="calc_severity_factor_AAD">Algorithm!$O$282</definedName>
    <definedName name="calc_severity_FAD_AAD">Algorithm!$K$285</definedName>
    <definedName name="calc_severity_modelled">Algorithm!$O$154</definedName>
    <definedName name="calc_severity_mu_AAD">Algorithm!$O$283</definedName>
    <definedName name="calc_sigma">Algorithm!$K$261</definedName>
    <definedName name="calc_sigma2">Algorithm!$K$260</definedName>
    <definedName name="calc_strike_air_uwadjustment_hashtag">Algorithm!$D$621</definedName>
    <definedName name="calc_strike_countries_hastag">Algorithm!$B$621</definedName>
    <definedName name="calc_strike_landsea_uwadjustment_hashtag">Algorithm!$C$621</definedName>
    <definedName name="calc_technicalpremium_polCur">Algorithm!$N$770</definedName>
    <definedName name="calc_technicalpremium_polCur_from_ELC">Algorithm!$O$770</definedName>
    <definedName name="calc_temperaturecontrolled">Algorithm!$D$57</definedName>
    <definedName name="calc_totalloss">Algorithm!$H$576</definedName>
    <definedName name="calc_totalloss_base">Algorithm!$C$562</definedName>
    <definedName name="calc_totalloss_modelled">Algorithm!$C$574</definedName>
    <definedName name="calc_totalloss_prep_base">Algorithm!$G$550</definedName>
    <definedName name="calc_totalloss_prep_modelled">Algorithm!$G$551</definedName>
    <definedName name="calc_transportationtype">Algorithm!$C$43:$C$46</definedName>
    <definedName name="calc_transportationtype_adjlllosscount">Algorithm!$C$387:$C$390</definedName>
    <definedName name="calc_transportationtype_adjllseverity">Algorithm!$K$387:$K$390</definedName>
    <definedName name="calc_transportationtype_adjlosscount">Algorithm!$C$161:$C$164</definedName>
    <definedName name="calc_transportationtype_adjseverity">Algorithm!$K$161:$K$164</definedName>
    <definedName name="calc_transportationtype_adjuwadjustment">Algorithm!$C$589:$C$592</definedName>
    <definedName name="calc_transportationtype_perc">Algorithm!$D$47:$D$50</definedName>
    <definedName name="calc_userTechnicalAdjustment">Algorithm!$E$654</definedName>
    <definedName name="calc_uwadjustment_adjgoods_singlegoods">Algorithm!$C$585:$C$587</definedName>
    <definedName name="calc_uwadjustment_adjgoods_singlegoods_temperature">Algorithm!$E$585:$E$587</definedName>
    <definedName name="calc_uwadjustment_adjgoods_singlegoods_theft">Algorithm!$D$585:$D$587</definedName>
    <definedName name="calc_uwadjustments">Algorithm!$E$650:$E$654</definedName>
    <definedName name="calc_volatility_loading">Algorithm!$C$719</definedName>
    <definedName name="calc_volatilityloading_polCur">Algorithm!$N$763</definedName>
    <definedName name="calc_war_air_uwadjustment_hashtag">Algorithm!$D$599</definedName>
    <definedName name="calc_war_countries_hastag">Algorithm!$B$599</definedName>
    <definedName name="calc_war_landsea_uwadjustment_hashtag">Algorithm!$C$599</definedName>
    <definedName name="Change_Stop">Input!$A$3</definedName>
    <definedName name="Conditions_general">Input!$B$47</definedName>
    <definedName name="_xlnm.Print_Area" localSheetId="1">Input!$A$1:$M$66</definedName>
    <definedName name="GeoEnde">Input!$B$41</definedName>
    <definedName name="geoscope_Error">Input!$C$41</definedName>
    <definedName name="Geoscope_int" xml:space="preserve"> OFFSET(Geoscope_int_Wegerisiko_Sp, 1, 0, ROW(GeoEnde) - ROW(Geoscope_int_Wegerisiko_Sp) - 1, 5)</definedName>
    <definedName name="Geoscope_int_Checkc_Sp">Input!$M$35</definedName>
    <definedName name="Geoscope_int_from_1">Input!$C$36</definedName>
    <definedName name="Geoscope_int_from_2">Input!$C$37</definedName>
    <definedName name="Geoscope_int_from_3">Input!$C$38</definedName>
    <definedName name="Geoscope_int_from_4">Input!$C$39</definedName>
    <definedName name="Geoscope_int_from_5">Input!$C$40</definedName>
    <definedName name="Geoscope_int_from_Sp">Input!$C$35</definedName>
    <definedName name="Geoscope_int_LoadDisc_1">Input!$F$36</definedName>
    <definedName name="Geoscope_int_LoadDisc_2">Input!$F$37</definedName>
    <definedName name="Geoscope_int_LoadDisc_3">Input!$F$38</definedName>
    <definedName name="Geoscope_int_LoadDisc_4">Input!$F$39</definedName>
    <definedName name="Geoscope_int_LoadDisc_5">Input!$F$40</definedName>
    <definedName name="Geoscope_int_LoadDisc_Sp">Input!$F$35</definedName>
    <definedName name="Geoscope_int_Split_1">Input!$E$36</definedName>
    <definedName name="Geoscope_int_Split_2">Input!$E$37</definedName>
    <definedName name="Geoscope_int_Split_3">Input!$E$38</definedName>
    <definedName name="Geoscope_int_Split_4">Input!$E$39</definedName>
    <definedName name="Geoscope_int_Split_5">Input!$E$40</definedName>
    <definedName name="Geoscope_int_Split_Sp">Input!$E$35</definedName>
    <definedName name="Geoscope_int_to_1">Input!$D$36</definedName>
    <definedName name="Geoscope_int_to_2">Input!$D$37</definedName>
    <definedName name="Geoscope_int_to_3">Input!$D$38</definedName>
    <definedName name="Geoscope_int_to_4">Input!$D$39</definedName>
    <definedName name="Geoscope_int_to_5">Input!$D$40</definedName>
    <definedName name="Geoscope_int_to_Sp">Input!$D$35</definedName>
    <definedName name="Geoscope_int_Wegerisiko_1">Input!$B$36</definedName>
    <definedName name="Geoscope_int_Wegerisiko_2">Input!$B$37</definedName>
    <definedName name="Geoscope_int_Wegerisiko_3">Input!$B$38</definedName>
    <definedName name="Geoscope_int_Wegerisiko_4">Input!$B$39</definedName>
    <definedName name="Geoscope_int_Wegerisiko_5">Input!$B$40</definedName>
    <definedName name="Geoscope_int_Wegerisiko_Sp">Input!$B$35</definedName>
    <definedName name="Grundordner_Teams">Anleitung!$G$8</definedName>
    <definedName name="Grundordner_V">Anleitung!$G$2</definedName>
    <definedName name="helper_automaticSharepointSave">'Error Correction'!$E$2</definedName>
    <definedName name="helper_cargoTurnoverMissingButTurnoverGiven">'Error Correction'!$Q$11</definedName>
    <definedName name="helper_countryCount_strikeAndRiot">'Error Correction'!$B$3</definedName>
    <definedName name="helper_countryCount_strikeAndRiot_filled">'Error Correction'!$B$4</definedName>
    <definedName name="helper_countryCount_war">'Error Correction'!$B$1</definedName>
    <definedName name="helper_countryCount_war_filled">'Error Correction'!$B$2</definedName>
    <definedName name="helper_geographicalScope_detailedView">'Error Correction'!$Q$5</definedName>
    <definedName name="helper_geographicalScope_DoubleEntryErrorMessage">'Error Correction'!$V$2</definedName>
    <definedName name="helper_geographicalScope_DoubleEntryShowError">'Error Correction'!$V$1</definedName>
    <definedName name="helper_geographicalScope_filledCorrectly">_xlfn.ANCHORARRAY('Error Correction'!$K$2)</definedName>
    <definedName name="helper_geographicalScope_filledCorrectlyBool">'Error Correction'!$Q$7</definedName>
    <definedName name="helper_geographicalScope_filledCorrectlyErrorMessage">'Error Correction'!$Q$9</definedName>
    <definedName name="helper_geographicalScope_filledCorrectlyShare">'Error Correction'!$Q$6</definedName>
    <definedName name="helper_geographicalScope_filledCorrectlyShowError">'Error Correction'!$Q$8</definedName>
    <definedName name="helper_geographicalScope_isDoubleEntry">'Error Correction'!$T$2</definedName>
    <definedName name="helper_geographicalScope_nationalWorldwideErrorMessage">'Error Correction'!$Q$4</definedName>
    <definedName name="helper_geographicalScope_nationalWorldwideShowError">'Error Correction'!$Q$3</definedName>
    <definedName name="helper_geographicalScope_nationalWorldwideSplit">'Error Correction'!$Q$2</definedName>
    <definedName name="helper_geoScopeCount">'Error Correction'!$B$5</definedName>
    <definedName name="helper_isPublished">'Error Correction'!$E$1</definedName>
    <definedName name="helper_strikeAndRiotStopper">Input!$C$64</definedName>
    <definedName name="helper_technicalAdjustmentFirstAdjustment">Input!$C$69</definedName>
    <definedName name="helper_technicalAdjustmentStopper">Input!$B$70</definedName>
    <definedName name="helper_TransportationType_splitAvailable">'Error Correction'!$N$1</definedName>
    <definedName name="helper_typeOfGoods_filledCorrectlyShare">'Error Correction'!$Q$10</definedName>
    <definedName name="helper_warStopper">Input!$C$62</definedName>
    <definedName name="KundeZ">Notes!$J$1</definedName>
    <definedName name="LIMIT_LIABILITY_ORIG_L">'ARGOS Data'!$N:$N</definedName>
    <definedName name="ListenName_1_R">References!$O$7</definedName>
    <definedName name="ListenName_2_R">References!$O$8</definedName>
    <definedName name="ListenName_3_R">References!$O$9</definedName>
    <definedName name="result_expectedloss_total">Algorithm!$M$737</definedName>
    <definedName name="Sp_AVG_VALUE_ORIG">'ARGOS Data'!$O$1</definedName>
    <definedName name="Sp_CURRENCY_ORIG">'ARGOS Data'!$P$1</definedName>
    <definedName name="Sp_ID_ORIG">'ARGOS Data'!$A$1</definedName>
    <definedName name="Sp_LIMIT_LIABILITY_ORIG">'ARGOS Data'!$N$1</definedName>
    <definedName name="Sp_NAME">'ARGOS Data'!$D$1</definedName>
    <definedName name="SubClass_Gesamtliste">Language!$A$2:$S$13</definedName>
    <definedName name="transportationtype_Error">Input!$D$26</definedName>
    <definedName name="Type_of_goods_1">References!$O$12</definedName>
    <definedName name="Type_of_goods_2">References!$O$13</definedName>
    <definedName name="Type_of_goods_3">References!$O$14</definedName>
    <definedName name="Type_of_goods_D">References!$O$12:$O$14</definedName>
    <definedName name="Type_of_goods_filled_1">References!$O$17</definedName>
    <definedName name="Type_of_goods_filled_2">References!$O$18</definedName>
    <definedName name="Type_of_goods_filled_3">References!$O$19</definedName>
    <definedName name="Type_of_goods_filled_all">References!$O$17:$O$19</definedName>
    <definedName name="Type_Of_Goods_Manual">'Type of Goods Back'!$A$2:$D$54</definedName>
    <definedName name="UWAdjustments_reasoning">Storage_Input!$AH$3</definedName>
    <definedName name="UWWB_geoscope_adjustment_1">Infos_for_UWWB!$N$2</definedName>
    <definedName name="UWWB_geoscope_adjustment_2">Infos_for_UWWB!$N$3</definedName>
    <definedName name="UWWB_geoscope_adjustment_3">Infos_for_UWWB!$N$4</definedName>
    <definedName name="UWWB_geoscope_from_1">Infos_for_UWWB!$K$2</definedName>
    <definedName name="UWWB_geoscope_from_2">Infos_for_UWWB!$K$3</definedName>
    <definedName name="UWWB_geoscope_from_3">Infos_for_UWWB!$K$4</definedName>
    <definedName name="UWWB_geoscope_share_1">Infos_for_UWWB!$M$2</definedName>
    <definedName name="UWWB_geoscope_share_2">Infos_for_UWWB!$M$3</definedName>
    <definedName name="UWWB_geoscope_share_3">Infos_for_UWWB!$M$4</definedName>
    <definedName name="UWWB_geoscope_to_1">Infos_for_UWWB!$L$2</definedName>
    <definedName name="UWWB_geoscope_to_2">Infos_for_UWWB!$L$3</definedName>
    <definedName name="UWWB_geoscope_to_3">Infos_for_UWWB!$L$4</definedName>
    <definedName name="UWWB_producingOffice">Infos_for_UWWB!$Q$1</definedName>
    <definedName name="version_number">Input!$E$1</definedName>
    <definedName name="zzInt_BV_Currency">'Basic Values'!$C$9</definedName>
    <definedName name="zzInt_BV_Exposure_value">'Basic Values'!$C$8</definedName>
    <definedName name="zzInt_BV_International_Program">'Basic Values'!$C$15</definedName>
    <definedName name="zzInt_BV_Lines_of_Business">'Basic Values'!$C$4</definedName>
    <definedName name="zzInt_BV_NAICS">'Basic Values'!$C$6</definedName>
    <definedName name="zzInt_BV_Pricing_Method">'Basic Values'!$C$12</definedName>
    <definedName name="zzInt_BV_Product">'Basic Values'!$C$2</definedName>
    <definedName name="zzInt_BV_Stat_Code_NACE_Code">'Basic Values'!$C$6</definedName>
    <definedName name="zzInt_BV_Type_of_exposure">'Basic Values'!$C$7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6" i="8" l="1"/>
  <c r="H66" i="8"/>
  <c r="G66" i="8"/>
  <c r="F66" i="8"/>
  <c r="E66" i="8"/>
  <c r="C66" i="8"/>
  <c r="I62" i="8"/>
  <c r="H62" i="8"/>
  <c r="G62" i="8"/>
  <c r="F62" i="8"/>
  <c r="E62" i="8"/>
  <c r="C62" i="8"/>
  <c r="I64" i="8"/>
  <c r="H64" i="8"/>
  <c r="G64" i="8"/>
  <c r="F64" i="8"/>
  <c r="E64" i="8"/>
  <c r="C64" i="8"/>
  <c r="I65" i="8"/>
  <c r="H65" i="8"/>
  <c r="G65" i="8"/>
  <c r="F65" i="8"/>
  <c r="E65" i="8"/>
  <c r="C65" i="8"/>
  <c r="I60" i="8"/>
  <c r="H60" i="8"/>
  <c r="G60" i="8"/>
  <c r="F60" i="8"/>
  <c r="E60" i="8"/>
  <c r="C60" i="8"/>
  <c r="I59" i="8"/>
  <c r="H59" i="8"/>
  <c r="G59" i="8"/>
  <c r="F59" i="8"/>
  <c r="E59" i="8"/>
  <c r="C59" i="8"/>
  <c r="I58" i="8"/>
  <c r="H58" i="8"/>
  <c r="G58" i="8"/>
  <c r="F58" i="8"/>
  <c r="E58" i="8"/>
  <c r="C58" i="8"/>
  <c r="I57" i="8"/>
  <c r="H57" i="8"/>
  <c r="G57" i="8"/>
  <c r="F57" i="8"/>
  <c r="E57" i="8"/>
  <c r="C57" i="8"/>
  <c r="O25" i="11" l="1"/>
  <c r="BM230" i="12" a="1"/>
  <c r="BM230" i="12" s="1"/>
  <c r="BJ5" i="12" a="1"/>
  <c r="BJ5" i="12" s="1"/>
  <c r="BO230" i="12" l="1"/>
  <c r="BN230" i="12"/>
  <c r="BP230" i="12" s="1"/>
  <c r="F2" i="36"/>
  <c r="B10" i="8"/>
  <c r="F130" i="14" a="1"/>
  <c r="F130" i="14" s="1"/>
  <c r="B130" i="14" a="1"/>
  <c r="B130" i="14" s="1"/>
  <c r="J161" i="14" a="1"/>
  <c r="J161" i="14" s="1"/>
  <c r="D26" i="8"/>
  <c r="B26" i="8" a="1"/>
  <c r="B26" i="8" s="1"/>
  <c r="E654" i="14" a="1"/>
  <c r="E654" i="14" s="1"/>
  <c r="C71" i="8" s="1"/>
  <c r="B1" i="28"/>
  <c r="L3" i="35"/>
  <c r="D73" i="8" l="1"/>
  <c r="F4" i="36"/>
  <c r="E2" i="36" a="1"/>
  <c r="E2" i="36" s="1"/>
  <c r="G11" i="14"/>
  <c r="S2" i="28" l="1" a="1"/>
  <c r="S2" i="28" s="1"/>
  <c r="BR5" i="12" a="1"/>
  <c r="BR5" i="12" s="1"/>
  <c r="AF5" i="12" a="1"/>
  <c r="AF5" i="12" s="1"/>
  <c r="C1" i="36"/>
  <c r="C801" i="14"/>
  <c r="C800" i="14"/>
  <c r="B42" i="12" l="1"/>
  <c r="G23" i="14" l="1"/>
  <c r="C22" i="14"/>
  <c r="C23" i="14"/>
  <c r="C24" i="14"/>
  <c r="B22" i="14" a="1"/>
  <c r="B22" i="14" s="1"/>
  <c r="F10" i="8"/>
  <c r="D22" i="14" l="1" a="1"/>
  <c r="D22" i="14" s="1"/>
  <c r="G22" i="14" s="1"/>
  <c r="G21" i="14"/>
  <c r="C26" i="14" a="1"/>
  <c r="C26" i="14" l="1"/>
  <c r="G26" i="14" s="1"/>
  <c r="V2" i="28" l="1"/>
  <c r="G2" i="28" a="1"/>
  <c r="G2" i="28" s="1"/>
  <c r="T2" i="28" a="1"/>
  <c r="T2" i="28" s="1"/>
  <c r="V1" i="28" s="1"/>
  <c r="Q1" i="28"/>
  <c r="Q4" i="28" s="1"/>
  <c r="G36" i="8" l="1"/>
  <c r="Q2" i="28"/>
  <c r="Q3" i="28" s="1"/>
  <c r="AI2" i="34" l="1"/>
  <c r="AM2" i="34" s="1"/>
  <c r="P2" i="35"/>
  <c r="AD2" i="34" l="1" a="1"/>
  <c r="AD2" i="34" s="1"/>
  <c r="AE2" i="34" s="1" a="1"/>
  <c r="AE2" i="34" s="1"/>
  <c r="AF2" i="34" s="1" a="1"/>
  <c r="AF2" i="34" s="1"/>
  <c r="AG2" i="34" s="1"/>
  <c r="AH5" i="33" a="1"/>
  <c r="AH5" i="33" s="1"/>
  <c r="AH1" i="33" l="1"/>
  <c r="B3" i="37" l="1"/>
  <c r="B4" i="37"/>
  <c r="A3" i="36" a="1"/>
  <c r="A3" i="36" s="1"/>
  <c r="E3" i="37" l="1" a="1"/>
  <c r="E3" i="37" s="1"/>
  <c r="G3" i="37" a="1"/>
  <c r="G3" i="37" s="1"/>
  <c r="D3" i="37" a="1"/>
  <c r="D3" i="37" s="1"/>
  <c r="M735" i="14"/>
  <c r="B6" i="35" l="1"/>
  <c r="B5" i="35"/>
  <c r="B7" i="35" s="1"/>
  <c r="J4" i="34"/>
  <c r="J3" i="34"/>
  <c r="I2" i="34"/>
  <c r="J2" i="34" s="1"/>
  <c r="L2" i="34" l="1" a="1"/>
  <c r="L2" i="34" l="1"/>
  <c r="M2" i="34" s="1" a="1"/>
  <c r="N2" i="34" a="1"/>
  <c r="C2" i="34" a="1"/>
  <c r="C2" i="34" s="1"/>
  <c r="F2" i="34" s="1"/>
  <c r="B2" i="34" a="1"/>
  <c r="B2" i="34" s="1"/>
  <c r="D2" i="34" s="1" a="1"/>
  <c r="D2" i="34" s="1"/>
  <c r="E2" i="35"/>
  <c r="E5" i="35"/>
  <c r="E4" i="35"/>
  <c r="E3" i="35"/>
  <c r="E6" i="35"/>
  <c r="E7" i="35"/>
  <c r="E8" i="35"/>
  <c r="E9" i="35"/>
  <c r="E10" i="35"/>
  <c r="E11" i="35"/>
  <c r="E12" i="35"/>
  <c r="E13" i="35"/>
  <c r="E14" i="35"/>
  <c r="E15" i="35"/>
  <c r="A2" i="34" a="1"/>
  <c r="A2" i="34" s="1"/>
  <c r="V2" i="33" s="1" a="1"/>
  <c r="V2" i="33" s="1"/>
  <c r="Q1" i="31"/>
  <c r="B3" i="29"/>
  <c r="DO5" i="12" a="1"/>
  <c r="DO5" i="12" s="1"/>
  <c r="M43" i="11" s="1"/>
  <c r="M46" i="11" s="1" a="1"/>
  <c r="M46" i="11" s="1"/>
  <c r="N2" i="34" l="1"/>
  <c r="O2" i="34" a="1"/>
  <c r="O2" i="34" s="1"/>
  <c r="AW2" i="34" s="1" a="1"/>
  <c r="AW2" i="34" s="1"/>
  <c r="AX2" i="34" s="1" a="1"/>
  <c r="AX2" i="34" s="1"/>
  <c r="P2" i="34" s="1" a="1"/>
  <c r="P2" i="34" s="1"/>
  <c r="AJ2" i="34"/>
  <c r="M2" i="34"/>
  <c r="AK2" i="34" s="1"/>
  <c r="AL2" i="34" s="1"/>
  <c r="AN2" i="34" s="1"/>
  <c r="G2" i="34"/>
  <c r="C47" i="14" a="1"/>
  <c r="C47" i="14" s="1"/>
  <c r="B1801" i="30"/>
  <c r="B1800" i="30"/>
  <c r="B1799" i="30"/>
  <c r="B1798" i="30"/>
  <c r="B1797" i="30"/>
  <c r="B1796" i="30"/>
  <c r="B1795" i="30"/>
  <c r="B1794" i="30"/>
  <c r="B1793" i="30"/>
  <c r="B1792" i="30"/>
  <c r="B1791" i="30"/>
  <c r="B1790" i="30"/>
  <c r="B1789" i="30"/>
  <c r="B1788" i="30"/>
  <c r="B1787" i="30"/>
  <c r="B1786" i="30"/>
  <c r="B1785" i="30"/>
  <c r="B1784" i="30"/>
  <c r="B1783" i="30"/>
  <c r="B1782" i="30"/>
  <c r="B1781" i="30"/>
  <c r="B1780" i="30"/>
  <c r="B1779" i="30"/>
  <c r="B1778" i="30"/>
  <c r="B1777" i="30"/>
  <c r="B1776" i="30"/>
  <c r="B1775" i="30"/>
  <c r="B1774" i="30"/>
  <c r="B1773" i="30"/>
  <c r="B1772" i="30"/>
  <c r="B1771" i="30"/>
  <c r="B1770" i="30"/>
  <c r="B1769" i="30"/>
  <c r="B1768" i="30"/>
  <c r="B1767" i="30"/>
  <c r="B1766" i="30"/>
  <c r="B1765" i="30"/>
  <c r="B1764" i="30"/>
  <c r="B1763" i="30"/>
  <c r="B1762" i="30"/>
  <c r="B1761" i="30"/>
  <c r="B1760" i="30"/>
  <c r="B1759" i="30"/>
  <c r="B1758" i="30"/>
  <c r="B1757" i="30"/>
  <c r="B1756" i="30"/>
  <c r="B1755" i="30"/>
  <c r="B1754" i="30"/>
  <c r="B1753" i="30"/>
  <c r="B1752" i="30"/>
  <c r="B1751" i="30"/>
  <c r="B1750" i="30"/>
  <c r="B1749" i="30"/>
  <c r="B1748" i="30"/>
  <c r="B1747" i="30"/>
  <c r="B1746" i="30"/>
  <c r="B1745" i="30"/>
  <c r="B1744" i="30"/>
  <c r="B1743" i="30"/>
  <c r="B1742" i="30"/>
  <c r="B1741" i="30"/>
  <c r="B1740" i="30"/>
  <c r="B1739" i="30"/>
  <c r="B1738" i="30"/>
  <c r="B1737" i="30"/>
  <c r="B1736" i="30"/>
  <c r="B1735" i="30"/>
  <c r="B1734" i="30"/>
  <c r="B1733" i="30"/>
  <c r="B1732" i="30"/>
  <c r="B1731" i="30"/>
  <c r="B1730" i="30"/>
  <c r="B1729" i="30"/>
  <c r="B1728" i="30"/>
  <c r="B1727" i="30"/>
  <c r="B1726" i="30"/>
  <c r="B1725" i="30"/>
  <c r="B1724" i="30"/>
  <c r="B1723" i="30"/>
  <c r="B1722" i="30"/>
  <c r="B1721" i="30"/>
  <c r="B1720" i="30"/>
  <c r="B1719" i="30"/>
  <c r="B1718" i="30"/>
  <c r="B1717" i="30"/>
  <c r="B1716" i="30"/>
  <c r="B1715" i="30"/>
  <c r="B1714" i="30"/>
  <c r="B1713" i="30"/>
  <c r="B1712" i="30"/>
  <c r="B1711" i="30"/>
  <c r="B1710" i="30"/>
  <c r="B1709" i="30"/>
  <c r="B1708" i="30"/>
  <c r="B1707" i="30"/>
  <c r="B1706" i="30"/>
  <c r="B1705" i="30"/>
  <c r="B1704" i="30"/>
  <c r="B1703" i="30"/>
  <c r="B1702" i="30"/>
  <c r="B1701" i="30"/>
  <c r="B1700" i="30"/>
  <c r="B1699" i="30"/>
  <c r="B1698" i="30"/>
  <c r="B1697" i="30"/>
  <c r="B1696" i="30"/>
  <c r="B1695" i="30"/>
  <c r="B1694" i="30"/>
  <c r="B1693" i="30"/>
  <c r="B1692" i="30"/>
  <c r="B1691" i="30"/>
  <c r="B1690" i="30"/>
  <c r="B1689" i="30"/>
  <c r="B1688" i="30"/>
  <c r="B1687" i="30"/>
  <c r="B1686" i="30"/>
  <c r="B1685" i="30"/>
  <c r="B1684" i="30"/>
  <c r="B1683" i="30"/>
  <c r="B1682" i="30"/>
  <c r="B1681" i="30"/>
  <c r="B1680" i="30"/>
  <c r="B1679" i="30"/>
  <c r="B1678" i="30"/>
  <c r="B1677" i="30"/>
  <c r="B1676" i="30"/>
  <c r="B1675" i="30"/>
  <c r="B1674" i="30"/>
  <c r="B1673" i="30"/>
  <c r="B1672" i="30"/>
  <c r="B1671" i="30"/>
  <c r="B1670" i="30"/>
  <c r="B1669" i="30"/>
  <c r="B1668" i="30"/>
  <c r="B1667" i="30"/>
  <c r="B1666" i="30"/>
  <c r="B1665" i="30"/>
  <c r="B1664" i="30"/>
  <c r="B1663" i="30"/>
  <c r="B1662" i="30"/>
  <c r="B1661" i="30"/>
  <c r="B1660" i="30"/>
  <c r="B1659" i="30"/>
  <c r="B1658" i="30"/>
  <c r="B1657" i="30"/>
  <c r="B1656" i="30"/>
  <c r="B1655" i="30"/>
  <c r="B1654" i="30"/>
  <c r="B1653" i="30"/>
  <c r="B1652" i="30"/>
  <c r="B1651" i="30"/>
  <c r="B1650" i="30"/>
  <c r="B1649" i="30"/>
  <c r="B1648" i="30"/>
  <c r="B1647" i="30"/>
  <c r="B1646" i="30"/>
  <c r="B1645" i="30"/>
  <c r="B1644" i="30"/>
  <c r="B1643" i="30"/>
  <c r="B1642" i="30"/>
  <c r="B1641" i="30"/>
  <c r="B1640" i="30"/>
  <c r="B1639" i="30"/>
  <c r="B1638" i="30"/>
  <c r="B1637" i="30"/>
  <c r="B1636" i="30"/>
  <c r="B1635" i="30"/>
  <c r="B1634" i="30"/>
  <c r="B1633" i="30"/>
  <c r="B1632" i="30"/>
  <c r="B1631" i="30"/>
  <c r="B1630" i="30"/>
  <c r="B1629" i="30"/>
  <c r="B1628" i="30"/>
  <c r="B1627" i="30"/>
  <c r="B1626" i="30"/>
  <c r="B1625" i="30"/>
  <c r="B1624" i="30"/>
  <c r="B1623" i="30"/>
  <c r="B1622" i="30"/>
  <c r="B1601" i="30"/>
  <c r="B1600" i="30"/>
  <c r="B1599" i="30"/>
  <c r="B1598" i="30"/>
  <c r="B1597" i="30"/>
  <c r="B1596" i="30"/>
  <c r="B1595" i="30"/>
  <c r="B1594" i="30"/>
  <c r="B1593" i="30"/>
  <c r="B1592" i="30"/>
  <c r="B1591" i="30"/>
  <c r="B1590" i="30"/>
  <c r="B1589" i="30"/>
  <c r="B1588" i="30"/>
  <c r="B1587" i="30"/>
  <c r="B1586" i="30"/>
  <c r="B1585" i="30"/>
  <c r="B1584" i="30"/>
  <c r="B1583" i="30"/>
  <c r="B1582" i="30"/>
  <c r="B1581" i="30"/>
  <c r="B1580" i="30"/>
  <c r="B1579" i="30"/>
  <c r="B1578" i="30"/>
  <c r="B1577" i="30"/>
  <c r="B1576" i="30"/>
  <c r="B1575" i="30"/>
  <c r="B1574" i="30"/>
  <c r="B1573" i="30"/>
  <c r="B1572" i="30"/>
  <c r="B1571" i="30"/>
  <c r="B1570" i="30"/>
  <c r="B1569" i="30"/>
  <c r="B1568" i="30"/>
  <c r="B1567" i="30"/>
  <c r="B1566" i="30"/>
  <c r="B1565" i="30"/>
  <c r="B1564" i="30"/>
  <c r="B1563" i="30"/>
  <c r="B1562" i="30"/>
  <c r="B1561" i="30"/>
  <c r="B1560" i="30"/>
  <c r="B1559" i="30"/>
  <c r="B1558" i="30"/>
  <c r="B1557" i="30"/>
  <c r="B1556" i="30"/>
  <c r="B1555" i="30"/>
  <c r="B1554" i="30"/>
  <c r="B1553" i="30"/>
  <c r="B1552" i="30"/>
  <c r="B1551" i="30"/>
  <c r="B1550" i="30"/>
  <c r="B1549" i="30"/>
  <c r="B1548" i="30"/>
  <c r="B1547" i="30"/>
  <c r="B1546" i="30"/>
  <c r="B1545" i="30"/>
  <c r="B1544" i="30"/>
  <c r="B1543" i="30"/>
  <c r="B1542" i="30"/>
  <c r="B1541" i="30"/>
  <c r="B1540" i="30"/>
  <c r="B1539" i="30"/>
  <c r="B1538" i="30"/>
  <c r="B1537" i="30"/>
  <c r="B1536" i="30"/>
  <c r="B1535" i="30"/>
  <c r="B1534" i="30"/>
  <c r="B1533" i="30"/>
  <c r="B1532" i="30"/>
  <c r="B1531" i="30"/>
  <c r="B1530" i="30"/>
  <c r="B1529" i="30"/>
  <c r="B1528" i="30"/>
  <c r="B1527" i="30"/>
  <c r="B1526" i="30"/>
  <c r="B1525" i="30"/>
  <c r="B1524" i="30"/>
  <c r="B1523" i="30"/>
  <c r="B1522" i="30"/>
  <c r="B1521" i="30"/>
  <c r="B1520" i="30"/>
  <c r="B1519" i="30"/>
  <c r="B1518" i="30"/>
  <c r="B1517" i="30"/>
  <c r="B1516" i="30"/>
  <c r="B1515" i="30"/>
  <c r="B1514" i="30"/>
  <c r="B1513" i="30"/>
  <c r="B1512" i="30"/>
  <c r="B1511" i="30"/>
  <c r="B1510" i="30"/>
  <c r="B1509" i="30"/>
  <c r="B1508" i="30"/>
  <c r="B1507" i="30"/>
  <c r="B1506" i="30"/>
  <c r="B1505" i="30"/>
  <c r="B1504" i="30"/>
  <c r="B1503" i="30"/>
  <c r="B1502" i="30"/>
  <c r="B1501" i="30"/>
  <c r="B1500" i="30"/>
  <c r="B1499" i="30"/>
  <c r="B1498" i="30"/>
  <c r="B1497" i="30"/>
  <c r="B1496" i="30"/>
  <c r="B1495" i="30"/>
  <c r="B1494" i="30"/>
  <c r="B1493" i="30"/>
  <c r="B1492" i="30"/>
  <c r="B1491" i="30"/>
  <c r="B1490" i="30"/>
  <c r="B1489" i="30"/>
  <c r="B1488" i="30"/>
  <c r="B1487" i="30"/>
  <c r="B1486" i="30"/>
  <c r="B1485" i="30"/>
  <c r="B1484" i="30"/>
  <c r="B1483" i="30"/>
  <c r="B1482" i="30"/>
  <c r="B1481" i="30"/>
  <c r="B1480" i="30"/>
  <c r="B1479" i="30"/>
  <c r="B1478" i="30"/>
  <c r="B1477" i="30"/>
  <c r="B1476" i="30"/>
  <c r="B1475" i="30"/>
  <c r="B1474" i="30"/>
  <c r="B1473" i="30"/>
  <c r="B1472" i="30"/>
  <c r="B1471" i="30"/>
  <c r="B1470" i="30"/>
  <c r="B1469" i="30"/>
  <c r="B1468" i="30"/>
  <c r="B1467" i="30"/>
  <c r="B1466" i="30"/>
  <c r="B1465" i="30"/>
  <c r="B1464" i="30"/>
  <c r="B1463" i="30"/>
  <c r="B1462" i="30"/>
  <c r="B1461" i="30"/>
  <c r="B1460" i="30"/>
  <c r="B1459" i="30"/>
  <c r="B1458" i="30"/>
  <c r="B1457" i="30"/>
  <c r="B1456" i="30"/>
  <c r="B1455" i="30"/>
  <c r="B1454" i="30"/>
  <c r="B1453" i="30"/>
  <c r="B1452" i="30"/>
  <c r="B1451" i="30"/>
  <c r="B1450" i="30"/>
  <c r="B1449" i="30"/>
  <c r="B1448" i="30"/>
  <c r="B1447" i="30"/>
  <c r="B1446" i="30"/>
  <c r="B1445" i="30"/>
  <c r="B1444" i="30"/>
  <c r="B1443" i="30"/>
  <c r="B1442" i="30"/>
  <c r="B1441" i="30"/>
  <c r="B1440" i="30"/>
  <c r="B1439" i="30"/>
  <c r="B1438" i="30"/>
  <c r="B1437" i="30"/>
  <c r="B1436" i="30"/>
  <c r="B1435" i="30"/>
  <c r="B1434" i="30"/>
  <c r="B1433" i="30"/>
  <c r="B1432" i="30"/>
  <c r="B1431" i="30"/>
  <c r="B1430" i="30"/>
  <c r="B1429" i="30"/>
  <c r="B1428" i="30"/>
  <c r="B1427" i="30"/>
  <c r="B1426" i="30"/>
  <c r="B1425" i="30"/>
  <c r="B1424" i="30"/>
  <c r="B1423" i="30"/>
  <c r="B1422" i="30"/>
  <c r="B1401" i="30"/>
  <c r="B1400" i="30"/>
  <c r="B1399" i="30"/>
  <c r="B1398" i="30"/>
  <c r="B1397" i="30"/>
  <c r="B1396" i="30"/>
  <c r="B1395" i="30"/>
  <c r="B1394" i="30"/>
  <c r="B1393" i="30"/>
  <c r="B1392" i="30"/>
  <c r="B1391" i="30"/>
  <c r="B1390" i="30"/>
  <c r="B1389" i="30"/>
  <c r="B1388" i="30"/>
  <c r="B1387" i="30"/>
  <c r="B1386" i="30"/>
  <c r="B1385" i="30"/>
  <c r="B1384" i="30"/>
  <c r="B1383" i="30"/>
  <c r="B1382" i="30"/>
  <c r="B1381" i="30"/>
  <c r="B1380" i="30"/>
  <c r="B1379" i="30"/>
  <c r="B1378" i="30"/>
  <c r="B1377" i="30"/>
  <c r="B1376" i="30"/>
  <c r="B1375" i="30"/>
  <c r="B1374" i="30"/>
  <c r="B1373" i="30"/>
  <c r="B1372" i="30"/>
  <c r="B1371" i="30"/>
  <c r="B1370" i="30"/>
  <c r="B1369" i="30"/>
  <c r="B1368" i="30"/>
  <c r="B1367" i="30"/>
  <c r="B1366" i="30"/>
  <c r="B1365" i="30"/>
  <c r="B1364" i="30"/>
  <c r="B1363" i="30"/>
  <c r="B1362" i="30"/>
  <c r="B1361" i="30"/>
  <c r="B1360" i="30"/>
  <c r="B1359" i="30"/>
  <c r="B1358" i="30"/>
  <c r="B1357" i="30"/>
  <c r="B1356" i="30"/>
  <c r="B1355" i="30"/>
  <c r="B1354" i="30"/>
  <c r="B1353" i="30"/>
  <c r="B1352" i="30"/>
  <c r="B1351" i="30"/>
  <c r="B1350" i="30"/>
  <c r="B1349" i="30"/>
  <c r="B1348" i="30"/>
  <c r="B1347" i="30"/>
  <c r="B1346" i="30"/>
  <c r="B1345" i="30"/>
  <c r="B1344" i="30"/>
  <c r="B1343" i="30"/>
  <c r="B1342" i="30"/>
  <c r="B1341" i="30"/>
  <c r="B1340" i="30"/>
  <c r="B1339" i="30"/>
  <c r="B1338" i="30"/>
  <c r="B1337" i="30"/>
  <c r="B1336" i="30"/>
  <c r="B1335" i="30"/>
  <c r="B1334" i="30"/>
  <c r="B1333" i="30"/>
  <c r="B1332" i="30"/>
  <c r="B1331" i="30"/>
  <c r="B1330" i="30"/>
  <c r="B1329" i="30"/>
  <c r="B1328" i="30"/>
  <c r="B1327" i="30"/>
  <c r="B1326" i="30"/>
  <c r="B1325" i="30"/>
  <c r="B1324" i="30"/>
  <c r="B1323" i="30"/>
  <c r="B1322" i="30"/>
  <c r="B1321" i="30"/>
  <c r="B1320" i="30"/>
  <c r="B1319" i="30"/>
  <c r="B1318" i="30"/>
  <c r="B1317" i="30"/>
  <c r="B1316" i="30"/>
  <c r="B1315" i="30"/>
  <c r="B1314" i="30"/>
  <c r="B1313" i="30"/>
  <c r="B1312" i="30"/>
  <c r="B1311" i="30"/>
  <c r="B1310" i="30"/>
  <c r="B1309" i="30"/>
  <c r="B1308" i="30"/>
  <c r="B1307" i="30"/>
  <c r="B1306" i="30"/>
  <c r="B1305" i="30"/>
  <c r="B1304" i="30"/>
  <c r="B1303" i="30"/>
  <c r="B1302" i="30"/>
  <c r="B1301" i="30"/>
  <c r="B1300" i="30"/>
  <c r="B1299" i="30"/>
  <c r="B1298" i="30"/>
  <c r="B1297" i="30"/>
  <c r="B1296" i="30"/>
  <c r="B1295" i="30"/>
  <c r="B1294" i="30"/>
  <c r="B1293" i="30"/>
  <c r="B1292" i="30"/>
  <c r="B1291" i="30"/>
  <c r="B1290" i="30"/>
  <c r="B1289" i="30"/>
  <c r="B1288" i="30"/>
  <c r="B1287" i="30"/>
  <c r="B1286" i="30"/>
  <c r="B1285" i="30"/>
  <c r="B1284" i="30"/>
  <c r="B1283" i="30"/>
  <c r="B1282" i="30"/>
  <c r="B1281" i="30"/>
  <c r="B1280" i="30"/>
  <c r="B1279" i="30"/>
  <c r="B1278" i="30"/>
  <c r="B1277" i="30"/>
  <c r="B1276" i="30"/>
  <c r="B1275" i="30"/>
  <c r="B1274" i="30"/>
  <c r="B1273" i="30"/>
  <c r="B1272" i="30"/>
  <c r="B1271" i="30"/>
  <c r="B1270" i="30"/>
  <c r="B1269" i="30"/>
  <c r="B1268" i="30"/>
  <c r="B1267" i="30"/>
  <c r="B1266" i="30"/>
  <c r="B1265" i="30"/>
  <c r="B1264" i="30"/>
  <c r="B1263" i="30"/>
  <c r="B1262" i="30"/>
  <c r="B1261" i="30"/>
  <c r="B1260" i="30"/>
  <c r="B1259" i="30"/>
  <c r="B1258" i="30"/>
  <c r="B1257" i="30"/>
  <c r="B1256" i="30"/>
  <c r="B1255" i="30"/>
  <c r="B1254" i="30"/>
  <c r="B1253" i="30"/>
  <c r="B1252" i="30"/>
  <c r="B1251" i="30"/>
  <c r="B1250" i="30"/>
  <c r="B1249" i="30"/>
  <c r="B1248" i="30"/>
  <c r="B1247" i="30"/>
  <c r="B1246" i="30"/>
  <c r="B1245" i="30"/>
  <c r="B1244" i="30"/>
  <c r="B1243" i="30"/>
  <c r="B1242" i="30"/>
  <c r="B1241" i="30"/>
  <c r="B1240" i="30"/>
  <c r="B1239" i="30"/>
  <c r="B1238" i="30"/>
  <c r="B1237" i="30"/>
  <c r="B1236" i="30"/>
  <c r="B1235" i="30"/>
  <c r="B1234" i="30"/>
  <c r="B1233" i="30"/>
  <c r="B1232" i="30"/>
  <c r="B1231" i="30"/>
  <c r="B1230" i="30"/>
  <c r="B1229" i="30"/>
  <c r="B1228" i="30"/>
  <c r="B1227" i="30"/>
  <c r="B1226" i="30"/>
  <c r="B1225" i="30"/>
  <c r="B1224" i="30"/>
  <c r="B1223" i="30"/>
  <c r="B1222" i="30"/>
  <c r="B1201" i="30"/>
  <c r="B1200" i="30"/>
  <c r="B1199" i="30"/>
  <c r="B1198" i="30"/>
  <c r="B1197" i="30"/>
  <c r="B1196" i="30"/>
  <c r="B1195" i="30"/>
  <c r="B1194" i="30"/>
  <c r="B1193" i="30"/>
  <c r="B1192" i="30"/>
  <c r="B1191" i="30"/>
  <c r="B1190" i="30"/>
  <c r="B1189" i="30"/>
  <c r="B1188" i="30"/>
  <c r="B1187" i="30"/>
  <c r="B1186" i="30"/>
  <c r="B1185" i="30"/>
  <c r="B1184" i="30"/>
  <c r="B1183" i="30"/>
  <c r="B1182" i="30"/>
  <c r="B1181" i="30"/>
  <c r="B1180" i="30"/>
  <c r="B1179" i="30"/>
  <c r="B1178" i="30"/>
  <c r="B1177" i="30"/>
  <c r="B1176" i="30"/>
  <c r="B1175" i="30"/>
  <c r="B1174" i="30"/>
  <c r="B1173" i="30"/>
  <c r="B1172" i="30"/>
  <c r="B1171" i="30"/>
  <c r="B1170" i="30"/>
  <c r="B1169" i="30"/>
  <c r="B1168" i="30"/>
  <c r="B1167" i="30"/>
  <c r="B1166" i="30"/>
  <c r="B1165" i="30"/>
  <c r="B1164" i="30"/>
  <c r="B1163" i="30"/>
  <c r="B1162" i="30"/>
  <c r="B1161" i="30"/>
  <c r="B1160" i="30"/>
  <c r="B1159" i="30"/>
  <c r="B1158" i="30"/>
  <c r="B1157" i="30"/>
  <c r="B1156" i="30"/>
  <c r="B1155" i="30"/>
  <c r="B1154" i="30"/>
  <c r="B1153" i="30"/>
  <c r="B1152" i="30"/>
  <c r="B1151" i="30"/>
  <c r="B1150" i="30"/>
  <c r="B1149" i="30"/>
  <c r="B1148" i="30"/>
  <c r="B1147" i="30"/>
  <c r="B1146" i="30"/>
  <c r="B1145" i="30"/>
  <c r="B1144" i="30"/>
  <c r="B1143" i="30"/>
  <c r="B1142" i="30"/>
  <c r="B1141" i="30"/>
  <c r="B1140" i="30"/>
  <c r="B1139" i="30"/>
  <c r="B1138" i="30"/>
  <c r="B1137" i="30"/>
  <c r="B1136" i="30"/>
  <c r="B1135" i="30"/>
  <c r="B1134" i="30"/>
  <c r="B1133" i="30"/>
  <c r="B1132" i="30"/>
  <c r="B1131" i="30"/>
  <c r="B1130" i="30"/>
  <c r="B1129" i="30"/>
  <c r="B1128" i="30"/>
  <c r="B1127" i="30"/>
  <c r="B1126" i="30"/>
  <c r="B1125" i="30"/>
  <c r="B1124" i="30"/>
  <c r="B1123" i="30"/>
  <c r="B1122" i="30"/>
  <c r="B1121" i="30"/>
  <c r="B1120" i="30"/>
  <c r="B1119" i="30"/>
  <c r="B1118" i="30"/>
  <c r="B1117" i="30"/>
  <c r="B1116" i="30"/>
  <c r="B1115" i="30"/>
  <c r="B1114" i="30"/>
  <c r="B1113" i="30"/>
  <c r="B1112" i="30"/>
  <c r="B1111" i="30"/>
  <c r="B1110" i="30"/>
  <c r="B1109" i="30"/>
  <c r="B1108" i="30"/>
  <c r="B1107" i="30"/>
  <c r="B1106" i="30"/>
  <c r="B1105" i="30"/>
  <c r="B1104" i="30"/>
  <c r="B1103" i="30"/>
  <c r="B1102" i="30"/>
  <c r="B1101" i="30"/>
  <c r="B1100" i="30"/>
  <c r="B1099" i="30"/>
  <c r="B1098" i="30"/>
  <c r="B1097" i="30"/>
  <c r="B1096" i="30"/>
  <c r="B1095" i="30"/>
  <c r="B1094" i="30"/>
  <c r="B1093" i="30"/>
  <c r="B1092" i="30"/>
  <c r="B1091" i="30"/>
  <c r="B1090" i="30"/>
  <c r="B1089" i="30"/>
  <c r="B1088" i="30"/>
  <c r="B1087" i="30"/>
  <c r="B1086" i="30"/>
  <c r="B1085" i="30"/>
  <c r="B1084" i="30"/>
  <c r="B1083" i="30"/>
  <c r="B1082" i="30"/>
  <c r="B1081" i="30"/>
  <c r="B1080" i="30"/>
  <c r="B1079" i="30"/>
  <c r="B1078" i="30"/>
  <c r="B1077" i="30"/>
  <c r="B1076" i="30"/>
  <c r="B1075" i="30"/>
  <c r="B1074" i="30"/>
  <c r="B1073" i="30"/>
  <c r="B1072" i="30"/>
  <c r="B1071" i="30"/>
  <c r="B1070" i="30"/>
  <c r="B1069" i="30"/>
  <c r="B1068" i="30"/>
  <c r="B1067" i="30"/>
  <c r="B1066" i="30"/>
  <c r="B1065" i="30"/>
  <c r="B1064" i="30"/>
  <c r="B1063" i="30"/>
  <c r="B1062" i="30"/>
  <c r="B1061" i="30"/>
  <c r="B1060" i="30"/>
  <c r="B1059" i="30"/>
  <c r="B1058" i="30"/>
  <c r="B1057" i="30"/>
  <c r="B1056" i="30"/>
  <c r="B1055" i="30"/>
  <c r="B1054" i="30"/>
  <c r="B1053" i="30"/>
  <c r="B1052" i="30"/>
  <c r="B1051" i="30"/>
  <c r="B1050" i="30"/>
  <c r="B1049" i="30"/>
  <c r="B1048" i="30"/>
  <c r="B1047" i="30"/>
  <c r="B1046" i="30"/>
  <c r="B1045" i="30"/>
  <c r="B1044" i="30"/>
  <c r="B1043" i="30"/>
  <c r="B1042" i="30"/>
  <c r="B1041" i="30"/>
  <c r="B1040" i="30"/>
  <c r="B1039" i="30"/>
  <c r="B1038" i="30"/>
  <c r="B1037" i="30"/>
  <c r="B1036" i="30"/>
  <c r="B1035" i="30"/>
  <c r="B1034" i="30"/>
  <c r="B1033" i="30"/>
  <c r="B1032" i="30"/>
  <c r="B1031" i="30"/>
  <c r="B1030" i="30"/>
  <c r="B1029" i="30"/>
  <c r="B1028" i="30"/>
  <c r="B1027" i="30"/>
  <c r="B1026" i="30"/>
  <c r="B1025" i="30"/>
  <c r="B1024" i="30"/>
  <c r="B1023" i="30"/>
  <c r="B1022" i="30"/>
  <c r="B1001" i="30"/>
  <c r="B1000" i="30"/>
  <c r="B999" i="30"/>
  <c r="B998" i="30"/>
  <c r="B997" i="30"/>
  <c r="B996" i="30"/>
  <c r="B995" i="30"/>
  <c r="B994" i="30"/>
  <c r="B993" i="30"/>
  <c r="B992" i="30"/>
  <c r="B991" i="30"/>
  <c r="B990" i="30"/>
  <c r="B989" i="30"/>
  <c r="B988" i="30"/>
  <c r="B987" i="30"/>
  <c r="B986" i="30"/>
  <c r="B985" i="30"/>
  <c r="B984" i="30"/>
  <c r="B983" i="30"/>
  <c r="B982" i="30"/>
  <c r="B981" i="30"/>
  <c r="B980" i="30"/>
  <c r="B979" i="30"/>
  <c r="B978" i="30"/>
  <c r="B977" i="30"/>
  <c r="B976" i="30"/>
  <c r="B975" i="30"/>
  <c r="B974" i="30"/>
  <c r="B973" i="30"/>
  <c r="B972" i="30"/>
  <c r="B971" i="30"/>
  <c r="B970" i="30"/>
  <c r="B969" i="30"/>
  <c r="B968" i="30"/>
  <c r="B967" i="30"/>
  <c r="B966" i="30"/>
  <c r="B965" i="30"/>
  <c r="B964" i="30"/>
  <c r="B963" i="30"/>
  <c r="B962" i="30"/>
  <c r="B961" i="30"/>
  <c r="B960" i="30"/>
  <c r="B959" i="30"/>
  <c r="B958" i="30"/>
  <c r="B957" i="30"/>
  <c r="B956" i="30"/>
  <c r="B955" i="30"/>
  <c r="B954" i="30"/>
  <c r="B953" i="30"/>
  <c r="B952" i="30"/>
  <c r="B951" i="30"/>
  <c r="B950" i="30"/>
  <c r="B949" i="30"/>
  <c r="B948" i="30"/>
  <c r="B947" i="30"/>
  <c r="B946" i="30"/>
  <c r="B945" i="30"/>
  <c r="B944" i="30"/>
  <c r="B943" i="30"/>
  <c r="B942" i="30"/>
  <c r="B941" i="30"/>
  <c r="B940" i="30"/>
  <c r="B939" i="30"/>
  <c r="B938" i="30"/>
  <c r="B937" i="30"/>
  <c r="B936" i="30"/>
  <c r="B935" i="30"/>
  <c r="B934" i="30"/>
  <c r="B933" i="30"/>
  <c r="B932" i="30"/>
  <c r="B931" i="30"/>
  <c r="B930" i="30"/>
  <c r="B929" i="30"/>
  <c r="B928" i="30"/>
  <c r="B927" i="30"/>
  <c r="B926" i="30"/>
  <c r="B925" i="30"/>
  <c r="B924" i="30"/>
  <c r="B923" i="30"/>
  <c r="B922" i="30"/>
  <c r="B921" i="30"/>
  <c r="B920" i="30"/>
  <c r="B919" i="30"/>
  <c r="B918" i="30"/>
  <c r="B917" i="30"/>
  <c r="B916" i="30"/>
  <c r="B915" i="30"/>
  <c r="B914" i="30"/>
  <c r="B913" i="30"/>
  <c r="B912" i="30"/>
  <c r="B911" i="30"/>
  <c r="B910" i="30"/>
  <c r="B909" i="30"/>
  <c r="B908" i="30"/>
  <c r="B907" i="30"/>
  <c r="B906" i="30"/>
  <c r="B905" i="30"/>
  <c r="B904" i="30"/>
  <c r="B903" i="30"/>
  <c r="B902" i="30"/>
  <c r="B901" i="30"/>
  <c r="B900" i="30"/>
  <c r="B899" i="30"/>
  <c r="B898" i="30"/>
  <c r="B897" i="30"/>
  <c r="B896" i="30"/>
  <c r="B895" i="30"/>
  <c r="B894" i="30"/>
  <c r="B893" i="30"/>
  <c r="B892" i="30"/>
  <c r="B891" i="30"/>
  <c r="B890" i="30"/>
  <c r="B889" i="30"/>
  <c r="B888" i="30"/>
  <c r="B887" i="30"/>
  <c r="B886" i="30"/>
  <c r="B885" i="30"/>
  <c r="B884" i="30"/>
  <c r="B883" i="30"/>
  <c r="B882" i="30"/>
  <c r="B881" i="30"/>
  <c r="B880" i="30"/>
  <c r="B879" i="30"/>
  <c r="B878" i="30"/>
  <c r="B877" i="30"/>
  <c r="B876" i="30"/>
  <c r="B875" i="30"/>
  <c r="B874" i="30"/>
  <c r="B873" i="30"/>
  <c r="B872" i="30"/>
  <c r="B871" i="30"/>
  <c r="B870" i="30"/>
  <c r="B869" i="30"/>
  <c r="B868" i="30"/>
  <c r="B867" i="30"/>
  <c r="B866" i="30"/>
  <c r="B865" i="30"/>
  <c r="B864" i="30"/>
  <c r="B863" i="30"/>
  <c r="B862" i="30"/>
  <c r="B861" i="30"/>
  <c r="B860" i="30"/>
  <c r="B859" i="30"/>
  <c r="B858" i="30"/>
  <c r="B857" i="30"/>
  <c r="B856" i="30"/>
  <c r="B855" i="30"/>
  <c r="B854" i="30"/>
  <c r="B853" i="30"/>
  <c r="B852" i="30"/>
  <c r="B851" i="30"/>
  <c r="B850" i="30"/>
  <c r="B849" i="30"/>
  <c r="B848" i="30"/>
  <c r="B847" i="30"/>
  <c r="B846" i="30"/>
  <c r="B845" i="30"/>
  <c r="B844" i="30"/>
  <c r="B843" i="30"/>
  <c r="B842" i="30"/>
  <c r="B841" i="30"/>
  <c r="B840" i="30"/>
  <c r="B839" i="30"/>
  <c r="B838" i="30"/>
  <c r="B837" i="30"/>
  <c r="B836" i="30"/>
  <c r="B835" i="30"/>
  <c r="B834" i="30"/>
  <c r="B833" i="30"/>
  <c r="B832" i="30"/>
  <c r="B831" i="30"/>
  <c r="B830" i="30"/>
  <c r="B829" i="30"/>
  <c r="B828" i="30"/>
  <c r="B827" i="30"/>
  <c r="B826" i="30"/>
  <c r="B825" i="30"/>
  <c r="B824" i="30"/>
  <c r="B823" i="30"/>
  <c r="B822" i="30"/>
  <c r="B801" i="30"/>
  <c r="B800" i="30"/>
  <c r="B799" i="30"/>
  <c r="B798" i="30"/>
  <c r="B797" i="30"/>
  <c r="B796" i="30"/>
  <c r="B795" i="30"/>
  <c r="B794" i="30"/>
  <c r="B793" i="30"/>
  <c r="B792" i="30"/>
  <c r="B791" i="30"/>
  <c r="B790" i="30"/>
  <c r="B789" i="30"/>
  <c r="B788" i="30"/>
  <c r="B787" i="30"/>
  <c r="B786" i="30"/>
  <c r="B785" i="30"/>
  <c r="B784" i="30"/>
  <c r="B783" i="30"/>
  <c r="B782" i="30"/>
  <c r="B781" i="30"/>
  <c r="B780" i="30"/>
  <c r="B779" i="30"/>
  <c r="B778" i="30"/>
  <c r="B777" i="30"/>
  <c r="B776" i="30"/>
  <c r="B775" i="30"/>
  <c r="B774" i="30"/>
  <c r="B773" i="30"/>
  <c r="B772" i="30"/>
  <c r="B771" i="30"/>
  <c r="B770" i="30"/>
  <c r="B769" i="30"/>
  <c r="B768" i="30"/>
  <c r="B767" i="30"/>
  <c r="B766" i="30"/>
  <c r="B765" i="30"/>
  <c r="B764" i="30"/>
  <c r="B763" i="30"/>
  <c r="B762" i="30"/>
  <c r="B761" i="30"/>
  <c r="B760" i="30"/>
  <c r="B759" i="30"/>
  <c r="B758" i="30"/>
  <c r="B757" i="30"/>
  <c r="B756" i="30"/>
  <c r="B755" i="30"/>
  <c r="B754" i="30"/>
  <c r="B753" i="30"/>
  <c r="B752" i="30"/>
  <c r="B751" i="30"/>
  <c r="B750" i="30"/>
  <c r="B749" i="30"/>
  <c r="B748" i="30"/>
  <c r="B747" i="30"/>
  <c r="B746" i="30"/>
  <c r="B745" i="30"/>
  <c r="B744" i="30"/>
  <c r="B743" i="30"/>
  <c r="B742" i="30"/>
  <c r="B741" i="30"/>
  <c r="B740" i="30"/>
  <c r="B739" i="30"/>
  <c r="B738" i="30"/>
  <c r="B737" i="30"/>
  <c r="B736" i="30"/>
  <c r="B735" i="30"/>
  <c r="B734" i="30"/>
  <c r="B733" i="30"/>
  <c r="B732" i="30"/>
  <c r="B731" i="30"/>
  <c r="B730" i="30"/>
  <c r="B729" i="30"/>
  <c r="B728" i="30"/>
  <c r="B727" i="30"/>
  <c r="B726" i="30"/>
  <c r="B725" i="30"/>
  <c r="B724" i="30"/>
  <c r="B723" i="30"/>
  <c r="B722" i="30"/>
  <c r="B721" i="30"/>
  <c r="B720" i="30"/>
  <c r="B719" i="30"/>
  <c r="B718" i="30"/>
  <c r="B717" i="30"/>
  <c r="B716" i="30"/>
  <c r="B715" i="30"/>
  <c r="B714" i="30"/>
  <c r="B713" i="30"/>
  <c r="B712" i="30"/>
  <c r="B711" i="30"/>
  <c r="B710" i="30"/>
  <c r="B709" i="30"/>
  <c r="B708" i="30"/>
  <c r="B707" i="30"/>
  <c r="B706" i="30"/>
  <c r="B705" i="30"/>
  <c r="B704" i="30"/>
  <c r="B703" i="30"/>
  <c r="B702" i="30"/>
  <c r="B701" i="30"/>
  <c r="B700" i="30"/>
  <c r="B699" i="30"/>
  <c r="B698" i="30"/>
  <c r="B697" i="30"/>
  <c r="B696" i="30"/>
  <c r="B695" i="30"/>
  <c r="B694" i="30"/>
  <c r="B693" i="30"/>
  <c r="B692" i="30"/>
  <c r="B691" i="30"/>
  <c r="B690" i="30"/>
  <c r="B689" i="30"/>
  <c r="B688" i="30"/>
  <c r="B687" i="30"/>
  <c r="B686" i="30"/>
  <c r="B685" i="30"/>
  <c r="B684" i="30"/>
  <c r="B683" i="30"/>
  <c r="B682" i="30"/>
  <c r="B681" i="30"/>
  <c r="B680" i="30"/>
  <c r="B679" i="30"/>
  <c r="B678" i="30"/>
  <c r="B677" i="30"/>
  <c r="B676" i="30"/>
  <c r="B675" i="30"/>
  <c r="B674" i="30"/>
  <c r="B673" i="30"/>
  <c r="B672" i="30"/>
  <c r="B671" i="30"/>
  <c r="B670" i="30"/>
  <c r="B669" i="30"/>
  <c r="B668" i="30"/>
  <c r="B667" i="30"/>
  <c r="B666" i="30"/>
  <c r="B665" i="30"/>
  <c r="B664" i="30"/>
  <c r="B663" i="30"/>
  <c r="B662" i="30"/>
  <c r="B661" i="30"/>
  <c r="B660" i="30"/>
  <c r="B659" i="30"/>
  <c r="B658" i="30"/>
  <c r="B657" i="30"/>
  <c r="B656" i="30"/>
  <c r="B655" i="30"/>
  <c r="B654" i="30"/>
  <c r="B653" i="30"/>
  <c r="B652" i="30"/>
  <c r="B651" i="30"/>
  <c r="B650" i="30"/>
  <c r="B649" i="30"/>
  <c r="B648" i="30"/>
  <c r="B647" i="30"/>
  <c r="B646" i="30"/>
  <c r="B645" i="30"/>
  <c r="B644" i="30"/>
  <c r="B643" i="30"/>
  <c r="B642" i="30"/>
  <c r="B641" i="30"/>
  <c r="B640" i="30"/>
  <c r="B639" i="30"/>
  <c r="B638" i="30"/>
  <c r="B637" i="30"/>
  <c r="B636" i="30"/>
  <c r="B635" i="30"/>
  <c r="B634" i="30"/>
  <c r="B633" i="30"/>
  <c r="B632" i="30"/>
  <c r="B631" i="30"/>
  <c r="B630" i="30"/>
  <c r="B629" i="30"/>
  <c r="B628" i="30"/>
  <c r="B627" i="30"/>
  <c r="B626" i="30"/>
  <c r="B625" i="30"/>
  <c r="B624" i="30"/>
  <c r="B623" i="30"/>
  <c r="B622" i="30"/>
  <c r="B601" i="30"/>
  <c r="B600" i="30"/>
  <c r="B599" i="30"/>
  <c r="B598" i="30"/>
  <c r="B597" i="30"/>
  <c r="B596" i="30"/>
  <c r="B595" i="30"/>
  <c r="B594" i="30"/>
  <c r="B593" i="30"/>
  <c r="B592" i="30"/>
  <c r="B591" i="30"/>
  <c r="B590" i="30"/>
  <c r="B589" i="30"/>
  <c r="B588" i="30"/>
  <c r="B587" i="30"/>
  <c r="B586" i="30"/>
  <c r="B585" i="30"/>
  <c r="B584" i="30"/>
  <c r="B583" i="30"/>
  <c r="B582" i="30"/>
  <c r="B581" i="30"/>
  <c r="B580" i="30"/>
  <c r="B579" i="30"/>
  <c r="B578" i="30"/>
  <c r="B577" i="30"/>
  <c r="B576" i="30"/>
  <c r="B575" i="30"/>
  <c r="B574" i="30"/>
  <c r="B573" i="30"/>
  <c r="B572" i="30"/>
  <c r="B571" i="30"/>
  <c r="B570" i="30"/>
  <c r="B569" i="30"/>
  <c r="B568" i="30"/>
  <c r="B567" i="30"/>
  <c r="B566" i="30"/>
  <c r="B565" i="30"/>
  <c r="B564" i="30"/>
  <c r="B563" i="30"/>
  <c r="B562" i="30"/>
  <c r="B561" i="30"/>
  <c r="B560" i="30"/>
  <c r="B559" i="30"/>
  <c r="B558" i="30"/>
  <c r="B557" i="30"/>
  <c r="B556" i="30"/>
  <c r="B555" i="30"/>
  <c r="B554" i="30"/>
  <c r="B553" i="30"/>
  <c r="B552" i="30"/>
  <c r="B551" i="30"/>
  <c r="B550" i="30"/>
  <c r="B549" i="30"/>
  <c r="B548" i="30"/>
  <c r="B547" i="30"/>
  <c r="B546" i="30"/>
  <c r="B545" i="30"/>
  <c r="B544" i="30"/>
  <c r="B543" i="30"/>
  <c r="B542" i="30"/>
  <c r="B541" i="30"/>
  <c r="B540" i="30"/>
  <c r="B539" i="30"/>
  <c r="B538" i="30"/>
  <c r="B537" i="30"/>
  <c r="B536" i="30"/>
  <c r="B535" i="30"/>
  <c r="B534" i="30"/>
  <c r="B533" i="30"/>
  <c r="B532" i="30"/>
  <c r="B531" i="30"/>
  <c r="B530" i="30"/>
  <c r="B529" i="30"/>
  <c r="B528" i="30"/>
  <c r="B527" i="30"/>
  <c r="B526" i="30"/>
  <c r="B525" i="30"/>
  <c r="B524" i="30"/>
  <c r="B523" i="30"/>
  <c r="B522" i="30"/>
  <c r="B521" i="30"/>
  <c r="B520" i="30"/>
  <c r="B519" i="30"/>
  <c r="B518" i="30"/>
  <c r="B517" i="30"/>
  <c r="B516" i="30"/>
  <c r="B515" i="30"/>
  <c r="B514" i="30"/>
  <c r="B513" i="30"/>
  <c r="B512" i="30"/>
  <c r="B511" i="30"/>
  <c r="B510" i="30"/>
  <c r="B509" i="30"/>
  <c r="B508" i="30"/>
  <c r="B507" i="30"/>
  <c r="B506" i="30"/>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19" i="30"/>
  <c r="B18" i="30"/>
  <c r="B17" i="30"/>
  <c r="B16" i="30"/>
  <c r="B15" i="30"/>
  <c r="B14" i="30"/>
  <c r="B13" i="30"/>
  <c r="B12" i="30"/>
  <c r="B11" i="30"/>
  <c r="B10" i="30"/>
  <c r="B9" i="30"/>
  <c r="B8" i="30"/>
  <c r="B6" i="30"/>
  <c r="B5" i="30"/>
  <c r="B3" i="30"/>
  <c r="B16" i="29"/>
  <c r="B14" i="29"/>
  <c r="B11" i="29"/>
  <c r="B10" i="29"/>
  <c r="B5" i="29"/>
  <c r="C4" i="30" a="1"/>
  <c r="C20" i="30" a="1"/>
  <c r="C2" i="30" a="1"/>
  <c r="C20" i="30" l="1"/>
  <c r="B20" i="30" s="1"/>
  <c r="C4" i="30"/>
  <c r="B4" i="30" s="1"/>
  <c r="C2" i="30"/>
  <c r="B2" i="30" s="1"/>
  <c r="C15" i="29" l="1"/>
  <c r="B6" i="29" l="1"/>
  <c r="B15" i="29"/>
  <c r="B12" i="29"/>
  <c r="B7" i="29"/>
  <c r="B4" i="29"/>
  <c r="B2" i="29"/>
  <c r="Q11" i="28" l="1"/>
  <c r="J2" i="28" a="1"/>
  <c r="J2" i="28" s="1"/>
  <c r="H2" i="28" l="1" a="1"/>
  <c r="H2" i="28" s="1"/>
  <c r="I2" i="28" a="1"/>
  <c r="I2" i="28" s="1"/>
  <c r="K2" i="28" l="1" a="1"/>
  <c r="C43" i="14" a="1"/>
  <c r="B161" i="14" a="1"/>
  <c r="B161" i="14" s="1"/>
  <c r="K2" i="28" l="1"/>
  <c r="I35" i="14" s="1" a="1"/>
  <c r="I35" i="14" s="1"/>
  <c r="C43" i="14"/>
  <c r="B5" i="28"/>
  <c r="G35" i="14" l="1" a="1"/>
  <c r="H35" i="14" a="1"/>
  <c r="B487" i="14" a="1"/>
  <c r="B487" i="14" s="1"/>
  <c r="F487" i="14" s="1" a="1"/>
  <c r="B589" i="14" a="1"/>
  <c r="B589" i="14" s="1"/>
  <c r="J387" i="14" a="1"/>
  <c r="B387" i="14" a="1"/>
  <c r="B2" i="28"/>
  <c r="G35" i="14" l="1"/>
  <c r="A2" i="31" s="1" a="1"/>
  <c r="A2" i="31" s="1"/>
  <c r="C2" i="31" s="1" a="1"/>
  <c r="C2" i="31" s="1"/>
  <c r="H35" i="14"/>
  <c r="F487" i="14"/>
  <c r="F493" i="14" a="1"/>
  <c r="F493" i="14" s="1"/>
  <c r="B387" i="14"/>
  <c r="J387" i="14"/>
  <c r="B3" i="28"/>
  <c r="B4" i="28" s="1"/>
  <c r="C395" i="14" l="1" a="1"/>
  <c r="C395" i="14" s="1"/>
  <c r="K395" i="14" a="1"/>
  <c r="K395" i="14" s="1"/>
  <c r="K169" i="14" a="1"/>
  <c r="K169" i="14" s="1"/>
  <c r="C169" i="14" a="1"/>
  <c r="C169" i="14" s="1"/>
  <c r="B2" i="31" a="1"/>
  <c r="B2" i="31" s="1"/>
  <c r="B59" i="12"/>
  <c r="B58" i="12"/>
  <c r="B23" i="12"/>
  <c r="B22" i="12"/>
  <c r="E2" i="31" l="1" a="1"/>
  <c r="B9" i="12"/>
  <c r="B8" i="12"/>
  <c r="B7" i="12"/>
  <c r="B6" i="12"/>
  <c r="B5" i="12"/>
  <c r="E2" i="31" l="1"/>
  <c r="G2" i="31" s="1" a="1"/>
  <c r="G2" i="31" s="1"/>
  <c r="L2" i="31" s="1" a="1"/>
  <c r="L2" i="31" s="1"/>
  <c r="C535" i="14"/>
  <c r="F2" i="31" l="1" a="1"/>
  <c r="F2" i="31" s="1"/>
  <c r="K2" i="31" s="1" a="1"/>
  <c r="K2" i="31" s="1"/>
  <c r="H2" i="31" a="1"/>
  <c r="H2" i="31" s="1"/>
  <c r="M2" i="31" s="1" a="1"/>
  <c r="M2" i="31" s="1"/>
  <c r="I2" i="31" a="1"/>
  <c r="I2" i="31" s="1"/>
  <c r="N2" i="31" s="1" a="1"/>
  <c r="N2" i="31" s="1"/>
  <c r="R168" i="14"/>
  <c r="C532" i="14" l="1"/>
  <c r="C531" i="14" l="1"/>
  <c r="B21" i="12"/>
  <c r="B31" i="12"/>
  <c r="O32" i="11" l="1"/>
  <c r="B599" i="14" a="1"/>
  <c r="B599" i="14" s="1"/>
  <c r="C795" i="14" l="1"/>
  <c r="C796" i="14" s="1"/>
  <c r="C797" i="14" s="1"/>
  <c r="D37" i="24" l="1"/>
  <c r="C37" i="24"/>
  <c r="DD3" i="12" l="1" a="1"/>
  <c r="DD3" i="12" s="1"/>
  <c r="C712" i="14"/>
  <c r="C713" i="14"/>
  <c r="C714" i="14"/>
  <c r="C715" i="14"/>
  <c r="F716" i="14"/>
  <c r="G716" i="14"/>
  <c r="F717" i="14"/>
  <c r="G717" i="14"/>
  <c r="F721" i="14"/>
  <c r="G721" i="14"/>
  <c r="O29" i="11" l="1" a="1"/>
  <c r="O29" i="11" s="1"/>
  <c r="O28" i="11" a="1"/>
  <c r="O28" i="11" s="1"/>
  <c r="O22" i="11"/>
  <c r="C12" i="14" l="1"/>
  <c r="N770" i="14" l="1"/>
  <c r="L135" i="14"/>
  <c r="L130" i="14" a="1"/>
  <c r="L130" i="14" s="1"/>
  <c r="N777" i="14" l="1"/>
  <c r="N778" i="14" s="1"/>
  <c r="G6" i="17"/>
  <c r="G5" i="17"/>
  <c r="B33" i="12"/>
  <c r="A49" i="26"/>
  <c r="A48" i="26"/>
  <c r="A45" i="26"/>
  <c r="A44" i="26"/>
  <c r="A42" i="26"/>
  <c r="A40" i="26"/>
  <c r="A38" i="26"/>
  <c r="A37" i="26"/>
  <c r="A36" i="26"/>
  <c r="A35" i="26"/>
  <c r="A33" i="26"/>
  <c r="A31" i="26"/>
  <c r="A30" i="26"/>
  <c r="A29" i="26"/>
  <c r="A27" i="26"/>
  <c r="A26" i="26"/>
  <c r="A25" i="26"/>
  <c r="A24" i="26"/>
  <c r="A22" i="26"/>
  <c r="A21" i="26"/>
  <c r="A20" i="26"/>
  <c r="A18" i="26"/>
  <c r="A17" i="26"/>
  <c r="A16" i="26"/>
  <c r="A15" i="26"/>
  <c r="A14" i="26"/>
  <c r="A13" i="26"/>
  <c r="A12" i="26"/>
  <c r="A11" i="26"/>
  <c r="A10" i="26"/>
  <c r="A9" i="26"/>
  <c r="A7" i="26"/>
  <c r="A6" i="26"/>
  <c r="A5" i="26"/>
  <c r="A41" i="24"/>
  <c r="F37" i="24" a="1"/>
  <c r="F37" i="24" s="1"/>
  <c r="N781" i="14" l="1"/>
  <c r="B37" i="24"/>
  <c r="B41" i="24" s="1"/>
  <c r="D1" i="22" s="1"/>
  <c r="AH2" i="11"/>
  <c r="AG2" i="11"/>
  <c r="AF2" i="11"/>
  <c r="AE2" i="11"/>
  <c r="AD2" i="11"/>
  <c r="AC2" i="11"/>
  <c r="AB2" i="11"/>
  <c r="AA2" i="11"/>
  <c r="Z2" i="11"/>
  <c r="Y2" i="11"/>
  <c r="X2" i="11"/>
  <c r="W2" i="11"/>
  <c r="V2" i="11"/>
  <c r="U2" i="11"/>
  <c r="T2" i="11"/>
  <c r="S2" i="11"/>
  <c r="R2" i="11"/>
  <c r="Q2" i="11"/>
  <c r="P2" i="11"/>
  <c r="D31" i="24"/>
  <c r="B33" i="24"/>
  <c r="B32" i="24"/>
  <c r="B31" i="24"/>
  <c r="A33" i="24"/>
  <c r="A32" i="24"/>
  <c r="A31" i="24"/>
  <c r="BS229" i="12"/>
  <c r="BS228" i="12"/>
  <c r="BS227" i="12"/>
  <c r="BS226" i="12"/>
  <c r="BS225" i="12"/>
  <c r="BS224" i="12"/>
  <c r="BS223" i="12"/>
  <c r="BS222" i="12"/>
  <c r="BS221" i="12"/>
  <c r="BS220" i="12"/>
  <c r="BS219" i="12"/>
  <c r="BS218" i="12"/>
  <c r="BS217" i="12"/>
  <c r="BS216" i="12"/>
  <c r="BS215" i="12"/>
  <c r="BS214" i="12"/>
  <c r="BS213" i="12"/>
  <c r="BS212" i="12"/>
  <c r="BS211" i="12"/>
  <c r="BS210" i="12"/>
  <c r="BS209" i="12"/>
  <c r="BS208" i="12"/>
  <c r="BS207" i="12"/>
  <c r="BS206" i="12"/>
  <c r="BS205" i="12"/>
  <c r="BS204" i="12"/>
  <c r="BS203" i="12"/>
  <c r="BS202" i="12"/>
  <c r="BS201" i="12"/>
  <c r="BS200" i="12"/>
  <c r="BS199" i="12"/>
  <c r="BS198" i="12"/>
  <c r="BS197" i="12"/>
  <c r="BS196" i="12"/>
  <c r="BS195" i="12"/>
  <c r="BS194" i="12"/>
  <c r="BS193" i="12"/>
  <c r="BS192" i="12"/>
  <c r="BS191" i="12"/>
  <c r="BS190" i="12"/>
  <c r="BS189" i="12"/>
  <c r="BS188" i="12"/>
  <c r="BS187" i="12"/>
  <c r="BS186" i="12"/>
  <c r="BS185" i="12"/>
  <c r="BS184" i="12"/>
  <c r="BS183" i="12"/>
  <c r="BS182" i="12"/>
  <c r="BS181" i="12"/>
  <c r="BS180" i="12"/>
  <c r="BS179" i="12"/>
  <c r="BS178" i="12"/>
  <c r="BS177" i="12"/>
  <c r="BS176" i="12"/>
  <c r="BS175" i="12"/>
  <c r="BS174" i="12"/>
  <c r="BS173" i="12"/>
  <c r="BS172" i="12"/>
  <c r="BS171" i="12"/>
  <c r="BS170" i="12"/>
  <c r="BS169" i="12"/>
  <c r="BS168" i="12"/>
  <c r="BS167" i="12"/>
  <c r="BS166" i="12"/>
  <c r="BS165" i="12"/>
  <c r="BS164" i="12"/>
  <c r="BS163" i="12"/>
  <c r="BS162" i="12"/>
  <c r="BS161" i="12"/>
  <c r="BS160" i="12"/>
  <c r="BS159" i="12"/>
  <c r="BS158" i="12"/>
  <c r="BS157" i="12"/>
  <c r="BS156" i="12"/>
  <c r="BS155" i="12"/>
  <c r="BS154" i="12"/>
  <c r="BS153" i="12"/>
  <c r="BS152" i="12"/>
  <c r="BS151" i="12"/>
  <c r="BS150" i="12"/>
  <c r="BS149" i="12"/>
  <c r="BS148" i="12"/>
  <c r="BS147" i="12"/>
  <c r="BS146" i="12"/>
  <c r="BS145" i="12"/>
  <c r="BS144" i="12"/>
  <c r="BS143" i="12"/>
  <c r="BS142" i="12"/>
  <c r="BS141" i="12"/>
  <c r="BS140" i="12"/>
  <c r="BS139" i="12"/>
  <c r="BS138" i="12"/>
  <c r="BS137" i="12"/>
  <c r="BS136" i="12"/>
  <c r="BS135" i="12"/>
  <c r="BS134" i="12"/>
  <c r="BS133" i="12"/>
  <c r="BS132" i="12"/>
  <c r="BS131" i="12"/>
  <c r="BS130" i="12"/>
  <c r="BS129" i="12"/>
  <c r="BS128" i="12"/>
  <c r="BS127" i="12"/>
  <c r="BS126" i="12"/>
  <c r="BS125" i="12"/>
  <c r="BS124" i="12"/>
  <c r="BS123" i="12"/>
  <c r="BS122" i="12"/>
  <c r="BS121" i="12"/>
  <c r="BS120" i="12"/>
  <c r="BS119" i="12"/>
  <c r="BS118" i="12"/>
  <c r="BS117" i="12"/>
  <c r="BS116" i="12"/>
  <c r="BS115" i="12"/>
  <c r="BS114" i="12"/>
  <c r="BS113" i="12"/>
  <c r="BS112" i="12"/>
  <c r="BS111" i="12"/>
  <c r="BS110" i="12"/>
  <c r="BS109" i="12"/>
  <c r="BS108" i="12"/>
  <c r="BS107" i="12"/>
  <c r="BS106" i="12"/>
  <c r="BS105" i="12"/>
  <c r="BS104" i="12"/>
  <c r="BS103" i="12"/>
  <c r="BS102" i="12"/>
  <c r="BS101" i="12"/>
  <c r="BS100" i="12"/>
  <c r="BS99" i="12"/>
  <c r="BS98" i="12"/>
  <c r="BS97" i="12"/>
  <c r="BS96" i="12"/>
  <c r="BS95" i="12"/>
  <c r="BS94" i="12"/>
  <c r="BS93" i="12"/>
  <c r="BS92" i="12"/>
  <c r="BS91" i="12"/>
  <c r="BS90" i="12"/>
  <c r="BS89" i="12"/>
  <c r="BS88" i="12"/>
  <c r="BS87" i="12"/>
  <c r="BS86" i="12"/>
  <c r="BS85" i="12"/>
  <c r="BS84" i="12"/>
  <c r="BS83" i="12"/>
  <c r="BS82" i="12"/>
  <c r="BS81" i="12"/>
  <c r="BS80" i="12"/>
  <c r="BS79" i="12"/>
  <c r="BS78" i="12"/>
  <c r="BS77" i="12"/>
  <c r="BS76" i="12"/>
  <c r="BS75" i="12"/>
  <c r="BS74" i="12"/>
  <c r="BS73" i="12"/>
  <c r="BS72" i="12"/>
  <c r="BS71" i="12"/>
  <c r="BS70" i="12"/>
  <c r="BS69" i="12"/>
  <c r="BS68" i="12"/>
  <c r="BS67" i="12"/>
  <c r="BS66" i="12"/>
  <c r="BS65" i="12"/>
  <c r="BS64" i="12"/>
  <c r="BS63" i="12"/>
  <c r="BS62" i="12"/>
  <c r="BS61" i="12"/>
  <c r="BS60" i="12"/>
  <c r="BS59" i="12"/>
  <c r="BS58" i="12"/>
  <c r="BS57" i="12"/>
  <c r="BS56" i="12"/>
  <c r="BS55" i="12"/>
  <c r="BS54" i="12"/>
  <c r="BS53" i="12"/>
  <c r="BS52" i="12"/>
  <c r="BS51" i="12"/>
  <c r="BS50" i="12"/>
  <c r="BS49" i="12"/>
  <c r="BS48" i="12"/>
  <c r="BS47" i="12"/>
  <c r="BS46" i="12"/>
  <c r="BS45" i="12"/>
  <c r="BS44" i="12"/>
  <c r="BS43" i="12"/>
  <c r="BS42" i="12"/>
  <c r="BS41" i="12"/>
  <c r="BS40" i="12"/>
  <c r="BS39" i="12"/>
  <c r="BS38" i="12"/>
  <c r="BS37" i="12"/>
  <c r="BS36" i="12"/>
  <c r="BS35" i="12"/>
  <c r="BS34" i="12"/>
  <c r="BS33" i="12"/>
  <c r="BS32" i="12"/>
  <c r="BS31" i="12"/>
  <c r="BS30" i="12"/>
  <c r="BS29" i="12"/>
  <c r="BS28" i="12"/>
  <c r="BS27" i="12"/>
  <c r="BS26" i="12"/>
  <c r="BS25" i="12"/>
  <c r="BS24" i="12"/>
  <c r="BS23" i="12"/>
  <c r="BS22" i="12"/>
  <c r="BS21" i="12"/>
  <c r="BS20" i="12"/>
  <c r="BS19" i="12"/>
  <c r="BS18" i="12"/>
  <c r="BS17" i="12"/>
  <c r="BS16" i="12"/>
  <c r="BS15" i="12"/>
  <c r="BS14" i="12"/>
  <c r="BS13" i="12"/>
  <c r="BS12" i="12"/>
  <c r="BS11" i="12"/>
  <c r="BS10" i="12"/>
  <c r="BS9" i="12"/>
  <c r="BS8" i="12"/>
  <c r="BS7" i="12"/>
  <c r="BS6" i="12"/>
  <c r="BS5" i="12"/>
  <c r="C589" i="14" a="1"/>
  <c r="C589" i="14" s="1"/>
  <c r="AN8" i="12"/>
  <c r="AM8" i="12"/>
  <c r="AL8" i="12"/>
  <c r="AK8" i="12"/>
  <c r="AN7" i="12"/>
  <c r="AM7" i="12"/>
  <c r="AL7" i="12"/>
  <c r="AK7" i="12"/>
  <c r="C585" i="14" a="1"/>
  <c r="C585" i="14" s="1"/>
  <c r="AG41" i="12"/>
  <c r="L752" i="14"/>
  <c r="L753" i="14"/>
  <c r="N785" i="14"/>
  <c r="C387" i="14" l="1" a="1"/>
  <c r="C387" i="14" s="1"/>
  <c r="K387" i="14" a="1"/>
  <c r="K387" i="14" s="1"/>
  <c r="K38" i="22" a="1"/>
  <c r="K38" i="22" s="1"/>
  <c r="C161" i="14" a="1"/>
  <c r="C161" i="14" s="1"/>
  <c r="N782" i="14"/>
  <c r="H47" i="22" a="1"/>
  <c r="H47" i="22" s="1"/>
  <c r="N3" i="22" a="1"/>
  <c r="N3" i="22" s="1"/>
  <c r="B3" i="22" a="1"/>
  <c r="B3" i="22" s="1"/>
  <c r="B11" i="22" a="1"/>
  <c r="B11" i="22" s="1"/>
  <c r="D29" i="21"/>
  <c r="D29" i="26" s="1"/>
  <c r="H26" i="22" a="1"/>
  <c r="H26" i="22" s="1"/>
  <c r="C54" i="21"/>
  <c r="C54" i="26" s="1"/>
  <c r="K3" i="22" a="1"/>
  <c r="K3" i="22" s="1"/>
  <c r="C19" i="21"/>
  <c r="C19" i="26" s="1"/>
  <c r="H3" i="22" a="1"/>
  <c r="H3" i="22" s="1"/>
  <c r="E27" i="22" a="1"/>
  <c r="E27" i="22" s="1"/>
  <c r="D24" i="21"/>
  <c r="D24" i="26" s="1"/>
  <c r="C49" i="21"/>
  <c r="C49" i="26" s="1"/>
  <c r="D16" i="21"/>
  <c r="D16" i="26" s="1"/>
  <c r="B56" i="22" a="1"/>
  <c r="B56" i="22" s="1"/>
  <c r="D54" i="21"/>
  <c r="D54" i="26" s="1"/>
  <c r="C22" i="21"/>
  <c r="C22" i="26" s="1"/>
  <c r="C44" i="21"/>
  <c r="C44" i="26" s="1"/>
  <c r="C14" i="21"/>
  <c r="C14" i="26" s="1"/>
  <c r="D49" i="21"/>
  <c r="D49" i="26" s="1"/>
  <c r="D19" i="21"/>
  <c r="D19" i="26" s="1"/>
  <c r="C39" i="21"/>
  <c r="C39" i="26" s="1"/>
  <c r="C9" i="21"/>
  <c r="C9" i="26" s="1"/>
  <c r="D44" i="21"/>
  <c r="D44" i="26" s="1"/>
  <c r="D14" i="21"/>
  <c r="D14" i="26" s="1"/>
  <c r="D36" i="21"/>
  <c r="D36" i="26" s="1"/>
  <c r="D40" i="21"/>
  <c r="D40" i="26" s="1"/>
  <c r="B32" i="22" a="1"/>
  <c r="B32" i="22" s="1"/>
  <c r="C42" i="21"/>
  <c r="C42" i="26" s="1"/>
  <c r="D9" i="21"/>
  <c r="D9" i="26" s="1"/>
  <c r="C34" i="21"/>
  <c r="C34" i="26" s="1"/>
  <c r="D35" i="21"/>
  <c r="D35" i="26" s="1"/>
  <c r="D39" i="21"/>
  <c r="D39" i="26" s="1"/>
  <c r="D4" i="21"/>
  <c r="D4" i="26" s="1"/>
  <c r="C29" i="21"/>
  <c r="C29" i="26" s="1"/>
  <c r="C8" i="21"/>
  <c r="C8" i="26" s="1"/>
  <c r="D34" i="21"/>
  <c r="D34" i="26" s="1"/>
  <c r="C2" i="21"/>
  <c r="C2" i="26" s="1"/>
  <c r="C24" i="21"/>
  <c r="C24" i="26" s="1"/>
  <c r="C3" i="21"/>
  <c r="C3" i="26" s="1"/>
  <c r="D25" i="21"/>
  <c r="D25" i="26" s="1"/>
  <c r="D15" i="21"/>
  <c r="D15" i="26" s="1"/>
  <c r="C15" i="21"/>
  <c r="C15" i="26" s="1"/>
  <c r="C10" i="21"/>
  <c r="C10" i="26" s="1"/>
  <c r="C5" i="21"/>
  <c r="C5" i="26" s="1"/>
  <c r="C41" i="21"/>
  <c r="C41" i="26" s="1"/>
  <c r="C43" i="21"/>
  <c r="C43" i="26" s="1"/>
  <c r="C46" i="21"/>
  <c r="C46" i="26" s="1"/>
  <c r="C16" i="21"/>
  <c r="C16" i="26" s="1"/>
  <c r="C11" i="21"/>
  <c r="C11" i="26" s="1"/>
  <c r="C53" i="21"/>
  <c r="C53" i="26" s="1"/>
  <c r="D10" i="21"/>
  <c r="D10" i="26" s="1"/>
  <c r="C36" i="21"/>
  <c r="C36" i="26" s="1"/>
  <c r="C50" i="21"/>
  <c r="C50" i="26" s="1"/>
  <c r="C4" i="21"/>
  <c r="C4" i="26" s="1"/>
  <c r="D52" i="21"/>
  <c r="D52" i="26" s="1"/>
  <c r="C26" i="21"/>
  <c r="C26" i="26" s="1"/>
  <c r="D27" i="21"/>
  <c r="D27" i="26" s="1"/>
  <c r="D45" i="21"/>
  <c r="D45" i="26" s="1"/>
  <c r="C25" i="21"/>
  <c r="C25" i="26" s="1"/>
  <c r="C21" i="21"/>
  <c r="C21" i="26" s="1"/>
  <c r="D17" i="21"/>
  <c r="D17" i="26" s="1"/>
  <c r="K21" i="22" a="1"/>
  <c r="K21" i="22" s="1"/>
  <c r="C37" i="21"/>
  <c r="C37" i="26" s="1"/>
  <c r="C17" i="21"/>
  <c r="C17" i="26" s="1"/>
  <c r="D51" i="21"/>
  <c r="D51" i="26" s="1"/>
  <c r="D31" i="21"/>
  <c r="D31" i="26" s="1"/>
  <c r="D11" i="21"/>
  <c r="D11" i="26" s="1"/>
  <c r="D30" i="21"/>
  <c r="D30" i="26" s="1"/>
  <c r="D42" i="21"/>
  <c r="D42" i="26" s="1"/>
  <c r="D53" i="21"/>
  <c r="D53" i="26" s="1"/>
  <c r="D33" i="21"/>
  <c r="D33" i="26" s="1"/>
  <c r="D13" i="21"/>
  <c r="D13" i="26" s="1"/>
  <c r="C38" i="21"/>
  <c r="C38" i="26" s="1"/>
  <c r="D47" i="21"/>
  <c r="D47" i="26" s="1"/>
  <c r="D12" i="21"/>
  <c r="D12" i="26" s="1"/>
  <c r="D37" i="21"/>
  <c r="D37" i="26" s="1"/>
  <c r="C51" i="21"/>
  <c r="C51" i="26" s="1"/>
  <c r="C31" i="21"/>
  <c r="C31" i="26" s="1"/>
  <c r="C33" i="21"/>
  <c r="C33" i="26" s="1"/>
  <c r="C45" i="21"/>
  <c r="C45" i="26" s="1"/>
  <c r="D7" i="21"/>
  <c r="D7" i="26" s="1"/>
  <c r="B38" i="22" a="1"/>
  <c r="B38" i="22" s="1"/>
  <c r="E3" i="22" a="1"/>
  <c r="E3" i="22" s="1"/>
  <c r="C52" i="21"/>
  <c r="C52" i="26" s="1"/>
  <c r="C32" i="21"/>
  <c r="C32" i="26" s="1"/>
  <c r="C12" i="21"/>
  <c r="C12" i="26" s="1"/>
  <c r="D46" i="21"/>
  <c r="D46" i="26" s="1"/>
  <c r="D26" i="21"/>
  <c r="D26" i="26" s="1"/>
  <c r="D6" i="21"/>
  <c r="D6" i="26" s="1"/>
  <c r="D20" i="21"/>
  <c r="D20" i="26" s="1"/>
  <c r="C30" i="21"/>
  <c r="C30" i="26" s="1"/>
  <c r="D48" i="21"/>
  <c r="D48" i="26" s="1"/>
  <c r="D28" i="21"/>
  <c r="D28" i="26" s="1"/>
  <c r="D8" i="21"/>
  <c r="D8" i="26" s="1"/>
  <c r="C28" i="21"/>
  <c r="C28" i="26" s="1"/>
  <c r="C40" i="21"/>
  <c r="C40" i="26" s="1"/>
  <c r="D2" i="21"/>
  <c r="D2" i="26" s="1"/>
  <c r="C6" i="21"/>
  <c r="C6" i="26" s="1"/>
  <c r="C23" i="21"/>
  <c r="C23" i="26" s="1"/>
  <c r="C35" i="21"/>
  <c r="C35" i="26" s="1"/>
  <c r="K9" i="22" a="1"/>
  <c r="K9" i="22" s="1"/>
  <c r="C47" i="21"/>
  <c r="C47" i="26" s="1"/>
  <c r="C27" i="21"/>
  <c r="C27" i="26" s="1"/>
  <c r="C7" i="21"/>
  <c r="C7" i="26" s="1"/>
  <c r="D41" i="21"/>
  <c r="D41" i="26" s="1"/>
  <c r="D21" i="21"/>
  <c r="D21" i="26" s="1"/>
  <c r="D50" i="21"/>
  <c r="D50" i="26" s="1"/>
  <c r="C13" i="21"/>
  <c r="C13" i="26" s="1"/>
  <c r="C20" i="21"/>
  <c r="C20" i="26" s="1"/>
  <c r="D43" i="21"/>
  <c r="D43" i="26" s="1"/>
  <c r="D23" i="21"/>
  <c r="D23" i="26" s="1"/>
  <c r="D3" i="21"/>
  <c r="D3" i="26" s="1"/>
  <c r="C18" i="21"/>
  <c r="C18" i="26" s="1"/>
  <c r="D32" i="21"/>
  <c r="D32" i="26" s="1"/>
  <c r="D38" i="21"/>
  <c r="D38" i="26" s="1"/>
  <c r="D18" i="21"/>
  <c r="D18" i="26" s="1"/>
  <c r="C48" i="21"/>
  <c r="C48" i="26" s="1"/>
  <c r="D5" i="21"/>
  <c r="D5" i="26" s="1"/>
  <c r="D22" i="21"/>
  <c r="D22" i="26" s="1"/>
  <c r="D41" i="24" a="1"/>
  <c r="D41" i="24" s="1"/>
  <c r="E32" i="24"/>
  <c r="F32" i="24" s="1"/>
  <c r="H32" i="24" s="1"/>
  <c r="E31" i="24"/>
  <c r="F31" i="24" s="1"/>
  <c r="H31" i="24" s="1"/>
  <c r="P3" i="11" a="1"/>
  <c r="B54" i="21" s="1"/>
  <c r="B54" i="26" s="1"/>
  <c r="E33" i="24"/>
  <c r="F33" i="24" s="1"/>
  <c r="H33" i="24" s="1"/>
  <c r="B52" i="21" l="1"/>
  <c r="B52" i="26" s="1"/>
  <c r="B53" i="21"/>
  <c r="B53" i="26" s="1"/>
  <c r="B50" i="21"/>
  <c r="B50" i="26" s="1"/>
  <c r="B51" i="21"/>
  <c r="B51" i="26" s="1"/>
  <c r="B46" i="21"/>
  <c r="B46" i="26" s="1"/>
  <c r="B47" i="21" a="1"/>
  <c r="B41" i="21" a="1"/>
  <c r="B43" i="21" a="1"/>
  <c r="B34" i="21" a="1"/>
  <c r="B39" i="21" a="1"/>
  <c r="B28" i="21" a="1"/>
  <c r="B32" i="21" a="1"/>
  <c r="B19" i="21" a="1"/>
  <c r="B23" i="21" a="1"/>
  <c r="B8" i="21" a="1"/>
  <c r="B4" i="21" a="1"/>
  <c r="B3" i="21"/>
  <c r="B3" i="26" s="1"/>
  <c r="A54" i="21" a="1"/>
  <c r="A54" i="21" s="1"/>
  <c r="A54" i="26" s="1"/>
  <c r="B2" i="21" a="1"/>
  <c r="B2" i="21" s="1"/>
  <c r="B2" i="26" s="1"/>
  <c r="A52" i="21" a="1"/>
  <c r="A52" i="21" s="1"/>
  <c r="A52" i="26" s="1"/>
  <c r="A53" i="21" a="1"/>
  <c r="A53" i="21" s="1"/>
  <c r="A53" i="26" s="1"/>
  <c r="A50" i="21" a="1"/>
  <c r="A50" i="21" s="1"/>
  <c r="A50" i="26" s="1"/>
  <c r="A51" i="21" a="1"/>
  <c r="A51" i="21" s="1"/>
  <c r="A51" i="26" s="1"/>
  <c r="A46" i="21" a="1"/>
  <c r="A46" i="21" s="1"/>
  <c r="A46" i="26" s="1"/>
  <c r="A47" i="21" a="1"/>
  <c r="A47" i="21" s="1"/>
  <c r="A47" i="26" s="1"/>
  <c r="A41" i="21" a="1"/>
  <c r="A41" i="21" s="1"/>
  <c r="A41" i="26" s="1"/>
  <c r="A43" i="21" a="1"/>
  <c r="A43" i="21" s="1"/>
  <c r="A43" i="26" s="1"/>
  <c r="A34" i="21" a="1"/>
  <c r="A34" i="21" s="1"/>
  <c r="A34" i="26" s="1"/>
  <c r="A39" i="21" a="1"/>
  <c r="A39" i="21" s="1"/>
  <c r="A39" i="26" s="1"/>
  <c r="A28" i="21" a="1"/>
  <c r="A28" i="21" s="1"/>
  <c r="A28" i="26" s="1"/>
  <c r="A32" i="21" a="1"/>
  <c r="A32" i="21" s="1"/>
  <c r="A32" i="26" s="1"/>
  <c r="A19" i="21" a="1"/>
  <c r="A19" i="21" s="1"/>
  <c r="A19" i="26" s="1"/>
  <c r="A23" i="21" a="1"/>
  <c r="A23" i="21" s="1"/>
  <c r="A23" i="26" s="1"/>
  <c r="A4" i="21" a="1"/>
  <c r="A4" i="21" s="1"/>
  <c r="A4" i="26" s="1"/>
  <c r="A8" i="21" a="1"/>
  <c r="A8" i="21" s="1"/>
  <c r="A8" i="26" s="1"/>
  <c r="P3" i="11"/>
  <c r="A2" i="21" s="1" a="1"/>
  <c r="A2" i="21" s="1"/>
  <c r="A2" i="26" s="1"/>
  <c r="A3" i="21" a="1"/>
  <c r="A3" i="21" s="1"/>
  <c r="A3" i="26" s="1"/>
  <c r="G31" i="24"/>
  <c r="G33" i="24"/>
  <c r="G32" i="24"/>
  <c r="B39" i="21" l="1"/>
  <c r="B39" i="26" s="1"/>
  <c r="B40" i="26"/>
  <c r="B23" i="21"/>
  <c r="B23" i="26" s="1"/>
  <c r="B26" i="26"/>
  <c r="B27" i="26"/>
  <c r="B24" i="26"/>
  <c r="B25" i="26"/>
  <c r="B34" i="21"/>
  <c r="B34" i="26" s="1"/>
  <c r="B38" i="26"/>
  <c r="B37" i="26"/>
  <c r="B35" i="26"/>
  <c r="B36" i="26"/>
  <c r="B8" i="21"/>
  <c r="B8" i="26" s="1"/>
  <c r="B18" i="26"/>
  <c r="B13" i="26"/>
  <c r="B16" i="26"/>
  <c r="B17" i="26"/>
  <c r="B14" i="26"/>
  <c r="B9" i="26"/>
  <c r="B15" i="26"/>
  <c r="B10" i="26"/>
  <c r="B11" i="26"/>
  <c r="B12" i="26"/>
  <c r="B19" i="21"/>
  <c r="B19" i="26" s="1"/>
  <c r="B20" i="26"/>
  <c r="B21" i="26"/>
  <c r="B22" i="26"/>
  <c r="B43" i="21"/>
  <c r="B43" i="26" s="1"/>
  <c r="B44" i="26"/>
  <c r="B45" i="26"/>
  <c r="B32" i="21"/>
  <c r="B32" i="26" s="1"/>
  <c r="B33" i="26"/>
  <c r="B41" i="21"/>
  <c r="B41" i="26" s="1"/>
  <c r="B42" i="26"/>
  <c r="B4" i="21"/>
  <c r="B4" i="26" s="1"/>
  <c r="B5" i="26"/>
  <c r="B6" i="26"/>
  <c r="B7" i="26"/>
  <c r="B28" i="21"/>
  <c r="B28" i="26" s="1"/>
  <c r="B29" i="26"/>
  <c r="B30" i="26"/>
  <c r="B31" i="26"/>
  <c r="B47" i="21"/>
  <c r="B47" i="26" s="1"/>
  <c r="B48" i="26"/>
  <c r="B49" i="26"/>
  <c r="O7" i="11" a="1"/>
  <c r="O7" i="11" s="1"/>
  <c r="O12" i="11" a="1"/>
  <c r="O19" i="11" s="1"/>
  <c r="O12" i="11" l="1"/>
  <c r="O18" i="11"/>
  <c r="O17" i="11" l="1"/>
  <c r="D34" i="14" l="1" a="1"/>
  <c r="D34" i="14" s="1"/>
  <c r="M11" i="8"/>
  <c r="G378" i="14"/>
  <c r="G152" i="14"/>
  <c r="AA52" i="12"/>
  <c r="C53" i="14" a="1"/>
  <c r="C53" i="14" s="1"/>
  <c r="D41" i="14"/>
  <c r="C41" i="14"/>
  <c r="D43" i="14" a="1"/>
  <c r="D43" i="14" s="1"/>
  <c r="B53" i="5"/>
  <c r="B621" i="14" a="1"/>
  <c r="B621" i="14" s="1"/>
  <c r="D621" i="14" s="1" a="1"/>
  <c r="D621" i="14" s="1"/>
  <c r="C599" i="14" a="1"/>
  <c r="C599" i="14" s="1"/>
  <c r="C658" i="14"/>
  <c r="C621" i="14" l="1" a="1"/>
  <c r="C621" i="14" s="1"/>
  <c r="H621" i="14" s="1"/>
  <c r="D599" i="14" a="1"/>
  <c r="D599" i="14" s="1"/>
  <c r="H599" i="14" s="1"/>
  <c r="E760" i="14" l="1"/>
  <c r="D40" i="14" l="1"/>
  <c r="D39" i="14"/>
  <c r="C40" i="14"/>
  <c r="C39" i="14"/>
  <c r="C596" i="14"/>
  <c r="D57" i="14" l="1"/>
  <c r="B596" i="14"/>
  <c r="C594" i="14" a="1"/>
  <c r="C594" i="14" s="1"/>
  <c r="B594" i="14" a="1"/>
  <c r="B594" i="14" s="1"/>
  <c r="J394" i="14" l="1"/>
  <c r="B394" i="14"/>
  <c r="B168" i="14"/>
  <c r="J168" i="14"/>
  <c r="B169" i="14" l="1" a="1"/>
  <c r="J395" i="14" a="1"/>
  <c r="J395" i="14" s="1"/>
  <c r="B395" i="14" a="1"/>
  <c r="B395" i="14" s="1"/>
  <c r="J169" i="14" a="1"/>
  <c r="J169" i="14" s="1"/>
  <c r="B169" i="14" l="1"/>
  <c r="C392" i="14" a="1"/>
  <c r="C392" i="14" s="1"/>
  <c r="K392" i="14" a="1"/>
  <c r="K392" i="14" s="1"/>
  <c r="O392" i="14" s="1"/>
  <c r="J392" i="14" a="1"/>
  <c r="J392" i="14" s="1"/>
  <c r="B392" i="14" a="1"/>
  <c r="B392" i="14" s="1"/>
  <c r="K166" i="14" a="1"/>
  <c r="K166" i="14" s="1"/>
  <c r="J166" i="14" a="1"/>
  <c r="J166" i="14" s="1"/>
  <c r="C166" i="14" a="1"/>
  <c r="C166" i="14" s="1"/>
  <c r="B166" i="14" a="1"/>
  <c r="B166" i="14" s="1"/>
  <c r="C36" i="14"/>
  <c r="C34" i="14"/>
  <c r="C35" i="14"/>
  <c r="O135" i="14" s="1"/>
  <c r="AA32" i="12"/>
  <c r="AA33" i="12"/>
  <c r="AA34" i="12"/>
  <c r="AA35" i="12"/>
  <c r="AA36" i="12"/>
  <c r="AA37" i="12"/>
  <c r="AA38" i="12"/>
  <c r="AA39" i="12"/>
  <c r="AA40" i="12"/>
  <c r="AA41" i="12"/>
  <c r="AA42" i="12"/>
  <c r="AA43" i="12"/>
  <c r="AA44" i="12"/>
  <c r="AA45" i="12"/>
  <c r="AA46" i="12"/>
  <c r="AA47" i="12"/>
  <c r="AA48" i="12"/>
  <c r="AA49" i="12"/>
  <c r="AA50" i="12"/>
  <c r="AA51" i="12"/>
  <c r="AA53" i="12"/>
  <c r="AA54" i="12"/>
  <c r="AA55" i="12"/>
  <c r="AA56" i="12"/>
  <c r="AA57" i="12"/>
  <c r="AA31" i="12"/>
  <c r="AA30" i="12"/>
  <c r="AA29" i="12"/>
  <c r="AA28" i="12"/>
  <c r="AA27" i="12"/>
  <c r="AA26" i="12"/>
  <c r="AA25" i="12"/>
  <c r="AA24" i="12"/>
  <c r="AA23" i="12"/>
  <c r="AA22" i="12"/>
  <c r="AA21" i="12"/>
  <c r="AA20" i="12"/>
  <c r="AA19" i="12"/>
  <c r="AA18" i="12"/>
  <c r="AA17" i="12"/>
  <c r="AA16" i="12"/>
  <c r="AA15" i="12"/>
  <c r="AA14" i="12"/>
  <c r="AA13" i="12"/>
  <c r="AA12" i="12"/>
  <c r="AA11" i="12"/>
  <c r="AA10" i="12"/>
  <c r="AA9" i="12"/>
  <c r="AA8" i="12"/>
  <c r="AA7" i="12"/>
  <c r="AA6" i="12"/>
  <c r="AA5" i="12"/>
  <c r="G127" i="14"/>
  <c r="G130" i="14" s="1" a="1"/>
  <c r="G130" i="14" s="1"/>
  <c r="J127" i="14"/>
  <c r="H127" i="14"/>
  <c r="H130" i="14" s="1" a="1"/>
  <c r="H130" i="14" s="1"/>
  <c r="Q10" i="28" l="1" a="1"/>
  <c r="Q10" i="28" s="1"/>
  <c r="J135" i="14"/>
  <c r="M127" i="14"/>
  <c r="M130" i="14" s="1" a="1"/>
  <c r="M130" i="14" s="1"/>
  <c r="B36" i="14"/>
  <c r="B34" i="14"/>
  <c r="B35" i="14"/>
  <c r="G392" i="14"/>
  <c r="H594" i="14"/>
  <c r="H135" i="14"/>
  <c r="G135" i="14"/>
  <c r="D585" i="14" l="1" a="1"/>
  <c r="D585" i="14" s="1"/>
  <c r="C157" i="14" a="1"/>
  <c r="C157" i="14" s="1"/>
  <c r="G157" i="14" s="1"/>
  <c r="K383" i="14" a="1"/>
  <c r="K383" i="14" s="1"/>
  <c r="O383" i="14" s="1"/>
  <c r="C383" i="14" a="1"/>
  <c r="C383" i="14" s="1"/>
  <c r="G383" i="14" s="1"/>
  <c r="K157" i="14" a="1"/>
  <c r="K157" i="14" s="1"/>
  <c r="O157" i="14" s="1"/>
  <c r="E585" i="14" a="1"/>
  <c r="E585" i="14" s="1"/>
  <c r="B39" i="14" a="1"/>
  <c r="B39" i="14" s="1"/>
  <c r="C127" i="14"/>
  <c r="C130" i="14" l="1" a="1"/>
  <c r="C130" i="14" s="1"/>
  <c r="H585" i="14"/>
  <c r="E650" i="14" s="1"/>
  <c r="C135" i="14"/>
  <c r="E46" i="8" l="1"/>
  <c r="E56" i="8" l="1"/>
  <c r="C56" i="8"/>
  <c r="C46" i="8"/>
  <c r="H56" i="8"/>
  <c r="G56" i="8"/>
  <c r="H46" i="8"/>
  <c r="G46" i="8"/>
  <c r="D11" i="8"/>
  <c r="D12" i="8"/>
  <c r="D13" i="8"/>
  <c r="AD1" i="11"/>
  <c r="AE1" i="11"/>
  <c r="AF1" i="11"/>
  <c r="AG1" i="11"/>
  <c r="AH1" i="11"/>
  <c r="Q1" i="11"/>
  <c r="R1" i="11"/>
  <c r="S1" i="11"/>
  <c r="T1" i="11"/>
  <c r="U1" i="11"/>
  <c r="V1" i="11"/>
  <c r="W1" i="11"/>
  <c r="X1" i="11"/>
  <c r="Y1" i="11"/>
  <c r="Z1" i="11"/>
  <c r="AA1" i="11"/>
  <c r="AB1" i="11"/>
  <c r="AC1" i="11"/>
  <c r="P1" i="11"/>
  <c r="C137" i="14" l="1"/>
  <c r="G255" i="14" s="1"/>
  <c r="O374" i="14" l="1"/>
  <c r="G374" i="14"/>
  <c r="H512" i="14" l="1"/>
  <c r="E15" i="5"/>
  <c r="D16" i="5"/>
  <c r="E16" i="5"/>
  <c r="C16" i="5"/>
  <c r="F736" i="14"/>
  <c r="C3" i="5"/>
  <c r="L40" i="14" l="1"/>
  <c r="C550" i="14" l="1"/>
  <c r="G9" i="14" l="1"/>
  <c r="H34" i="14"/>
  <c r="G395" i="14" l="1"/>
  <c r="O395" i="14"/>
  <c r="G169" i="14"/>
  <c r="O169" i="14"/>
  <c r="H596" i="14"/>
  <c r="E43" i="14" a="1"/>
  <c r="E43" i="14" s="1"/>
  <c r="Q6" i="28"/>
  <c r="Q9" i="28" s="1"/>
  <c r="K168" i="14"/>
  <c r="K394" i="14"/>
  <c r="C394" i="14"/>
  <c r="C168" i="14"/>
  <c r="D47" i="14" l="1" a="1"/>
  <c r="D47" i="14" s="1"/>
  <c r="Q7" i="28"/>
  <c r="Q8" i="28" s="1"/>
  <c r="G31" i="8" s="1"/>
  <c r="E652" i="14"/>
  <c r="G10" i="14"/>
  <c r="C9" i="14"/>
  <c r="AA1" i="33" s="1"/>
  <c r="D53" i="14" l="1" a="1"/>
  <c r="D53" i="14" s="1"/>
  <c r="G162" i="14"/>
  <c r="H589" i="14"/>
  <c r="C9" i="29"/>
  <c r="B9" i="29" s="1"/>
  <c r="O151" i="14"/>
  <c r="O377" i="14"/>
  <c r="G377" i="14"/>
  <c r="G376" i="14"/>
  <c r="O376" i="14"/>
  <c r="G150" i="14"/>
  <c r="O150" i="14"/>
  <c r="G151" i="14"/>
  <c r="O482" i="14" l="1"/>
  <c r="G482" i="14"/>
  <c r="O380" i="14"/>
  <c r="C512" i="14" l="1"/>
  <c r="G12" i="14"/>
  <c r="E651" i="14" l="1"/>
  <c r="K161" i="14" a="1"/>
  <c r="K161" i="14" s="1"/>
  <c r="O162" i="14" s="1"/>
  <c r="C513" i="14"/>
  <c r="E513" i="14" s="1"/>
  <c r="C10" i="14"/>
  <c r="J130" i="14" l="1" a="1"/>
  <c r="J130" i="14" s="1"/>
  <c r="K130" i="14" s="1" a="1"/>
  <c r="K130" i="14" s="1"/>
  <c r="R2" i="34" a="1"/>
  <c r="Q2" i="34" a="1"/>
  <c r="Q2" i="34" s="1"/>
  <c r="D130" i="14" a="1"/>
  <c r="D130" i="14" s="1"/>
  <c r="G387" i="14"/>
  <c r="G481" i="14" s="1"/>
  <c r="G484" i="14" s="1"/>
  <c r="C487" i="14" s="1" a="1"/>
  <c r="G388" i="14"/>
  <c r="C8" i="29"/>
  <c r="B8" i="29" s="1"/>
  <c r="O161" i="14"/>
  <c r="G161" i="14"/>
  <c r="N127" i="14"/>
  <c r="N130" i="14" a="1"/>
  <c r="N130" i="14" s="1"/>
  <c r="K284" i="14" s="1"/>
  <c r="M760" i="14"/>
  <c r="E24" i="5" s="1"/>
  <c r="I130" i="14" a="1"/>
  <c r="I130" i="14" s="1"/>
  <c r="K283" i="14" s="1"/>
  <c r="I135" i="14"/>
  <c r="I127" i="14"/>
  <c r="D135" i="14"/>
  <c r="K127" i="14"/>
  <c r="K135" i="14"/>
  <c r="C729" i="14"/>
  <c r="C9" i="5" s="1"/>
  <c r="C514" i="14"/>
  <c r="D127" i="14"/>
  <c r="C27" i="14"/>
  <c r="G27" i="14"/>
  <c r="R2" i="34" l="1"/>
  <c r="S2" i="34" s="1" a="1"/>
  <c r="S2" i="34" s="1"/>
  <c r="G487" i="14" a="1"/>
  <c r="G487" i="14" s="1"/>
  <c r="C487" i="14"/>
  <c r="O388" i="14"/>
  <c r="G28" i="14"/>
  <c r="R143" i="14" s="1"/>
  <c r="C536" i="14"/>
  <c r="O278" i="14"/>
  <c r="R161" i="14"/>
  <c r="N779" i="14"/>
  <c r="N783" i="14"/>
  <c r="O387" i="14"/>
  <c r="B288" i="14"/>
  <c r="J269" i="14"/>
  <c r="K269" i="14"/>
  <c r="L269" i="14"/>
  <c r="M761" i="14"/>
  <c r="E25" i="5" s="1"/>
  <c r="E761" i="14"/>
  <c r="E514" i="14"/>
  <c r="D513" i="14"/>
  <c r="D512" i="14"/>
  <c r="D514" i="14"/>
  <c r="T2" i="34" l="1" a="1"/>
  <c r="T2" i="34" s="1"/>
  <c r="O481" i="14"/>
  <c r="O484" i="14" s="1"/>
  <c r="D487" i="14" s="1" a="1"/>
  <c r="H513" i="14"/>
  <c r="R152" i="14"/>
  <c r="O152" i="14" s="1"/>
  <c r="D147" i="14"/>
  <c r="D146" i="14"/>
  <c r="D145" i="14"/>
  <c r="D144" i="14"/>
  <c r="D143" i="14"/>
  <c r="C537" i="14"/>
  <c r="C538" i="14" s="1"/>
  <c r="R145" i="14"/>
  <c r="C533" i="14"/>
  <c r="C534" i="14" s="1"/>
  <c r="C288" i="14"/>
  <c r="B289" i="14"/>
  <c r="D288" i="14"/>
  <c r="C515" i="14"/>
  <c r="E515" i="14" s="1"/>
  <c r="G380" i="14"/>
  <c r="C524" i="14" s="1"/>
  <c r="D524" i="14" s="1"/>
  <c r="G166" i="14"/>
  <c r="O166" i="14"/>
  <c r="O279" i="14" s="1"/>
  <c r="O282" i="14" s="1"/>
  <c r="D487" i="14" l="1"/>
  <c r="J487" i="14" s="1" a="1"/>
  <c r="J487" i="14" s="1"/>
  <c r="J513" i="14"/>
  <c r="H514" i="14"/>
  <c r="I514" i="14" s="1"/>
  <c r="G144" i="14"/>
  <c r="G143" i="14"/>
  <c r="G146" i="14" s="1"/>
  <c r="R144" i="14"/>
  <c r="K261" i="14" s="1"/>
  <c r="R146" i="14"/>
  <c r="K260" i="14" s="1"/>
  <c r="F531" i="14"/>
  <c r="F532" i="14" s="1"/>
  <c r="I513" i="14"/>
  <c r="C289" i="14"/>
  <c r="D289" i="14" s="1"/>
  <c r="B290" i="14"/>
  <c r="C516" i="14"/>
  <c r="E516" i="14" s="1"/>
  <c r="D515" i="14"/>
  <c r="E487" i="14" l="1" a="1"/>
  <c r="E487" i="14" s="1"/>
  <c r="H487" i="14" s="1" a="1"/>
  <c r="E499" i="14" a="1"/>
  <c r="E493" i="14" a="1"/>
  <c r="G148" i="14"/>
  <c r="G154" i="14" s="1"/>
  <c r="G276" i="14" s="1"/>
  <c r="O143" i="14"/>
  <c r="L276" i="14"/>
  <c r="K276" i="14"/>
  <c r="J276" i="14"/>
  <c r="I532" i="14"/>
  <c r="F533" i="14"/>
  <c r="I531" i="14"/>
  <c r="J514" i="14"/>
  <c r="B291" i="14"/>
  <c r="C290" i="14"/>
  <c r="C517" i="14"/>
  <c r="E517" i="14" s="1"/>
  <c r="D516" i="14"/>
  <c r="M276" i="14" l="1"/>
  <c r="E499" i="14"/>
  <c r="H499" i="14" s="1" a="1"/>
  <c r="E493" i="14"/>
  <c r="H493" i="14" s="1" a="1"/>
  <c r="H487" i="14"/>
  <c r="K487" i="14" s="1" a="1"/>
  <c r="K487" i="14" s="1"/>
  <c r="G277" i="14"/>
  <c r="G282" i="14" s="1"/>
  <c r="O154" i="14"/>
  <c r="H352" i="14"/>
  <c r="C352" i="14"/>
  <c r="F534" i="14"/>
  <c r="I533" i="14"/>
  <c r="I534" i="14" s="1"/>
  <c r="D290" i="14"/>
  <c r="B292" i="14"/>
  <c r="C291" i="14"/>
  <c r="C518" i="14"/>
  <c r="C519" i="14" s="1"/>
  <c r="E519" i="14" s="1"/>
  <c r="D517" i="14"/>
  <c r="H499" i="14" l="1"/>
  <c r="K499" i="14" s="1" a="1"/>
  <c r="K499" i="14" s="1"/>
  <c r="I487" i="14" a="1"/>
  <c r="I487" i="14" s="1"/>
  <c r="H493" i="14"/>
  <c r="K493" i="14" s="1" a="1"/>
  <c r="K493" i="14" s="1"/>
  <c r="F289" i="14" a="1"/>
  <c r="F289" i="14" s="1"/>
  <c r="H289" i="14" s="1" a="1"/>
  <c r="H289" i="14" s="1"/>
  <c r="F290" i="14" a="1"/>
  <c r="F290" i="14" s="1"/>
  <c r="H290" i="14" s="1" a="1"/>
  <c r="H290" i="14" s="1"/>
  <c r="F288" i="14" a="1"/>
  <c r="F288" i="14" s="1"/>
  <c r="H288" i="14" s="1" a="1"/>
  <c r="H288" i="14" s="1"/>
  <c r="D352" i="14"/>
  <c r="I352" i="14"/>
  <c r="C353" i="14"/>
  <c r="I512" i="14"/>
  <c r="I562" i="14"/>
  <c r="G550" i="14"/>
  <c r="H353" i="14"/>
  <c r="H354" i="14" s="1"/>
  <c r="L265" i="14" a="1"/>
  <c r="L265" i="14" s="1"/>
  <c r="C365" i="14"/>
  <c r="O283" i="14"/>
  <c r="G290" i="14" s="1"/>
  <c r="J265" i="14" a="1"/>
  <c r="J265" i="14" s="1"/>
  <c r="K265" i="14" a="1"/>
  <c r="K265" i="14" s="1"/>
  <c r="H537" i="14"/>
  <c r="I537" i="14" s="1"/>
  <c r="D291" i="14"/>
  <c r="F291" i="14" a="1"/>
  <c r="F291" i="14" s="1"/>
  <c r="H291" i="14" s="1" a="1"/>
  <c r="H291" i="14" s="1"/>
  <c r="B293" i="14"/>
  <c r="C292" i="14"/>
  <c r="D518" i="14"/>
  <c r="E518" i="14"/>
  <c r="C520" i="14"/>
  <c r="E520" i="14" s="1"/>
  <c r="D519" i="14"/>
  <c r="L487" i="14" l="1" a="1"/>
  <c r="L487" i="14" s="1"/>
  <c r="E291" i="14"/>
  <c r="L272" i="14" a="1"/>
  <c r="L272" i="14" s="1"/>
  <c r="C562" i="14"/>
  <c r="H562" i="14"/>
  <c r="K272" i="14" a="1"/>
  <c r="K272" i="14" s="1"/>
  <c r="J272" i="14" a="1"/>
  <c r="E288" i="14"/>
  <c r="G288" i="14"/>
  <c r="E289" i="14"/>
  <c r="O284" i="14"/>
  <c r="K285" i="14" s="1"/>
  <c r="G289" i="14"/>
  <c r="D365" i="14"/>
  <c r="G551" i="14"/>
  <c r="E353" i="14"/>
  <c r="C563" i="14"/>
  <c r="D563" i="14" s="1"/>
  <c r="D353" i="14"/>
  <c r="C354" i="14"/>
  <c r="H355" i="14"/>
  <c r="I353" i="14"/>
  <c r="J353" i="14"/>
  <c r="E290" i="14"/>
  <c r="I493" i="14" a="1"/>
  <c r="G291" i="14"/>
  <c r="D292" i="14"/>
  <c r="E292" i="14" s="1"/>
  <c r="F292" i="14" a="1"/>
  <c r="F292" i="14" s="1"/>
  <c r="H292" i="14" s="1" a="1"/>
  <c r="H292" i="14" s="1"/>
  <c r="B294" i="14"/>
  <c r="C293" i="14"/>
  <c r="D520" i="14"/>
  <c r="I493" i="14" l="1"/>
  <c r="L493" i="14" s="1" a="1"/>
  <c r="L493" i="14" s="1"/>
  <c r="I290" i="14"/>
  <c r="I289" i="14"/>
  <c r="I291" i="14"/>
  <c r="I288" i="14"/>
  <c r="D354" i="14"/>
  <c r="C564" i="14"/>
  <c r="C355" i="14"/>
  <c r="J272" i="14"/>
  <c r="M272" i="14" s="1" a="1"/>
  <c r="M272" i="14" s="1"/>
  <c r="E354" i="14"/>
  <c r="C574" i="14"/>
  <c r="J354" i="14"/>
  <c r="H563" i="14"/>
  <c r="J355" i="14"/>
  <c r="I354" i="14"/>
  <c r="D562" i="14"/>
  <c r="D649" i="14"/>
  <c r="E563" i="14"/>
  <c r="I499" i="14" a="1"/>
  <c r="O505" i="14"/>
  <c r="G292" i="14"/>
  <c r="I292" i="14" s="1"/>
  <c r="D293" i="14"/>
  <c r="E293" i="14" s="1"/>
  <c r="F293" i="14" a="1"/>
  <c r="F293" i="14" s="1"/>
  <c r="H293" i="14" s="1" a="1"/>
  <c r="H293" i="14" s="1"/>
  <c r="C294" i="14"/>
  <c r="B295" i="14"/>
  <c r="I499" i="14" l="1"/>
  <c r="L499" i="14" s="1" a="1"/>
  <c r="H356" i="14"/>
  <c r="J356" i="14" s="1"/>
  <c r="I355" i="14"/>
  <c r="H564" i="14"/>
  <c r="I564" i="14" s="1"/>
  <c r="I563" i="14"/>
  <c r="D574" i="14"/>
  <c r="E564" i="14"/>
  <c r="D564" i="14"/>
  <c r="O272" i="14"/>
  <c r="E355" i="14"/>
  <c r="C565" i="14"/>
  <c r="C356" i="14"/>
  <c r="D355" i="14"/>
  <c r="J563" i="14"/>
  <c r="H515" i="14"/>
  <c r="C521" i="14"/>
  <c r="G293" i="14"/>
  <c r="I293" i="14" s="1"/>
  <c r="B296" i="14"/>
  <c r="C295" i="14"/>
  <c r="D294" i="14"/>
  <c r="E294" i="14" s="1"/>
  <c r="F294" i="14" a="1"/>
  <c r="F294" i="14" s="1"/>
  <c r="H294" i="14" s="1" a="1"/>
  <c r="H294" i="14" s="1"/>
  <c r="L499" i="14" l="1"/>
  <c r="O507" i="14" s="1"/>
  <c r="H516" i="14" s="1"/>
  <c r="J564" i="14"/>
  <c r="H565" i="14"/>
  <c r="H357" i="14"/>
  <c r="I357" i="14" s="1"/>
  <c r="E356" i="14"/>
  <c r="C566" i="14"/>
  <c r="C357" i="14"/>
  <c r="D356" i="14"/>
  <c r="E565" i="14"/>
  <c r="D565" i="14"/>
  <c r="I356" i="14"/>
  <c r="I515" i="14"/>
  <c r="J515" i="14"/>
  <c r="D521" i="14"/>
  <c r="E521" i="14"/>
  <c r="G294" i="14"/>
  <c r="I294" i="14" s="1"/>
  <c r="D295" i="14"/>
  <c r="F295" i="14" a="1"/>
  <c r="F295" i="14" s="1"/>
  <c r="H295" i="14" s="1" a="1"/>
  <c r="H295" i="14" s="1"/>
  <c r="B297" i="14"/>
  <c r="C296" i="14"/>
  <c r="C522" i="14" l="1"/>
  <c r="E522" i="14" s="1"/>
  <c r="J357" i="14"/>
  <c r="H566" i="14"/>
  <c r="E357" i="14"/>
  <c r="C567" i="14"/>
  <c r="D567" i="14" s="1"/>
  <c r="D357" i="14"/>
  <c r="C358" i="14"/>
  <c r="E566" i="14"/>
  <c r="D566" i="14"/>
  <c r="J516" i="14"/>
  <c r="I565" i="14"/>
  <c r="J565" i="14"/>
  <c r="H522" i="14"/>
  <c r="I516" i="14"/>
  <c r="D296" i="14"/>
  <c r="F296" i="14" a="1"/>
  <c r="F296" i="14" s="1"/>
  <c r="H296" i="14" s="1" a="1"/>
  <c r="H296" i="14" s="1"/>
  <c r="E295" i="14"/>
  <c r="G295" i="14"/>
  <c r="C297" i="14"/>
  <c r="B298" i="14"/>
  <c r="C526" i="14" l="1"/>
  <c r="D526" i="14" s="1"/>
  <c r="D522" i="14"/>
  <c r="E567" i="14"/>
  <c r="E358" i="14"/>
  <c r="C359" i="14"/>
  <c r="C568" i="14"/>
  <c r="D568" i="14" s="1"/>
  <c r="D358" i="14"/>
  <c r="I522" i="14"/>
  <c r="I295" i="14"/>
  <c r="C298" i="14"/>
  <c r="B299" i="14"/>
  <c r="D297" i="14"/>
  <c r="F297" i="14" a="1"/>
  <c r="F297" i="14" s="1"/>
  <c r="H297" i="14" s="1" a="1"/>
  <c r="H297" i="14" s="1"/>
  <c r="E296" i="14"/>
  <c r="G296" i="14"/>
  <c r="E568" i="14" l="1"/>
  <c r="E359" i="14"/>
  <c r="C360" i="14"/>
  <c r="D359" i="14"/>
  <c r="C569" i="14"/>
  <c r="D569" i="14" s="1"/>
  <c r="I296" i="14"/>
  <c r="E297" i="14"/>
  <c r="G297" i="14"/>
  <c r="C299" i="14"/>
  <c r="B300" i="14"/>
  <c r="D298" i="14"/>
  <c r="F298" i="14" a="1"/>
  <c r="F298" i="14" s="1"/>
  <c r="H298" i="14" s="1" a="1"/>
  <c r="H298" i="14" s="1"/>
  <c r="E569" i="14" l="1"/>
  <c r="E360" i="14"/>
  <c r="D360" i="14"/>
  <c r="C570" i="14"/>
  <c r="C361" i="14"/>
  <c r="I297" i="14"/>
  <c r="B301" i="14"/>
  <c r="C300" i="14"/>
  <c r="D299" i="14"/>
  <c r="F299" i="14" a="1"/>
  <c r="F299" i="14" s="1"/>
  <c r="H299" i="14" s="1" a="1"/>
  <c r="H299" i="14" s="1"/>
  <c r="E298" i="14"/>
  <c r="G298" i="14"/>
  <c r="N786" i="14"/>
  <c r="F785" i="14"/>
  <c r="E361" i="14" l="1"/>
  <c r="D361" i="14"/>
  <c r="C571" i="14"/>
  <c r="D571" i="14" s="1"/>
  <c r="E570" i="14"/>
  <c r="D570" i="14"/>
  <c r="I566" i="14"/>
  <c r="H572" i="14"/>
  <c r="J566" i="14"/>
  <c r="I298" i="14"/>
  <c r="E299" i="14"/>
  <c r="G299" i="14"/>
  <c r="D300" i="14"/>
  <c r="F300" i="14" a="1"/>
  <c r="F300" i="14" s="1"/>
  <c r="H300" i="14" s="1" a="1"/>
  <c r="H300" i="14" s="1"/>
  <c r="B302" i="14"/>
  <c r="C301" i="14"/>
  <c r="F786" i="14"/>
  <c r="C362" i="14"/>
  <c r="E571" i="14" l="1"/>
  <c r="I572" i="14"/>
  <c r="I299" i="14"/>
  <c r="E300" i="14"/>
  <c r="G300" i="14"/>
  <c r="D301" i="14"/>
  <c r="F301" i="14" a="1"/>
  <c r="F301" i="14" s="1"/>
  <c r="H301" i="14" s="1" a="1"/>
  <c r="H301" i="14" s="1"/>
  <c r="C302" i="14"/>
  <c r="B303" i="14"/>
  <c r="E362" i="14"/>
  <c r="D362" i="14"/>
  <c r="I300" i="14" l="1"/>
  <c r="E301" i="14"/>
  <c r="G301" i="14"/>
  <c r="B304" i="14"/>
  <c r="C303" i="14"/>
  <c r="D302" i="14"/>
  <c r="F302" i="14" a="1"/>
  <c r="F302" i="14" s="1"/>
  <c r="H302" i="14" s="1" a="1"/>
  <c r="H302" i="14" s="1"/>
  <c r="I301" i="14" l="1"/>
  <c r="D303" i="14"/>
  <c r="E303" i="14" s="1"/>
  <c r="F303" i="14" a="1"/>
  <c r="F303" i="14" s="1"/>
  <c r="H303" i="14" s="1" a="1"/>
  <c r="H303" i="14" s="1"/>
  <c r="B305" i="14"/>
  <c r="C304" i="14"/>
  <c r="E302" i="14"/>
  <c r="G302" i="14"/>
  <c r="G303" i="14" l="1"/>
  <c r="I303" i="14" s="1"/>
  <c r="I302" i="14"/>
  <c r="C305" i="14"/>
  <c r="B306" i="14"/>
  <c r="D304" i="14"/>
  <c r="F304" i="14" a="1"/>
  <c r="F304" i="14" s="1"/>
  <c r="H304" i="14" s="1" a="1"/>
  <c r="H304" i="14" s="1"/>
  <c r="E304" i="14" l="1"/>
  <c r="G304" i="14"/>
  <c r="C306" i="14"/>
  <c r="B307" i="14"/>
  <c r="D305" i="14"/>
  <c r="F305" i="14" a="1"/>
  <c r="F305" i="14" s="1"/>
  <c r="H305" i="14" s="1" a="1"/>
  <c r="H305" i="14" s="1"/>
  <c r="I304" i="14" l="1"/>
  <c r="C307" i="14"/>
  <c r="B308" i="14"/>
  <c r="E305" i="14"/>
  <c r="G305" i="14"/>
  <c r="D306" i="14"/>
  <c r="E306" i="14" s="1"/>
  <c r="F306" i="14" a="1"/>
  <c r="F306" i="14" s="1"/>
  <c r="H306" i="14" s="1" a="1"/>
  <c r="H306" i="14" s="1"/>
  <c r="G306" i="14" l="1"/>
  <c r="I306" i="14" s="1"/>
  <c r="I305" i="14"/>
  <c r="C308" i="14"/>
  <c r="B309" i="14"/>
  <c r="D307" i="14"/>
  <c r="F307" i="14" a="1"/>
  <c r="F307" i="14" s="1"/>
  <c r="E307" i="14" l="1"/>
  <c r="G307" i="14"/>
  <c r="C309" i="14"/>
  <c r="B310" i="14"/>
  <c r="H307" i="14" a="1"/>
  <c r="H307" i="14" s="1"/>
  <c r="D308" i="14"/>
  <c r="F308" i="14" a="1"/>
  <c r="F308" i="14" s="1"/>
  <c r="H308" i="14" s="1" a="1"/>
  <c r="H308" i="14" s="1"/>
  <c r="I307" i="14" l="1"/>
  <c r="C310" i="14"/>
  <c r="B311" i="14"/>
  <c r="D309" i="14"/>
  <c r="E309" i="14" s="1"/>
  <c r="F309" i="14" a="1"/>
  <c r="F309" i="14" s="1"/>
  <c r="E308" i="14"/>
  <c r="G308" i="14"/>
  <c r="G309" i="14" l="1"/>
  <c r="I308" i="14"/>
  <c r="C311" i="14"/>
  <c r="B312" i="14"/>
  <c r="D310" i="14"/>
  <c r="F310" i="14" a="1"/>
  <c r="F310" i="14" s="1"/>
  <c r="H310" i="14" s="1" a="1"/>
  <c r="H310" i="14" s="1"/>
  <c r="H309" i="14" a="1"/>
  <c r="H309" i="14" s="1"/>
  <c r="I309" i="14" l="1"/>
  <c r="E310" i="14"/>
  <c r="G310" i="14"/>
  <c r="C312" i="14"/>
  <c r="B313" i="14"/>
  <c r="D311" i="14"/>
  <c r="F311" i="14" a="1"/>
  <c r="F311" i="14" s="1"/>
  <c r="H311" i="14" s="1" a="1"/>
  <c r="H311" i="14" s="1"/>
  <c r="I310" i="14" l="1"/>
  <c r="C313" i="14"/>
  <c r="B314" i="14"/>
  <c r="D312" i="14"/>
  <c r="E312" i="14" s="1"/>
  <c r="F312" i="14" a="1"/>
  <c r="F312" i="14" s="1"/>
  <c r="E311" i="14"/>
  <c r="G311" i="14"/>
  <c r="I311" i="14" l="1"/>
  <c r="G312" i="14"/>
  <c r="C314" i="14"/>
  <c r="B315" i="14"/>
  <c r="H312" i="14" a="1"/>
  <c r="H312" i="14" s="1"/>
  <c r="D313" i="14"/>
  <c r="F313" i="14" a="1"/>
  <c r="F313" i="14" s="1"/>
  <c r="H313" i="14" s="1" a="1"/>
  <c r="H313" i="14" s="1"/>
  <c r="I312" i="14" l="1"/>
  <c r="D314" i="14"/>
  <c r="F314" i="14" a="1"/>
  <c r="F314" i="14" s="1"/>
  <c r="H314" i="14" s="1" a="1"/>
  <c r="H314" i="14" s="1"/>
  <c r="C315" i="14"/>
  <c r="B316" i="14"/>
  <c r="E313" i="14"/>
  <c r="G313" i="14"/>
  <c r="I313" i="14" l="1"/>
  <c r="D315" i="14"/>
  <c r="E315" i="14" s="1"/>
  <c r="F315" i="14" a="1"/>
  <c r="F315" i="14" s="1"/>
  <c r="H315" i="14" s="1" a="1"/>
  <c r="H315" i="14" s="1"/>
  <c r="C316" i="14"/>
  <c r="B317" i="14"/>
  <c r="E314" i="14"/>
  <c r="G314" i="14"/>
  <c r="G315" i="14" l="1"/>
  <c r="I315" i="14" s="1"/>
  <c r="I314" i="14"/>
  <c r="C317" i="14"/>
  <c r="B318" i="14"/>
  <c r="D316" i="14"/>
  <c r="F316" i="14" a="1"/>
  <c r="F316" i="14" s="1"/>
  <c r="E316" i="14" l="1"/>
  <c r="G316" i="14"/>
  <c r="C318" i="14"/>
  <c r="B319" i="14"/>
  <c r="H316" i="14" a="1"/>
  <c r="H316" i="14" s="1"/>
  <c r="D317" i="14"/>
  <c r="F317" i="14" a="1"/>
  <c r="F317" i="14" s="1"/>
  <c r="H317" i="14" s="1" a="1"/>
  <c r="H317" i="14" s="1"/>
  <c r="I316" i="14" l="1"/>
  <c r="C319" i="14"/>
  <c r="B320" i="14"/>
  <c r="D318" i="14"/>
  <c r="E318" i="14" s="1"/>
  <c r="F318" i="14" a="1"/>
  <c r="F318" i="14" s="1"/>
  <c r="E317" i="14"/>
  <c r="G317" i="14"/>
  <c r="G318" i="14" l="1"/>
  <c r="I317" i="14"/>
  <c r="C320" i="14"/>
  <c r="B321" i="14"/>
  <c r="D319" i="14"/>
  <c r="F319" i="14" a="1"/>
  <c r="F319" i="14" s="1"/>
  <c r="H318" i="14" a="1"/>
  <c r="H318" i="14" s="1"/>
  <c r="I318" i="14" l="1"/>
  <c r="E319" i="14"/>
  <c r="G319" i="14"/>
  <c r="C321" i="14"/>
  <c r="B322" i="14"/>
  <c r="H319" i="14" a="1"/>
  <c r="H319" i="14" s="1"/>
  <c r="D320" i="14"/>
  <c r="F320" i="14" a="1"/>
  <c r="F320" i="14" s="1"/>
  <c r="H320" i="14" s="1" a="1"/>
  <c r="H320" i="14" s="1"/>
  <c r="I319" i="14" l="1"/>
  <c r="C322" i="14"/>
  <c r="B323" i="14"/>
  <c r="D321" i="14"/>
  <c r="E321" i="14" s="1"/>
  <c r="F321" i="14" a="1"/>
  <c r="F321" i="14" s="1"/>
  <c r="H321" i="14" s="1" a="1"/>
  <c r="H321" i="14" s="1"/>
  <c r="E320" i="14"/>
  <c r="G320" i="14"/>
  <c r="G321" i="14" l="1"/>
  <c r="I321" i="14" s="1"/>
  <c r="I320" i="14"/>
  <c r="C323" i="14"/>
  <c r="B324" i="14"/>
  <c r="D322" i="14"/>
  <c r="F322" i="14" a="1"/>
  <c r="F322" i="14" s="1"/>
  <c r="H322" i="14" s="1" a="1"/>
  <c r="H322" i="14" s="1"/>
  <c r="E322" i="14" l="1"/>
  <c r="G322" i="14"/>
  <c r="C324" i="14"/>
  <c r="B325" i="14"/>
  <c r="D323" i="14"/>
  <c r="F323" i="14" a="1"/>
  <c r="F323" i="14" s="1"/>
  <c r="H323" i="14" s="1" a="1"/>
  <c r="H323" i="14" s="1"/>
  <c r="I322" i="14" l="1"/>
  <c r="C325" i="14"/>
  <c r="B326" i="14"/>
  <c r="D324" i="14"/>
  <c r="F324" i="14" a="1"/>
  <c r="F324" i="14" s="1"/>
  <c r="H324" i="14" s="1" a="1"/>
  <c r="H324" i="14" s="1"/>
  <c r="E323" i="14"/>
  <c r="G323" i="14"/>
  <c r="I323" i="14" l="1"/>
  <c r="E324" i="14"/>
  <c r="G324" i="14"/>
  <c r="C326" i="14"/>
  <c r="B327" i="14"/>
  <c r="D325" i="14"/>
  <c r="F325" i="14" a="1"/>
  <c r="F325" i="14" s="1"/>
  <c r="H325" i="14" s="1" a="1"/>
  <c r="H325" i="14" s="1"/>
  <c r="I324" i="14" l="1"/>
  <c r="C327" i="14"/>
  <c r="B328" i="14"/>
  <c r="D326" i="14"/>
  <c r="F326" i="14" a="1"/>
  <c r="F326" i="14" s="1"/>
  <c r="H326" i="14" s="1" a="1"/>
  <c r="H326" i="14" s="1"/>
  <c r="E325" i="14"/>
  <c r="G325" i="14"/>
  <c r="I325" i="14" l="1"/>
  <c r="E326" i="14"/>
  <c r="G326" i="14"/>
  <c r="C328" i="14"/>
  <c r="B329" i="14"/>
  <c r="D327" i="14"/>
  <c r="F327" i="14" a="1"/>
  <c r="F327" i="14" s="1"/>
  <c r="I326" i="14" l="1"/>
  <c r="C329" i="14"/>
  <c r="B330" i="14"/>
  <c r="D328" i="14"/>
  <c r="F328" i="14" a="1"/>
  <c r="F328" i="14" s="1"/>
  <c r="H328" i="14" s="1" a="1"/>
  <c r="H328" i="14" s="1"/>
  <c r="H327" i="14" a="1"/>
  <c r="H327" i="14" s="1"/>
  <c r="E327" i="14"/>
  <c r="G327" i="14"/>
  <c r="I327" i="14" l="1"/>
  <c r="E328" i="14"/>
  <c r="G328" i="14"/>
  <c r="C330" i="14"/>
  <c r="B331" i="14"/>
  <c r="D329" i="14"/>
  <c r="F329" i="14" a="1"/>
  <c r="F329" i="14" s="1"/>
  <c r="H329" i="14" s="1" a="1"/>
  <c r="H329" i="14" s="1"/>
  <c r="I328" i="14" l="1"/>
  <c r="D330" i="14"/>
  <c r="F330" i="14" a="1"/>
  <c r="F330" i="14" s="1"/>
  <c r="H330" i="14" s="1" a="1"/>
  <c r="H330" i="14" s="1"/>
  <c r="C331" i="14"/>
  <c r="B332" i="14"/>
  <c r="E329" i="14"/>
  <c r="G329" i="14"/>
  <c r="I329" i="14" l="1"/>
  <c r="D331" i="14"/>
  <c r="E331" i="14" s="1"/>
  <c r="F331" i="14" a="1"/>
  <c r="F331" i="14" s="1"/>
  <c r="E330" i="14"/>
  <c r="G330" i="14"/>
  <c r="C332" i="14"/>
  <c r="B333" i="14"/>
  <c r="G331" i="14" l="1"/>
  <c r="I330" i="14"/>
  <c r="C333" i="14"/>
  <c r="B334" i="14"/>
  <c r="H331" i="14" a="1"/>
  <c r="H331" i="14" s="1"/>
  <c r="D332" i="14"/>
  <c r="F332" i="14" a="1"/>
  <c r="F332" i="14" s="1"/>
  <c r="I331" i="14" l="1"/>
  <c r="H332" i="14" a="1"/>
  <c r="H332" i="14" s="1"/>
  <c r="C334" i="14"/>
  <c r="B335" i="14"/>
  <c r="E332" i="14"/>
  <c r="G332" i="14"/>
  <c r="D333" i="14"/>
  <c r="F333" i="14" a="1"/>
  <c r="F333" i="14" s="1"/>
  <c r="I332" i="14" l="1"/>
  <c r="H333" i="14" a="1"/>
  <c r="H333" i="14" s="1"/>
  <c r="C335" i="14"/>
  <c r="B336" i="14"/>
  <c r="E333" i="14"/>
  <c r="G333" i="14"/>
  <c r="D334" i="14"/>
  <c r="F334" i="14" a="1"/>
  <c r="F334" i="14" s="1"/>
  <c r="I333" i="14" l="1"/>
  <c r="D335" i="14"/>
  <c r="F335" i="14" a="1"/>
  <c r="F335" i="14" s="1"/>
  <c r="H335" i="14" s="1" a="1"/>
  <c r="H335" i="14" s="1"/>
  <c r="H334" i="14" a="1"/>
  <c r="H334" i="14" s="1"/>
  <c r="C336" i="14"/>
  <c r="B337" i="14"/>
  <c r="E334" i="14"/>
  <c r="G334" i="14"/>
  <c r="I334" i="14" l="1"/>
  <c r="C337" i="14"/>
  <c r="B338" i="14"/>
  <c r="E335" i="14"/>
  <c r="G335" i="14"/>
  <c r="D336" i="14"/>
  <c r="F336" i="14" a="1"/>
  <c r="F336" i="14" s="1"/>
  <c r="I335" i="14" l="1"/>
  <c r="C338" i="14"/>
  <c r="B339" i="14"/>
  <c r="D337" i="14"/>
  <c r="F337" i="14" a="1"/>
  <c r="F337" i="14" s="1"/>
  <c r="H336" i="14" a="1"/>
  <c r="H336" i="14" s="1"/>
  <c r="E336" i="14"/>
  <c r="G336" i="14"/>
  <c r="I336" i="14" l="1"/>
  <c r="E337" i="14"/>
  <c r="G337" i="14"/>
  <c r="C339" i="14"/>
  <c r="B340" i="14"/>
  <c r="D338" i="14"/>
  <c r="F338" i="14" a="1"/>
  <c r="F338" i="14" s="1"/>
  <c r="H337" i="14" a="1"/>
  <c r="H337" i="14" s="1"/>
  <c r="I337" i="14" l="1"/>
  <c r="C340" i="14"/>
  <c r="B341" i="14"/>
  <c r="H338" i="14" a="1"/>
  <c r="H338" i="14" s="1"/>
  <c r="D339" i="14"/>
  <c r="F339" i="14" a="1"/>
  <c r="F339" i="14" s="1"/>
  <c r="H339" i="14" s="1" a="1"/>
  <c r="H339" i="14" s="1"/>
  <c r="E338" i="14"/>
  <c r="G338" i="14"/>
  <c r="I338" i="14" l="1"/>
  <c r="C341" i="14"/>
  <c r="B342" i="14"/>
  <c r="E339" i="14"/>
  <c r="G339" i="14"/>
  <c r="D340" i="14"/>
  <c r="F340" i="14" a="1"/>
  <c r="F340" i="14" s="1"/>
  <c r="H340" i="14" s="1" a="1"/>
  <c r="H340" i="14" s="1"/>
  <c r="I339" i="14" l="1"/>
  <c r="D341" i="14"/>
  <c r="F341" i="14" a="1"/>
  <c r="F341" i="14" s="1"/>
  <c r="C342" i="14"/>
  <c r="B343" i="14"/>
  <c r="E340" i="14"/>
  <c r="G340" i="14"/>
  <c r="I340" i="14" l="1"/>
  <c r="D342" i="14"/>
  <c r="E342" i="14" s="1"/>
  <c r="F342" i="14" a="1"/>
  <c r="F342" i="14" s="1"/>
  <c r="H342" i="14" s="1" a="1"/>
  <c r="H342" i="14" s="1"/>
  <c r="H341" i="14" a="1"/>
  <c r="H341" i="14" s="1"/>
  <c r="E341" i="14"/>
  <c r="G341" i="14"/>
  <c r="C343" i="14"/>
  <c r="B344" i="14"/>
  <c r="G342" i="14" l="1"/>
  <c r="I342" i="14" s="1"/>
  <c r="I341" i="14"/>
  <c r="C344" i="14"/>
  <c r="D343" i="14"/>
  <c r="E343" i="14" s="1"/>
  <c r="F343" i="14" a="1"/>
  <c r="F343" i="14" s="1"/>
  <c r="H343" i="14" s="1" a="1"/>
  <c r="H343" i="14" s="1"/>
  <c r="G343" i="14" l="1"/>
  <c r="I343" i="14" s="1"/>
  <c r="D344" i="14"/>
  <c r="F344" i="14" a="1"/>
  <c r="F344" i="14" s="1"/>
  <c r="H344" i="14" s="1" a="1"/>
  <c r="H344" i="14" s="1"/>
  <c r="E344" i="14" l="1"/>
  <c r="G344" i="14"/>
  <c r="I344" i="14" l="1"/>
  <c r="J347" i="14" s="1"/>
  <c r="H358" i="14" s="1"/>
  <c r="H363" i="14" l="1"/>
  <c r="I363" i="14" s="1"/>
  <c r="I358" i="14"/>
  <c r="J358" i="14"/>
  <c r="C363" i="14"/>
  <c r="C572" i="14" s="1"/>
  <c r="C367" i="14" l="1"/>
  <c r="H367" i="14" s="1"/>
  <c r="E363" i="14"/>
  <c r="D363" i="14"/>
  <c r="D572" i="14" l="1"/>
  <c r="E572" i="14"/>
  <c r="C576" i="14"/>
  <c r="N769" i="14" l="1"/>
  <c r="N771" i="14"/>
  <c r="N787" i="14"/>
  <c r="N768" i="14" l="1"/>
  <c r="D367" i="14" l="1"/>
  <c r="I367" i="14"/>
  <c r="H526" i="14" l="1" a="1"/>
  <c r="H526" i="14" s="1"/>
  <c r="I526" i="14" l="1"/>
  <c r="H576" i="14"/>
  <c r="C649" i="14" l="1"/>
  <c r="C650" i="14" s="1"/>
  <c r="D650" i="14" s="1"/>
  <c r="H577" i="14"/>
  <c r="D576" i="14"/>
  <c r="I576" i="14"/>
  <c r="I577" i="14" l="1"/>
  <c r="C651" i="14"/>
  <c r="D651" i="14" s="1"/>
  <c r="C652" i="14" l="1"/>
  <c r="D652" i="14" s="1"/>
  <c r="D653" i="14" s="1"/>
  <c r="E653" i="14" s="1"/>
  <c r="D732" i="14" s="1"/>
  <c r="E732" i="14" l="1"/>
  <c r="C760" i="14" s="1"/>
  <c r="K732" i="14"/>
  <c r="M732" i="14"/>
  <c r="C653" i="14"/>
  <c r="C654" i="14" s="1"/>
  <c r="C732" i="14"/>
  <c r="L732" i="14"/>
  <c r="D12" i="5" s="1"/>
  <c r="E12" i="5"/>
  <c r="C12" i="5"/>
  <c r="C744" i="14" l="1"/>
  <c r="D744" i="14"/>
  <c r="D750" i="14" s="1"/>
  <c r="D748" i="14" s="1"/>
  <c r="D746" i="14" s="1"/>
  <c r="F732" i="14"/>
  <c r="K760" i="14"/>
  <c r="C761" i="14"/>
  <c r="D745" i="14" l="1"/>
  <c r="C24" i="5"/>
  <c r="K761" i="14"/>
  <c r="C25" i="5" s="1"/>
  <c r="W2" i="34" l="1" a="1"/>
  <c r="W2" i="34" s="1"/>
  <c r="Z2" i="34" l="1" a="1"/>
  <c r="Z2" i="34" s="1"/>
  <c r="Y2" i="34" a="1"/>
  <c r="Y2" i="34" s="1"/>
  <c r="V2" i="34" a="1"/>
  <c r="V2" i="34" s="1"/>
  <c r="U2" i="34" a="1"/>
  <c r="U2" i="34" s="1"/>
  <c r="X2" i="34" l="1" a="1"/>
  <c r="X2" i="34" s="1"/>
  <c r="AA2" i="34" s="1" a="1"/>
  <c r="AA2" i="34" s="1"/>
  <c r="AB2" i="34" s="1" a="1"/>
  <c r="AB2" i="34" s="1"/>
  <c r="AP2" i="34" s="1"/>
  <c r="AQ2" i="34" s="1"/>
  <c r="AR2" i="34" s="1"/>
  <c r="AU2" i="34" s="1"/>
  <c r="AS2" i="34" s="1"/>
  <c r="M734" i="14" l="1"/>
  <c r="E14" i="5" l="1"/>
  <c r="C737" i="14"/>
  <c r="D737" i="14"/>
  <c r="K733" i="14" l="1" a="1"/>
  <c r="E733" i="14" s="1" a="1"/>
  <c r="E733" i="14" l="1"/>
  <c r="D760" i="14" s="1"/>
  <c r="F735" i="14"/>
  <c r="F734" i="14"/>
  <c r="F731" i="14"/>
  <c r="K733" i="14"/>
  <c r="E13" i="5"/>
  <c r="M737" i="14"/>
  <c r="J739" i="14" s="1"/>
  <c r="L737" i="14"/>
  <c r="D17" i="5" s="1"/>
  <c r="E17" i="5" l="1"/>
  <c r="F733" i="14"/>
  <c r="E737" i="14"/>
  <c r="L744" i="14" s="1"/>
  <c r="L750" i="14" s="1"/>
  <c r="G744" i="14"/>
  <c r="H744" i="14"/>
  <c r="H750" i="14" s="1"/>
  <c r="H745" i="14" s="1"/>
  <c r="L760" i="14"/>
  <c r="D761" i="14"/>
  <c r="K737" i="14"/>
  <c r="C17" i="5" s="1"/>
  <c r="H748" i="14" l="1"/>
  <c r="H746" i="14" s="1"/>
  <c r="F737" i="14"/>
  <c r="K744" i="14"/>
  <c r="F760" i="14"/>
  <c r="N760" i="14" s="1"/>
  <c r="C794" i="14" s="1"/>
  <c r="L745" i="14"/>
  <c r="L748" i="14"/>
  <c r="L746" i="14" s="1"/>
  <c r="D24" i="5"/>
  <c r="L761" i="14"/>
  <c r="D25" i="5" s="1"/>
  <c r="C7" i="30" a="1"/>
  <c r="C798" i="14" l="1"/>
  <c r="C804" i="14" s="1"/>
  <c r="C805" i="14" s="1"/>
  <c r="C819" i="14"/>
  <c r="C827" i="14" s="1"/>
  <c r="F827" i="14" s="1"/>
  <c r="F829" i="14" s="1"/>
  <c r="H820" i="14" s="1"/>
  <c r="E77" i="5" s="1"/>
  <c r="F761" i="14"/>
  <c r="C7" i="30"/>
  <c r="N764" i="14"/>
  <c r="F24" i="5"/>
  <c r="N761" i="14"/>
  <c r="C812" i="14" l="1"/>
  <c r="F812" i="14" s="1"/>
  <c r="F814" i="14" s="1"/>
  <c r="C826" i="14"/>
  <c r="F826" i="14" s="1"/>
  <c r="C820" i="14"/>
  <c r="F25" i="5"/>
  <c r="N765" i="14"/>
  <c r="N767" i="14"/>
  <c r="F764" i="14"/>
  <c r="B7" i="30"/>
  <c r="E1" i="30"/>
  <c r="F830" i="14" l="1"/>
  <c r="F828" i="14"/>
  <c r="C811" i="14"/>
  <c r="C807" i="14"/>
  <c r="C822" i="14"/>
  <c r="F765" i="14"/>
  <c r="F763" i="14"/>
  <c r="C763" i="14" s="1" a="1"/>
  <c r="F767" i="14" a="1"/>
  <c r="F815" i="14" l="1"/>
  <c r="B2" i="37"/>
  <c r="F3" i="37" s="1" a="1"/>
  <c r="F3" i="37" s="1"/>
  <c r="C823" i="14"/>
  <c r="C824" i="14" s="1"/>
  <c r="F822" i="14"/>
  <c r="F807" i="14"/>
  <c r="F811" i="14"/>
  <c r="F808" i="14" s="1"/>
  <c r="F809" i="14" s="1"/>
  <c r="F823" i="14"/>
  <c r="C808" i="14"/>
  <c r="C809" i="14" s="1"/>
  <c r="F813" i="14"/>
  <c r="F771" i="14"/>
  <c r="F787" i="14"/>
  <c r="F773" i="14"/>
  <c r="F767" i="14"/>
  <c r="C767" i="14" s="1" a="1"/>
  <c r="L764" i="14"/>
  <c r="M764" i="14"/>
  <c r="L763" i="14"/>
  <c r="M763" i="14"/>
  <c r="E765" i="14"/>
  <c r="C763" i="14"/>
  <c r="K763" i="14" s="1"/>
  <c r="D765" i="14"/>
  <c r="K764" i="14"/>
  <c r="C765" i="14"/>
  <c r="H3" i="37" l="1" a="1"/>
  <c r="H3" i="37" s="1"/>
  <c r="I3" i="37" a="1"/>
  <c r="I3" i="37" s="1"/>
  <c r="J3" i="37" s="1" a="1"/>
  <c r="F804" i="14"/>
  <c r="F805" i="14" s="1"/>
  <c r="C64" i="5" s="1" a="1"/>
  <c r="E64" i="5" s="1"/>
  <c r="F819" i="14"/>
  <c r="F820" i="14" s="1"/>
  <c r="F824" i="14"/>
  <c r="L765" i="14"/>
  <c r="D771" i="14"/>
  <c r="K770" i="14"/>
  <c r="M770" i="14"/>
  <c r="C767" i="14"/>
  <c r="K767" i="14" s="1"/>
  <c r="L767" i="14"/>
  <c r="K769" i="14"/>
  <c r="E771" i="14"/>
  <c r="M767" i="14"/>
  <c r="L768" i="14"/>
  <c r="C771" i="14"/>
  <c r="M768" i="14"/>
  <c r="L769" i="14"/>
  <c r="M769" i="14"/>
  <c r="L770" i="14"/>
  <c r="K768" i="14"/>
  <c r="K765" i="14"/>
  <c r="F774" i="14"/>
  <c r="N773" i="14"/>
  <c r="M765" i="14"/>
  <c r="R2" i="37" l="1"/>
  <c r="J3" i="37"/>
  <c r="M3" i="37" s="1" a="1"/>
  <c r="C64" i="5"/>
  <c r="L771" i="14"/>
  <c r="M771" i="14"/>
  <c r="N774" i="14"/>
  <c r="F775" i="14"/>
  <c r="K771" i="14"/>
  <c r="K3" i="37" l="1" a="1"/>
  <c r="K3" i="37" s="1"/>
  <c r="N3" i="37" s="1" a="1"/>
  <c r="N3" i="37" s="1"/>
  <c r="R5" i="37"/>
  <c r="M3" i="37"/>
  <c r="N775" i="14"/>
  <c r="O3" i="37" l="1" a="1"/>
  <c r="O3" i="37" s="1"/>
  <c r="P3" i="37" s="1" a="1"/>
  <c r="P3" i="37" s="1"/>
  <c r="R7" i="37" s="1"/>
  <c r="R9" i="37" s="1" a="1"/>
  <c r="R9" i="37" s="1"/>
  <c r="R11" i="37" s="1" a="1"/>
  <c r="R11" i="37" s="1"/>
  <c r="R14" i="37" s="1"/>
  <c r="T3" i="37" s="1" a="1"/>
  <c r="T3" i="37" s="1"/>
  <c r="G2" i="36" s="1" a="1"/>
  <c r="G2"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Gessner, Stephan</author>
  </authors>
  <commentList>
    <comment ref="H486" authorId="0" shapeId="0" xr:uid="{00000000-0006-0000-0300-000001000000}">
      <text>
        <r>
          <rPr>
            <b/>
            <sz val="8"/>
            <color indexed="81"/>
            <rFont val="Tahoma"/>
            <family val="2"/>
          </rPr>
          <t>Gessner, Stephan:</t>
        </r>
        <r>
          <rPr>
            <sz val="8"/>
            <color indexed="81"/>
            <rFont val="Tahoma"/>
            <family val="2"/>
          </rPr>
          <t xml:space="preserve">
(shape * scale - cap * (scale/cap)^shape)/(shape-1)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Meffert, René</author>
  </authors>
  <commentList>
    <comment ref="B36" authorId="0" shapeId="0" xr:uid="{3C55B6A1-02D8-40F2-9CB4-9CD002573291}">
      <text>
        <r>
          <rPr>
            <b/>
            <sz val="9"/>
            <color indexed="81"/>
            <rFont val="Tahoma"/>
            <family val="2"/>
          </rPr>
          <t>Meffert, René:</t>
        </r>
        <r>
          <rPr>
            <sz val="9"/>
            <color indexed="81"/>
            <rFont val="Tahoma"/>
            <family val="2"/>
          </rPr>
          <t xml:space="preserve">
ALR Modell 250318 Germany</t>
        </r>
      </text>
    </comment>
    <comment ref="B37" authorId="0" shapeId="0" xr:uid="{279A8804-49B1-423B-A343-D9D997E0B899}">
      <text>
        <r>
          <rPr>
            <b/>
            <sz val="9"/>
            <color indexed="81"/>
            <rFont val="Tahoma"/>
            <family val="2"/>
          </rPr>
          <t>Meffert, René:</t>
        </r>
        <r>
          <rPr>
            <sz val="9"/>
            <color indexed="81"/>
            <rFont val="Tahoma"/>
            <family val="2"/>
          </rPr>
          <t xml:space="preserve">
ALR Model 250318 Germany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Vogt</author>
    <author>010676</author>
  </authors>
  <commentList>
    <comment ref="F2" authorId="0" shapeId="0" xr:uid="{101FA448-5B7C-4F41-8BEF-0782BF470CF7}">
      <text>
        <r>
          <rPr>
            <sz val="10"/>
            <color indexed="81"/>
            <rFont val="Tahoma"/>
            <family val="2"/>
          </rPr>
          <t>Verwenden Sie bitte die internationale Abkürzung für das Land (ISO-Code). Eine Liste finden Sie auf dem entsprechenden Tabellenblatt.
Please use international country code (ISO Code), which can be found on "Länder/country sheet" or through the drop down function</t>
        </r>
      </text>
    </comment>
    <comment ref="L2" authorId="0" shapeId="0" xr:uid="{0B060782-E38E-4698-ACEE-9888DFCCEBF1}">
      <text>
        <r>
          <rPr>
            <sz val="10"/>
            <color indexed="81"/>
            <rFont val="Tahoma"/>
            <family val="2"/>
          </rPr>
          <t>In welcher Währungseinheit werden die vorangegangenen Summen geführt (bitte Info aus Blatt Währungen beachten) ?
Please show currency in which the values are stated, by using currency codes. The currency codes can be found via the drop down function or on the "Länder - currency sheet"</t>
        </r>
      </text>
    </comment>
    <comment ref="M2" authorId="0" shapeId="0" xr:uid="{FAE740B2-34A2-4CEA-A694-D208EE42A51E}">
      <text>
        <r>
          <rPr>
            <sz val="10"/>
            <color indexed="81"/>
            <rFont val="Tahoma"/>
            <family val="2"/>
          </rPr>
          <t>Bitte die Versicherungswerte des Inventars, der Maschinen und/oder Elektronik des Risikoortes eintragen.
Please enter contents value, B&amp;M value, and/or electronic equipment coverage value per location.</t>
        </r>
      </text>
    </comment>
    <comment ref="O2" authorId="1" shapeId="0" xr:uid="{010B9B4B-294A-4764-ACF5-A4C2AB39C894}">
      <text>
        <r>
          <rPr>
            <sz val="8"/>
            <color indexed="81"/>
            <rFont val="Tahoma"/>
            <family val="2"/>
          </rPr>
          <t>Breitengrad im Dezimal- Format von +90 bis -90 Grad
Latitude in decimal degree Format from +90 to -90 degrees</t>
        </r>
        <r>
          <rPr>
            <sz val="8"/>
            <color indexed="81"/>
            <rFont val="Tahoma"/>
            <family val="2"/>
          </rPr>
          <t xml:space="preserve">
</t>
        </r>
      </text>
    </comment>
    <comment ref="P2" authorId="1" shapeId="0" xr:uid="{830711BE-8094-474C-9865-42CC39B52F92}">
      <text>
        <r>
          <rPr>
            <sz val="8"/>
            <color indexed="81"/>
            <rFont val="Tahoma"/>
            <family val="2"/>
          </rPr>
          <t>Längengrad im Dezimal- Format von +180 bis -180 Grad
Longitude in decimal degree Format from +180 to -180 degrees</t>
        </r>
        <r>
          <rPr>
            <b/>
            <sz val="8"/>
            <color indexed="81"/>
            <rFont val="Tahoma"/>
            <family val="2"/>
          </rPr>
          <t xml:space="preserve">
</t>
        </r>
      </text>
    </comment>
    <comment ref="Q2" authorId="1" shapeId="0" xr:uid="{C8A3A881-865E-4816-9832-709996ECCC14}">
      <text>
        <r>
          <rPr>
            <sz val="8"/>
            <color indexed="81"/>
            <rFont val="Tahoma"/>
            <family val="2"/>
          </rPr>
          <t xml:space="preserve">Welcher Qualität entspricht die Koordinate? Wenn keine Qualität eingegeben wurde, wird die Qualität automatisch als USER Einabe betrachtet
Of wich quality are the coordinates? If no quality is selected, user supplied quality is assumed.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Haleksy, Uwe (Extern)</author>
  </authors>
  <commentList>
    <comment ref="P3" authorId="0" shapeId="0" xr:uid="{3BE29F4D-339A-4EAA-9CF0-657F7289D115}">
      <text>
        <r>
          <rPr>
            <sz val="9"/>
            <color indexed="81"/>
            <rFont val="Segoe UI"/>
            <family val="2"/>
          </rPr>
          <t>Input - $G$9
Input - $H$9
Input - $I$9
Input - $G$9
Input - $H$9
Input - $I$9
Input - $G$9
Input - $H$9
Input - $I$9
Input - $G$9
Input - $H$9
Input - $I$9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Haleksy, Uwe (Extern)</author>
  </authors>
  <commentList>
    <comment ref="A2" authorId="0" shapeId="0" xr:uid="{BE647929-11F3-4D67-B4A4-D152AB2534C2}">
      <text>
        <r>
          <rPr>
            <sz val="9"/>
            <color indexed="81"/>
            <rFont val="Segoe UI"/>
            <family val="2"/>
          </rPr>
          <t>Input - $G$9
Input - $H$9
Input - $I$9
Input - $G$9
Input - $H$9
Input - $I$9
Input - $G$9
Input - $H$9
Input - $I$9
Input - $G$9
Input - $H$9
Input - $I$9</t>
        </r>
      </text>
    </comment>
    <comment ref="A16" authorId="0" shapeId="0" xr:uid="{779C6C4C-383B-4A1F-9202-3CFD508C9FDA}">
      <text>
        <r>
          <rPr>
            <sz val="9"/>
            <color indexed="81"/>
            <rFont val="Segoe UI"/>
            <family val="2"/>
          </rPr>
          <t>Input - $G$9
Input - $H$9
Input - $I$9
Input - $G$9
Input - $H$9
Input - $I$9
Input - $G$9
Input - $H$9
Input - $I$9
Input - $G$9
Input - $H$9
Input - $I$9</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<sst xmlns="http://schemas.openxmlformats.org/spreadsheetml/2006/main" count="10573" uniqueCount="4789">
  <si>
    <t>Expected Loss Calculation - Marine Cargo - Data Entry</t>
  </si>
  <si>
    <t>General Client and Policy Information</t>
  </si>
  <si>
    <t>Partner name</t>
  </si>
  <si>
    <t xml:space="preserve">Type of participation? </t>
  </si>
  <si>
    <t>NAICS-Code</t>
  </si>
  <si>
    <t xml:space="preserve">International Programs? </t>
  </si>
  <si>
    <t>Status</t>
  </si>
  <si>
    <t>Number of local Policies?</t>
  </si>
  <si>
    <t xml:space="preserve">Currency </t>
  </si>
  <si>
    <t xml:space="preserve">Subsidiaries included? </t>
  </si>
  <si>
    <t>Branch</t>
  </si>
  <si>
    <t xml:space="preserve">Type of Cover </t>
  </si>
  <si>
    <t>Partner-ID</t>
  </si>
  <si>
    <t>Type of Cover 2</t>
  </si>
  <si>
    <t>Transports incl. Storage in the ordinary course of Transit</t>
  </si>
  <si>
    <t xml:space="preserve">Turnover </t>
  </si>
  <si>
    <t>Type of Goods Class 1</t>
  </si>
  <si>
    <t>Split</t>
  </si>
  <si>
    <t xml:space="preserve">Turnover relevant for Cargo </t>
  </si>
  <si>
    <t>Type of Goods Subclass 1</t>
  </si>
  <si>
    <t>Temperature sensitive 1</t>
  </si>
  <si>
    <t>Particularly prone to theft 1</t>
  </si>
  <si>
    <t>Type of Goods Class 2</t>
  </si>
  <si>
    <t>Type of Goods Subclass 2</t>
  </si>
  <si>
    <t>Temperature sensitive 2</t>
  </si>
  <si>
    <t>Particularly prone to theft 2</t>
  </si>
  <si>
    <t>Type of Goods Class 3</t>
  </si>
  <si>
    <t>Type of Goods Subclass 3</t>
  </si>
  <si>
    <t>Temperature sensitive 3</t>
  </si>
  <si>
    <t>Particularly prone to theft 3</t>
  </si>
  <si>
    <t>Type of Transportation</t>
  </si>
  <si>
    <t>Please add percentage of transports associated with each type of transportation.
Note that Inland Water should be included as Transportation over Land.</t>
  </si>
  <si>
    <t xml:space="preserve">Geographical Scope  </t>
  </si>
  <si>
    <t>Purchase / Shipment</t>
  </si>
  <si>
    <t>from</t>
  </si>
  <si>
    <t>to</t>
  </si>
  <si>
    <t>Geographical split</t>
  </si>
  <si>
    <t>surcharge / discount</t>
  </si>
  <si>
    <t>Basis of Valuation</t>
  </si>
  <si>
    <t xml:space="preserve">Irrespective of Incoterm </t>
  </si>
  <si>
    <t>Expected Profit % (CIF/CIP)</t>
  </si>
  <si>
    <t>Conditions</t>
  </si>
  <si>
    <t>FIX or MIN</t>
  </si>
  <si>
    <t>Prop</t>
  </si>
  <si>
    <t>max</t>
  </si>
  <si>
    <t>Limit</t>
  </si>
  <si>
    <t>Deductible for NatCat</t>
  </si>
  <si>
    <t>Deductible annual aggregate</t>
  </si>
  <si>
    <t>%</t>
  </si>
  <si>
    <t xml:space="preserve">General </t>
  </si>
  <si>
    <t xml:space="preserve">Land (if different) </t>
  </si>
  <si>
    <t xml:space="preserve">Sea (if different) </t>
  </si>
  <si>
    <t xml:space="preserve">Air (if different) </t>
  </si>
  <si>
    <t xml:space="preserve">Temperature Controlled Goods (if different) </t>
  </si>
  <si>
    <t xml:space="preserve">Storage in the ordinary course of Transit </t>
  </si>
  <si>
    <t>days</t>
  </si>
  <si>
    <t>Permanent Storage</t>
  </si>
  <si>
    <t>Type of Goods</t>
  </si>
  <si>
    <t>EUR</t>
  </si>
  <si>
    <t>Additional Coverages</t>
  </si>
  <si>
    <t>Brokerage</t>
  </si>
  <si>
    <t>Additional Costs</t>
  </si>
  <si>
    <t>Leading Fee</t>
  </si>
  <si>
    <t>Commercial Adjustment</t>
  </si>
  <si>
    <t>Name</t>
  </si>
  <si>
    <t>Value</t>
  </si>
  <si>
    <t>Format</t>
  </si>
  <si>
    <t>|</t>
  </si>
  <si>
    <t>erwarteter Datentyp</t>
  </si>
  <si>
    <t>Hinweis</t>
  </si>
  <si>
    <t>Bereichsname</t>
  </si>
  <si>
    <t>Quellbereich</t>
  </si>
  <si>
    <t>Änderung</t>
  </si>
  <si>
    <t>Product</t>
  </si>
  <si>
    <t>Cargo</t>
  </si>
  <si>
    <t>x</t>
  </si>
  <si>
    <t>String</t>
  </si>
  <si>
    <t>Lines of Business</t>
  </si>
  <si>
    <t>Marine</t>
  </si>
  <si>
    <t>Type of exposure</t>
  </si>
  <si>
    <t>Turnover</t>
  </si>
  <si>
    <t>Dropdown Text</t>
  </si>
  <si>
    <r>
      <t xml:space="preserve">Nur folgende Punkte zugelassen:
</t>
    </r>
    <r>
      <rPr>
        <b/>
        <sz val="9"/>
        <rFont val="Calibri"/>
        <family val="2"/>
        <scheme val="minor"/>
      </rPr>
      <t xml:space="preserve">Turnover
Probable maximum loss
Number of employees
Number of goods sold
Sum insured
Total sum insured
Other
</t>
    </r>
    <r>
      <rPr>
        <sz val="9"/>
        <rFont val="Calibri"/>
        <family val="2"/>
        <scheme val="minor"/>
      </rPr>
      <t>wobei hinter Other in Klammern Erläuterungen erlaubt sind</t>
    </r>
  </si>
  <si>
    <t>Exposure value</t>
  </si>
  <si>
    <t>Ganzzahl</t>
  </si>
  <si>
    <t>Betrag, MA-Anzahl usw.</t>
  </si>
  <si>
    <t>Currency</t>
  </si>
  <si>
    <t>Währungscode nach ISO (3-stellig)</t>
  </si>
  <si>
    <t>Pricing Method</t>
  </si>
  <si>
    <t>Tariff (exposure-based)</t>
  </si>
  <si>
    <r>
      <t xml:space="preserve">Nur folgende Punkte zugelassen:
</t>
    </r>
    <r>
      <rPr>
        <b/>
        <sz val="9"/>
        <rFont val="Calibri"/>
        <family val="2"/>
        <scheme val="minor"/>
      </rPr>
      <t xml:space="preserve">Tariff (exposure-based)
Burning cost (experience-based)
Large Account pricing
Other
</t>
    </r>
    <r>
      <rPr>
        <sz val="9"/>
        <rFont val="Calibri"/>
        <family val="2"/>
        <scheme val="minor"/>
      </rPr>
      <t>wobei hinter Other in Klammern diverse Erläuterungen erlaubt sind, z.B.  benchmark, expert judgement usw.</t>
    </r>
  </si>
  <si>
    <t>Producing Office</t>
  </si>
  <si>
    <t>International Program</t>
  </si>
  <si>
    <r>
      <t xml:space="preserve">Nur folgende Punkte zugelassen:
</t>
    </r>
    <r>
      <rPr>
        <b/>
        <sz val="9"/>
        <rFont val="Calibri"/>
        <family val="2"/>
        <scheme val="minor"/>
      </rPr>
      <t>Yes
No</t>
    </r>
  </si>
  <si>
    <t>Expected Loss Calculation - Marine Cargo - Results</t>
  </si>
  <si>
    <t>Yes</t>
  </si>
  <si>
    <t xml:space="preserve">All monetary values in: </t>
  </si>
  <si>
    <t>Results are shown on an annual basis and on 100% basis.</t>
  </si>
  <si>
    <t>Expected Loss by Coverage and Loss Type</t>
  </si>
  <si>
    <t>Large loss threshold</t>
  </si>
  <si>
    <t>Attritional Losses</t>
  </si>
  <si>
    <t>Large Losses</t>
  </si>
  <si>
    <t>Total</t>
  </si>
  <si>
    <t xml:space="preserve">Transport </t>
  </si>
  <si>
    <t xml:space="preserve">Permanent Storage </t>
  </si>
  <si>
    <t>Man-Made</t>
  </si>
  <si>
    <t>NatCat</t>
  </si>
  <si>
    <t xml:space="preserve">Additional Coverages </t>
  </si>
  <si>
    <t xml:space="preserve">Total </t>
  </si>
  <si>
    <t>Components of the Technical Premium</t>
  </si>
  <si>
    <t>in Policy Currency</t>
  </si>
  <si>
    <t xml:space="preserve">Add Coverages </t>
  </si>
  <si>
    <t xml:space="preserve">Expected Loss </t>
  </si>
  <si>
    <t>Expected Loss Rate</t>
  </si>
  <si>
    <t xml:space="preserve">Volatility Loading </t>
  </si>
  <si>
    <t xml:space="preserve">Risk Premium </t>
  </si>
  <si>
    <t>Risk Premium Rate</t>
  </si>
  <si>
    <t xml:space="preserve">Expenses </t>
  </si>
  <si>
    <t xml:space="preserve">Net Technical Premium </t>
  </si>
  <si>
    <t xml:space="preserve">Brokerage </t>
  </si>
  <si>
    <t xml:space="preserve">Gross Technical Premium </t>
  </si>
  <si>
    <t>Gross Technical Premium Rate</t>
  </si>
  <si>
    <t>Commercial Adjustment on TP</t>
  </si>
  <si>
    <t xml:space="preserve">Gross Offered Premium </t>
  </si>
  <si>
    <t>Gross Offered Premium Rate</t>
  </si>
  <si>
    <t>Ambition Margin on TP</t>
  </si>
  <si>
    <t>Ambition Premium</t>
  </si>
  <si>
    <t>Ambition Premium Rate</t>
  </si>
  <si>
    <t>Commercial Adjustment on Ambition Premium</t>
  </si>
  <si>
    <t>Offered Ambition Premium</t>
  </si>
  <si>
    <t>Offered Ambition Premium Rate</t>
  </si>
  <si>
    <t xml:space="preserve">Gross Achieved Premium </t>
  </si>
  <si>
    <t>Gross Achieved Premium Rate</t>
  </si>
  <si>
    <t xml:space="preserve">AP/TP </t>
  </si>
  <si>
    <t>Components of the Technical Premium - MidMarket</t>
  </si>
  <si>
    <t>Expected Loss Calculation - Marine Cargo - Reference Tables</t>
  </si>
  <si>
    <t>Currency Code</t>
  </si>
  <si>
    <t>Long Name</t>
  </si>
  <si>
    <t>Parent (L1)</t>
  </si>
  <si>
    <t>War and Strike</t>
  </si>
  <si>
    <t>Cover Type MidMarket</t>
  </si>
  <si>
    <t>Yes / No</t>
  </si>
  <si>
    <t>Type of Goods Class</t>
  </si>
  <si>
    <t>EUR - Euro</t>
  </si>
  <si>
    <t>A</t>
  </si>
  <si>
    <t>1 - Crop and animal production, hunting and related service activities</t>
  </si>
  <si>
    <t>Afghanistan</t>
  </si>
  <si>
    <t>Other</t>
  </si>
  <si>
    <t>All Risk</t>
  </si>
  <si>
    <t>Type of Goods Subclass</t>
  </si>
  <si>
    <t>USD</t>
  </si>
  <si>
    <t>USD - US Dollar</t>
  </si>
  <si>
    <t>2 - Forestry and logging</t>
  </si>
  <si>
    <t>Albania</t>
  </si>
  <si>
    <t>--------</t>
  </si>
  <si>
    <t>No</t>
  </si>
  <si>
    <t>GBP</t>
  </si>
  <si>
    <t>GBP - British Pound</t>
  </si>
  <si>
    <t>3 - Fishing and aquaculture</t>
  </si>
  <si>
    <t>Algeria</t>
  </si>
  <si>
    <t>Australia</t>
  </si>
  <si>
    <t>Cover Type non-MidMarket</t>
  </si>
  <si>
    <t>Steuerfelder für die jeweilige Subclass</t>
  </si>
  <si>
    <t>CHF</t>
  </si>
  <si>
    <t>CHF - Swiss Franc</t>
  </si>
  <si>
    <t>B</t>
  </si>
  <si>
    <t>5 - Mining of coal and lignite</t>
  </si>
  <si>
    <t>Andorra</t>
  </si>
  <si>
    <t>New Zealand</t>
  </si>
  <si>
    <t>JPY</t>
  </si>
  <si>
    <t>JPY - Japanese Yen</t>
  </si>
  <si>
    <t>6 - Extraction of crude petroleum and natural gas</t>
  </si>
  <si>
    <t>Angola</t>
  </si>
  <si>
    <t>The Sound (Ore Sund) between Denmark &amp; Sweden</t>
  </si>
  <si>
    <t>Named Perils</t>
  </si>
  <si>
    <t>offered</t>
  </si>
  <si>
    <t>---</t>
  </si>
  <si>
    <t>------</t>
  </si>
  <si>
    <t>7 - Mining of metal ores</t>
  </si>
  <si>
    <t>Argentinia</t>
  </si>
  <si>
    <t>Western hemisphere other than below</t>
  </si>
  <si>
    <t>declined</t>
  </si>
  <si>
    <t>AED</t>
  </si>
  <si>
    <t>AED - Emirati Dirham</t>
  </si>
  <si>
    <t>8 - Other mining and quarrying</t>
  </si>
  <si>
    <t>Armenia</t>
  </si>
  <si>
    <t>Cover Type 2 non-MidMarket</t>
  </si>
  <si>
    <t>accepted</t>
  </si>
  <si>
    <t>AFN</t>
  </si>
  <si>
    <t>AFN - Afghan Afghani</t>
  </si>
  <si>
    <t>9 - Mining support service activities</t>
  </si>
  <si>
    <t>ICC</t>
  </si>
  <si>
    <t>Dropdown Type of Goods (X wenn Subclass fehlt)</t>
  </si>
  <si>
    <t>ALL</t>
  </si>
  <si>
    <t>ALL - Albanian Lek</t>
  </si>
  <si>
    <t>C</t>
  </si>
  <si>
    <t>10 - Manufacture of food products</t>
  </si>
  <si>
    <t>Austria</t>
  </si>
  <si>
    <t>Argentina</t>
  </si>
  <si>
    <t>DTV</t>
  </si>
  <si>
    <t>AMD</t>
  </si>
  <si>
    <t>AMD - Armenian Dram</t>
  </si>
  <si>
    <t>11 - Manufacture of beverages</t>
  </si>
  <si>
    <t>Azerbaijan</t>
  </si>
  <si>
    <t>Bangladesh</t>
  </si>
  <si>
    <t>Broker conditions</t>
  </si>
  <si>
    <t>Purchase</t>
  </si>
  <si>
    <t>ANG</t>
  </si>
  <si>
    <t>ANG - Dutch Guilder</t>
  </si>
  <si>
    <t>12 - Manufacture of tobacco products</t>
  </si>
  <si>
    <t>Bahrain</t>
  </si>
  <si>
    <t>Brazil</t>
  </si>
  <si>
    <t>individual written conditions</t>
  </si>
  <si>
    <t>Shipment</t>
  </si>
  <si>
    <t>AOA</t>
  </si>
  <si>
    <t>AOA - Angolan Kwanza</t>
  </si>
  <si>
    <t>13 - Manufacture of textiles</t>
  </si>
  <si>
    <t>Brazil ( BR-116 Highway Curitaba- Sao Paulo; SP-330 Highway Uberaba-Santos port; BR-116 Highway Rio de Janeiro-Sao Paulo, BR 050 Highway Brasilia-Santos).</t>
  </si>
  <si>
    <t>ARS</t>
  </si>
  <si>
    <t>ARS - Argentine Peso</t>
  </si>
  <si>
    <t>14 - Manufacture of wearing apparel</t>
  </si>
  <si>
    <t>Belarus</t>
  </si>
  <si>
    <t>Burkina Faso</t>
  </si>
  <si>
    <t>Region</t>
  </si>
  <si>
    <t>Type of Goods filled and correct</t>
  </si>
  <si>
    <t>AUD</t>
  </si>
  <si>
    <t>AUD - Australian Dollar</t>
  </si>
  <si>
    <t>15 - Manufacture of leather and related products</t>
  </si>
  <si>
    <t>Belgium</t>
  </si>
  <si>
    <t>Burundi</t>
  </si>
  <si>
    <t>Cover Type 2 MidMarket</t>
  </si>
  <si>
    <t>Europe - North</t>
  </si>
  <si>
    <t>AWG</t>
  </si>
  <si>
    <t>AWG - Aruban or Dutch Guilder</t>
  </si>
  <si>
    <t>16 - Manufacture of wood and of products of wood and cork, except furniture; manufacture of articles of straw and plaiting materials</t>
  </si>
  <si>
    <t>Belize</t>
  </si>
  <si>
    <t>Cameroon</t>
  </si>
  <si>
    <t>SüdVers</t>
  </si>
  <si>
    <t>Europe - East</t>
  </si>
  <si>
    <t>AZN</t>
  </si>
  <si>
    <t>AZN - Azerbaijan Manat</t>
  </si>
  <si>
    <t>17 - Manufacture of paper and paper products</t>
  </si>
  <si>
    <t>Benin</t>
  </si>
  <si>
    <t>Central African Republic</t>
  </si>
  <si>
    <t>Büchner&amp;Barella</t>
  </si>
  <si>
    <t>Europe - South</t>
  </si>
  <si>
    <t>BBD</t>
  </si>
  <si>
    <t>BBD - Barbadian or Bajan Dollar</t>
  </si>
  <si>
    <t>18 - Printing and reproduction of recorded media</t>
  </si>
  <si>
    <t>Bhutan</t>
  </si>
  <si>
    <t>Chad</t>
  </si>
  <si>
    <t>Willis</t>
  </si>
  <si>
    <t>Europe - West</t>
  </si>
  <si>
    <t>BDT</t>
  </si>
  <si>
    <t>BDT - Bangladeshi Taka</t>
  </si>
  <si>
    <t>19 - Manufacture of coke and refined petroleum products</t>
  </si>
  <si>
    <t>Bolivia</t>
  </si>
  <si>
    <t>Colombia</t>
  </si>
  <si>
    <t>Dr. Hörtkorn</t>
  </si>
  <si>
    <t>America - North</t>
  </si>
  <si>
    <t>Cover_Type_2_Dropdown</t>
  </si>
  <si>
    <t>BGN</t>
  </si>
  <si>
    <t>BGN - Bulgarian Lev</t>
  </si>
  <si>
    <t>20 - Manufacture of chemicals and chemical products</t>
  </si>
  <si>
    <t>Bosnia and Herzegovina</t>
  </si>
  <si>
    <t>Congo - Brazzaville (aka Republic of Congo)</t>
  </si>
  <si>
    <t>Leue&amp;Nill</t>
  </si>
  <si>
    <t>America - South</t>
  </si>
  <si>
    <t>BHD</t>
  </si>
  <si>
    <t>BHD - Bahraini Dinar</t>
  </si>
  <si>
    <t>21 - Manufacture of basic pharmaceutical products and pharmaceutical preparations</t>
  </si>
  <si>
    <t>Botswana</t>
  </si>
  <si>
    <t>Congo - Kinshasa (aka DRC)</t>
  </si>
  <si>
    <t>HDI-Wording</t>
  </si>
  <si>
    <t>Asia</t>
  </si>
  <si>
    <t>BIF</t>
  </si>
  <si>
    <t>BIF - Burundian Franc</t>
  </si>
  <si>
    <t>22 - Manufacture of rubber and plastic products</t>
  </si>
  <si>
    <t>Cote d'Ivoire (Ivory Coast)</t>
  </si>
  <si>
    <t>Asia - SouthEast</t>
  </si>
  <si>
    <t>Type_of_participation_Dropdown</t>
  </si>
  <si>
    <t>BMD</t>
  </si>
  <si>
    <t>BMD - Bermudian Dollar</t>
  </si>
  <si>
    <t>23 - Manufacture of other non-metallic mineral products</t>
  </si>
  <si>
    <t xml:space="preserve">Brunei </t>
  </si>
  <si>
    <t>Egypt</t>
  </si>
  <si>
    <t>Asia - NearEast</t>
  </si>
  <si>
    <t>BND</t>
  </si>
  <si>
    <t>BND - Bruneian Dollar</t>
  </si>
  <si>
    <t>24 - Manufacture of basic metals</t>
  </si>
  <si>
    <t>Bulgaria</t>
  </si>
  <si>
    <t>Eritrea</t>
  </si>
  <si>
    <t>Africa - North</t>
  </si>
  <si>
    <t>BOB</t>
  </si>
  <si>
    <t>BOB - Bolivian Bolíviano</t>
  </si>
  <si>
    <t>25 - Manufacture of fabricated metal products, except machinery and equipment</t>
  </si>
  <si>
    <t>Ethiopia</t>
  </si>
  <si>
    <t>Germany: North-East</t>
  </si>
  <si>
    <t>Africa - East</t>
  </si>
  <si>
    <t>Value Range Commercial Adjustment</t>
  </si>
  <si>
    <t>BRL</t>
  </si>
  <si>
    <t>BRL - Brazilian Real</t>
  </si>
  <si>
    <t>26 - Manufacture of computer, electronic and optical products</t>
  </si>
  <si>
    <t>Georgia</t>
  </si>
  <si>
    <t>Germany: South-East</t>
  </si>
  <si>
    <t>Africa - South</t>
  </si>
  <si>
    <t>BSD</t>
  </si>
  <si>
    <t>BSD - Bahamian Dollar</t>
  </si>
  <si>
    <t>27 - Manufacture of electrical equipment</t>
  </si>
  <si>
    <t>Cabo Verde</t>
  </si>
  <si>
    <t>Guinea</t>
  </si>
  <si>
    <t>Germany: South-West</t>
  </si>
  <si>
    <t>Africa - West</t>
  </si>
  <si>
    <t>BTN</t>
  </si>
  <si>
    <t>BTN - Bhutanese Ngultrum</t>
  </si>
  <si>
    <t>28 - Manufacture of machinery and equipment n.e.c.</t>
  </si>
  <si>
    <t>Cambodia</t>
  </si>
  <si>
    <t>Gulf of Aden sea area and to 65° E off the Somali coast, bound to the north by latitude 23°30 N, and bound to the south by 12°S and in the Red Sea by 14°N</t>
  </si>
  <si>
    <t>Germany: West</t>
  </si>
  <si>
    <t>Africa - Central</t>
  </si>
  <si>
    <t>BWP</t>
  </si>
  <si>
    <t>BWP - Botswana Pula</t>
  </si>
  <si>
    <t>29 - Manufacture of motor vehicles, trailers and semi-trailers</t>
  </si>
  <si>
    <t>Gulf of Guinea, in the sea area between 4°30'W 5°8'44.274"N and 3°6'13.966"W 2°20'12.8"N in the west, and 9°46'18.636"E 2°20'12.8"N (Cameroon-Equatorial Guinea border) in the east.</t>
  </si>
  <si>
    <t>Cover_Type_1_Dropdown:</t>
  </si>
  <si>
    <t>BYN</t>
  </si>
  <si>
    <t>BYN - Belarusian Ruble</t>
  </si>
  <si>
    <t>30 - Manufacture of other transport equipment</t>
  </si>
  <si>
    <t>Canada</t>
  </si>
  <si>
    <t>India</t>
  </si>
  <si>
    <t>Unknown</t>
  </si>
  <si>
    <t>BZD</t>
  </si>
  <si>
    <t>BZD - Belizean Dollar</t>
  </si>
  <si>
    <t>31 - Manufacture of furniture</t>
  </si>
  <si>
    <t>India (Eastern and Central India: Bihar, Chhattisgarh, Jharkand, Orissa, Maharashtra)</t>
  </si>
  <si>
    <t>CAD</t>
  </si>
  <si>
    <t>CAD - Canadian Dollar</t>
  </si>
  <si>
    <t>32 - Other manufacturing</t>
  </si>
  <si>
    <t>Indonesia</t>
  </si>
  <si>
    <t>Absolute/relative</t>
  </si>
  <si>
    <t>CDF</t>
  </si>
  <si>
    <t>CDF - Congolese Franc</t>
  </si>
  <si>
    <t>33 - Repair and installation of machinery and equipment</t>
  </si>
  <si>
    <t>Chile</t>
  </si>
  <si>
    <t>Iran</t>
  </si>
  <si>
    <t>fixed value</t>
  </si>
  <si>
    <t>CLP</t>
  </si>
  <si>
    <t>CLP - Chilean Peso</t>
  </si>
  <si>
    <t>D</t>
  </si>
  <si>
    <t>35 - Electricity, gas, steam and air conditioning supply</t>
  </si>
  <si>
    <t>Iraq</t>
  </si>
  <si>
    <t>Denmark</t>
  </si>
  <si>
    <t>percentage</t>
  </si>
  <si>
    <t>CNY</t>
  </si>
  <si>
    <t>CNY - Chinese Yuan Renminbi</t>
  </si>
  <si>
    <t>E</t>
  </si>
  <si>
    <t>36 - Water collection, treatment and supply</t>
  </si>
  <si>
    <t>China</t>
  </si>
  <si>
    <t>Israel</t>
  </si>
  <si>
    <t>France</t>
  </si>
  <si>
    <t>COP</t>
  </si>
  <si>
    <t>COP - Colombian Peso</t>
  </si>
  <si>
    <t>37 - Sewerage</t>
  </si>
  <si>
    <t>Italy</t>
  </si>
  <si>
    <t>Greece</t>
  </si>
  <si>
    <t>Language</t>
  </si>
  <si>
    <t>CRC</t>
  </si>
  <si>
    <t>CRC - Costa Rican Colon</t>
  </si>
  <si>
    <t>38 - Waste collection, treatment and disposal activities; materials recovery</t>
  </si>
  <si>
    <t>Congo</t>
  </si>
  <si>
    <t>Kenya</t>
  </si>
  <si>
    <t>Hong Kong</t>
  </si>
  <si>
    <t>German</t>
  </si>
  <si>
    <t>CUP</t>
  </si>
  <si>
    <t>CUP - Cuban Peso</t>
  </si>
  <si>
    <t>39 - Remediation activities and other waste management services</t>
  </si>
  <si>
    <t>Costa Rica</t>
  </si>
  <si>
    <t>Lebanon</t>
  </si>
  <si>
    <t>English</t>
  </si>
  <si>
    <t>CVE</t>
  </si>
  <si>
    <t>CVE - Cape Verdean Escudo</t>
  </si>
  <si>
    <t>F</t>
  </si>
  <si>
    <t>41 - Construction of buildings</t>
  </si>
  <si>
    <t>Croatia</t>
  </si>
  <si>
    <t>Libya</t>
  </si>
  <si>
    <t>Japan</t>
  </si>
  <si>
    <t>CZK</t>
  </si>
  <si>
    <t>CZK - Czech Koruna</t>
  </si>
  <si>
    <t>42 - Civil engineering</t>
  </si>
  <si>
    <t>Cuba</t>
  </si>
  <si>
    <t>Malay Peninsula (Cargo theft from oil tankers in the Singapore Strait in its entirety and the South China Sea bound at 4°N to the north, 1°N to the south and 106°E to the east’.)</t>
  </si>
  <si>
    <t>Netherlands</t>
  </si>
  <si>
    <t>DJF</t>
  </si>
  <si>
    <t>DJF - Djiboutian Franc</t>
  </si>
  <si>
    <t>43 - Specialised construction activities</t>
  </si>
  <si>
    <t>Cyprus</t>
  </si>
  <si>
    <t>Malay Peninsula (Piracy in the Singapore Strait in its entirety and the South China Sea bound at 4°N to the north, 1°N to the south and 106°E to the east’.)</t>
  </si>
  <si>
    <t>Russia</t>
  </si>
  <si>
    <t>DKK</t>
  </si>
  <si>
    <t>DKK - Danish Krone</t>
  </si>
  <si>
    <t>G</t>
  </si>
  <si>
    <t>45 - Wholesale and retail trade and repair of motor vehicles and motorcycles</t>
  </si>
  <si>
    <t>Czechia</t>
  </si>
  <si>
    <t>Mali</t>
  </si>
  <si>
    <t>Singapore</t>
  </si>
  <si>
    <t>DOP</t>
  </si>
  <si>
    <t>DOP - Dominican Peso</t>
  </si>
  <si>
    <t>46 - Wholesale trade, except of motor vehicles and motorcycles</t>
  </si>
  <si>
    <t>Mexico</t>
  </si>
  <si>
    <t>Spain</t>
  </si>
  <si>
    <t>DZD</t>
  </si>
  <si>
    <t>DZD - Algerian Dinar</t>
  </si>
  <si>
    <t>47 - Retail trade, except of motor vehicles and motorcycles</t>
  </si>
  <si>
    <t>Djibouti</t>
  </si>
  <si>
    <t>Mexico (Estado de México-Puebla-Veracruz highway; Estado de México-Querétaro highway, highways in Tamaulipas, Michoacán and Guerrero states, railways in Guanajuato state.)</t>
  </si>
  <si>
    <t>Switzerland</t>
  </si>
  <si>
    <t>EGP</t>
  </si>
  <si>
    <t>EGP - Egyptian Pound</t>
  </si>
  <si>
    <t>H</t>
  </si>
  <si>
    <t>49 - Land transport and transport via pipelines</t>
  </si>
  <si>
    <t>Dominican Republic</t>
  </si>
  <si>
    <t>Mozambique</t>
  </si>
  <si>
    <t>ERN</t>
  </si>
  <si>
    <t>ERN - Eritrean Nakfa</t>
  </si>
  <si>
    <t>50 - Water transport</t>
  </si>
  <si>
    <t>Ecuador</t>
  </si>
  <si>
    <t>Niger</t>
  </si>
  <si>
    <t>USA</t>
  </si>
  <si>
    <t>ETB</t>
  </si>
  <si>
    <t>ETB - Ethiopian Birr</t>
  </si>
  <si>
    <t>51 - Air transport</t>
  </si>
  <si>
    <t>Nigeria</t>
  </si>
  <si>
    <t>FJD</t>
  </si>
  <si>
    <t>FJD - Fijian Dollar</t>
  </si>
  <si>
    <t>52 - Warehousing and support activities for transportation</t>
  </si>
  <si>
    <t>El Salvador</t>
  </si>
  <si>
    <t>North Korea</t>
  </si>
  <si>
    <t>Type of participation non-MidMarket</t>
  </si>
  <si>
    <t>53 - Postal and courier activities</t>
  </si>
  <si>
    <t>Occupied Palestinian Territory</t>
  </si>
  <si>
    <t>100% Direct Business</t>
  </si>
  <si>
    <t>GEL</t>
  </si>
  <si>
    <t>GEL - Georgian Lari</t>
  </si>
  <si>
    <t>I</t>
  </si>
  <si>
    <t>55 - Accommodation</t>
  </si>
  <si>
    <t>Estonia</t>
  </si>
  <si>
    <t>Pakistan</t>
  </si>
  <si>
    <t>Lead</t>
  </si>
  <si>
    <t>56 - Food and beverage service activities</t>
  </si>
  <si>
    <t>Eswatini</t>
  </si>
  <si>
    <t>Persian or Arabian Gulf and adjacent waters including the Gulf of Oman west of Longitude 58°E</t>
  </si>
  <si>
    <t>Coinsurance</t>
  </si>
  <si>
    <t>GHS</t>
  </si>
  <si>
    <t>GHS - Ghanaian Cedi</t>
  </si>
  <si>
    <t>J</t>
  </si>
  <si>
    <t>58 - Publishing activities</t>
  </si>
  <si>
    <t>Peru</t>
  </si>
  <si>
    <t>GIP</t>
  </si>
  <si>
    <t>GIP - Gibraltar Pound</t>
  </si>
  <si>
    <t>59 - Motion picture, video and television programme production, sound recording and music publishing activities</t>
  </si>
  <si>
    <t>Fiji</t>
  </si>
  <si>
    <t>Qatar</t>
  </si>
  <si>
    <t>Type of participation MidMarket</t>
  </si>
  <si>
    <t>GMD</t>
  </si>
  <si>
    <t>GMD - Gambian Dalasi</t>
  </si>
  <si>
    <t>60 - Programming and broadcasting activities</t>
  </si>
  <si>
    <t>Finland</t>
  </si>
  <si>
    <t>GNF</t>
  </si>
  <si>
    <t>GNF - Guinean Franc</t>
  </si>
  <si>
    <t>61 - Telecommunications</t>
  </si>
  <si>
    <t>Russia (Ground: within 200km of the land border with Ukraine. Marine: Black Sea coast within territorial waters.)</t>
  </si>
  <si>
    <t>GTQ</t>
  </si>
  <si>
    <t>GTQ - Guatemalan Quetzal</t>
  </si>
  <si>
    <t>62 - Computer programming, consultancy and related activities</t>
  </si>
  <si>
    <t>French Polynesia (e.g. Tahiti)</t>
  </si>
  <si>
    <t>Russia (North Caucasus Federal District, less Stavropol Territory)</t>
  </si>
  <si>
    <t>GYD</t>
  </si>
  <si>
    <t>GYD - Guyanese Dollar</t>
  </si>
  <si>
    <t>63 - Information service activities</t>
  </si>
  <si>
    <t>Gambia</t>
  </si>
  <si>
    <t>Saudi Arabia</t>
  </si>
  <si>
    <t>HKD</t>
  </si>
  <si>
    <t>HKD - Hong Kong Dollar</t>
  </si>
  <si>
    <t>K</t>
  </si>
  <si>
    <t>64 - Financial service activities, except insurance and pension funding</t>
  </si>
  <si>
    <t>Somalia</t>
  </si>
  <si>
    <t>HNL</t>
  </si>
  <si>
    <t>HNL - Honduran Lempira</t>
  </si>
  <si>
    <t>65 - Insurance, reinsurance and pension funding, except compulsory social security</t>
  </si>
  <si>
    <t>Germany</t>
  </si>
  <si>
    <t>South Korea</t>
  </si>
  <si>
    <t>HRK</t>
  </si>
  <si>
    <t>HRK - Croatian Kuna</t>
  </si>
  <si>
    <t>66 - Activities auxiliary to financial services and insurance activities</t>
  </si>
  <si>
    <t>Ghana</t>
  </si>
  <si>
    <t>South Sudan</t>
  </si>
  <si>
    <t>HTG</t>
  </si>
  <si>
    <t>HTG - Haitian Gourde</t>
  </si>
  <si>
    <t>L</t>
  </si>
  <si>
    <t>68 - Real estate activities</t>
  </si>
  <si>
    <t>Gibraltar</t>
  </si>
  <si>
    <t>Sudan</t>
  </si>
  <si>
    <t>HUF</t>
  </si>
  <si>
    <t>HUF - Hungarian Forint</t>
  </si>
  <si>
    <t>M</t>
  </si>
  <si>
    <t>69 - Legal and accounting activities</t>
  </si>
  <si>
    <t>Syria</t>
  </si>
  <si>
    <t>IDR</t>
  </si>
  <si>
    <t>IDR - Indonesian Rupiah</t>
  </si>
  <si>
    <t>70 - Activities of head offices; management consultancy activities</t>
  </si>
  <si>
    <t>Greenland</t>
  </si>
  <si>
    <t>Turkey</t>
  </si>
  <si>
    <t>ILS</t>
  </si>
  <si>
    <t>ILS - Israeli Shekel</t>
  </si>
  <si>
    <t>71 - Architectural and engineering activities; technical testing and analysis</t>
  </si>
  <si>
    <t>Guadeloupe</t>
  </si>
  <si>
    <t>Ukraine</t>
  </si>
  <si>
    <t>72 - Scientific research and development</t>
  </si>
  <si>
    <t>Guatemala</t>
  </si>
  <si>
    <t>Ukraine (Ground: Donbass conflict zone; Marine: Black Sea coast and Sea of Azov within territorial waters)</t>
  </si>
  <si>
    <t>INR</t>
  </si>
  <si>
    <t>INR - Indian Rupee</t>
  </si>
  <si>
    <t>73 - Advertising and market research</t>
  </si>
  <si>
    <t>United Arab Emirates</t>
  </si>
  <si>
    <t>IQD</t>
  </si>
  <si>
    <t>IQD - Iraqi Dinar</t>
  </si>
  <si>
    <t>74 - Other professional, scientific and technical activities</t>
  </si>
  <si>
    <t>Guinea-Bissau</t>
  </si>
  <si>
    <t>Venezuela</t>
  </si>
  <si>
    <t>IRR</t>
  </si>
  <si>
    <t>IRR - Iranian Rial</t>
  </si>
  <si>
    <t>75 - Veterinary activities</t>
  </si>
  <si>
    <t>Guyana</t>
  </si>
  <si>
    <t>Yemen</t>
  </si>
  <si>
    <t>ISK</t>
  </si>
  <si>
    <t>ISK - Icelandic Krona</t>
  </si>
  <si>
    <t>N</t>
  </si>
  <si>
    <t>77 - Rental and leasing activities</t>
  </si>
  <si>
    <t>Haiti</t>
  </si>
  <si>
    <t>Yemen (Marine: Territorial Waters)</t>
  </si>
  <si>
    <t>78 - Employment activities</t>
  </si>
  <si>
    <t>Honduras</t>
  </si>
  <si>
    <t>JMD</t>
  </si>
  <si>
    <t>JMD - Jamaican Dollar</t>
  </si>
  <si>
    <t>79 - Travel agency, tour operator and other reservation service and related activities</t>
  </si>
  <si>
    <t>JOD</t>
  </si>
  <si>
    <t>JOD - Jordanian Dinar</t>
  </si>
  <si>
    <t>80 - Security and investigation activities</t>
  </si>
  <si>
    <t>Hungary</t>
  </si>
  <si>
    <t>KES</t>
  </si>
  <si>
    <t>KES - Kenyan Shilling</t>
  </si>
  <si>
    <t>81 - Services to buildings and landscape activities</t>
  </si>
  <si>
    <t>Iceland</t>
  </si>
  <si>
    <t>KGS</t>
  </si>
  <si>
    <t>KGS - Kyrgyzstani Som</t>
  </si>
  <si>
    <t>82 - Office administrative, office support and other business support activities</t>
  </si>
  <si>
    <t>O</t>
  </si>
  <si>
    <t>84 - Public administration and defence; compulsory social security</t>
  </si>
  <si>
    <t>KRW</t>
  </si>
  <si>
    <t>KRW - South Korean Won</t>
  </si>
  <si>
    <t>P</t>
  </si>
  <si>
    <t>85 - Education</t>
  </si>
  <si>
    <t>KWD</t>
  </si>
  <si>
    <t>KWD - Kuwaiti Dinar</t>
  </si>
  <si>
    <t>Q</t>
  </si>
  <si>
    <t>86 - Human health activities</t>
  </si>
  <si>
    <t>KYD</t>
  </si>
  <si>
    <t>KYD - Caymanian Dollar</t>
  </si>
  <si>
    <t>87 - Residential care activities</t>
  </si>
  <si>
    <t>Ireland</t>
  </si>
  <si>
    <t>KZT</t>
  </si>
  <si>
    <t>KZT - Kazakhstani Tenge</t>
  </si>
  <si>
    <t>88 - Social work activities without accommodation</t>
  </si>
  <si>
    <t>LAK</t>
  </si>
  <si>
    <t>LAK - Lao Kip</t>
  </si>
  <si>
    <t>R</t>
  </si>
  <si>
    <t>90 - Creative, arts and entertainment activities</t>
  </si>
  <si>
    <t>LBP</t>
  </si>
  <si>
    <t>LBP - Lebanese Pound</t>
  </si>
  <si>
    <t>91 - Libraries, archives, museums and other cultural activities</t>
  </si>
  <si>
    <t>Ivory Coast</t>
  </si>
  <si>
    <t>LKR</t>
  </si>
  <si>
    <t>LKR - Sri Lankan Rupee</t>
  </si>
  <si>
    <t>92 - Gambling and betting activities</t>
  </si>
  <si>
    <t>Jamaica</t>
  </si>
  <si>
    <t>LRD</t>
  </si>
  <si>
    <t>LRD - Liberian Dollar</t>
  </si>
  <si>
    <t>93 - Sports activities and amusement and recreation activities</t>
  </si>
  <si>
    <t>LYD</t>
  </si>
  <si>
    <t>LYD - Libyan Dinar</t>
  </si>
  <si>
    <t>S</t>
  </si>
  <si>
    <t>94 - Activities of membership organisations</t>
  </si>
  <si>
    <t>Jordan</t>
  </si>
  <si>
    <t>MAD</t>
  </si>
  <si>
    <t>MAD - Moroccan Dirham</t>
  </si>
  <si>
    <t>95 - Repair of computers and personal and household goods</t>
  </si>
  <si>
    <t>Karibik</t>
  </si>
  <si>
    <t>MDL</t>
  </si>
  <si>
    <t>MDL - Moldovan Leu</t>
  </si>
  <si>
    <t>96 - Other personal service activities</t>
  </si>
  <si>
    <t>Kazakhstan</t>
  </si>
  <si>
    <t>MGA</t>
  </si>
  <si>
    <t>MGA - Malagasy Ariary</t>
  </si>
  <si>
    <t>T</t>
  </si>
  <si>
    <t>97 - Activities of households as employers of domestic personnel</t>
  </si>
  <si>
    <t>MKD</t>
  </si>
  <si>
    <t>MKD - Macedonian Denar</t>
  </si>
  <si>
    <t>98 - Undifferentiated goods- and services-producing activities of private households for own use</t>
  </si>
  <si>
    <t>Korea (Republic of)</t>
  </si>
  <si>
    <t>MMK</t>
  </si>
  <si>
    <t>MMK - Burmese Kyat</t>
  </si>
  <si>
    <t>U</t>
  </si>
  <si>
    <t>99 - Activities of extraterritorial organisations and bodies</t>
  </si>
  <si>
    <t>Kosovo</t>
  </si>
  <si>
    <t>MNT</t>
  </si>
  <si>
    <t>MNT - Mongolian Tughrik</t>
  </si>
  <si>
    <t>Kuwait</t>
  </si>
  <si>
    <t>MOP</t>
  </si>
  <si>
    <t>MOP - Macau Pataca</t>
  </si>
  <si>
    <t>Kyrgyzstan</t>
  </si>
  <si>
    <t>MRU</t>
  </si>
  <si>
    <t>MRU - Mauritanian Ouguiya</t>
  </si>
  <si>
    <t>Laos</t>
  </si>
  <si>
    <t>MUR</t>
  </si>
  <si>
    <t>MUR - Mauritian Rupee</t>
  </si>
  <si>
    <t>Latvia</t>
  </si>
  <si>
    <t>MWK</t>
  </si>
  <si>
    <t>MWK - Malawian Kwacha</t>
  </si>
  <si>
    <t>MXN</t>
  </si>
  <si>
    <t>MXN - Mexican Peso</t>
  </si>
  <si>
    <t>Lesotho</t>
  </si>
  <si>
    <t>MYR</t>
  </si>
  <si>
    <t>MYR - Malaysian Ringgit</t>
  </si>
  <si>
    <t>Liberia</t>
  </si>
  <si>
    <t>MZN</t>
  </si>
  <si>
    <t>MZN - Mozambican Metical</t>
  </si>
  <si>
    <t>NGN</t>
  </si>
  <si>
    <t>NGN - Nigerian Naira</t>
  </si>
  <si>
    <t>Liechtenstein</t>
  </si>
  <si>
    <t>NIO</t>
  </si>
  <si>
    <t>NIO - Nicaraguan Cordoba</t>
  </si>
  <si>
    <t>Lithuania</t>
  </si>
  <si>
    <t>NOK</t>
  </si>
  <si>
    <t>NOK - Norwegian Krone</t>
  </si>
  <si>
    <t>Luxembourg</t>
  </si>
  <si>
    <t>NPR</t>
  </si>
  <si>
    <t>NPR - Nepalese Rupee</t>
  </si>
  <si>
    <t>Macao</t>
  </si>
  <si>
    <t>NZD</t>
  </si>
  <si>
    <t>NZD - New Zealand Dollar</t>
  </si>
  <si>
    <t>Macedonia (the former Yugoslav Republic of)</t>
  </si>
  <si>
    <t>OMR</t>
  </si>
  <si>
    <t>OMR - Omani Rial</t>
  </si>
  <si>
    <t>Madagascar</t>
  </si>
  <si>
    <t>PAB</t>
  </si>
  <si>
    <t>PAB - Panamanian Balboa</t>
  </si>
  <si>
    <t>Malawi</t>
  </si>
  <si>
    <t>PEN</t>
  </si>
  <si>
    <t>PEN - Peruvian Sol</t>
  </si>
  <si>
    <t>Malaysia</t>
  </si>
  <si>
    <t>PGK</t>
  </si>
  <si>
    <t>PGK - Papua New Guinean Kina</t>
  </si>
  <si>
    <t>Maldives</t>
  </si>
  <si>
    <t>PHP</t>
  </si>
  <si>
    <t>PHP - Philippine Peso</t>
  </si>
  <si>
    <t>PKR</t>
  </si>
  <si>
    <t>PKR - Pakistani Rupee</t>
  </si>
  <si>
    <t>Malta</t>
  </si>
  <si>
    <t>PLN</t>
  </si>
  <si>
    <t>PLN - Polish Zloty</t>
  </si>
  <si>
    <t>Mauritania</t>
  </si>
  <si>
    <t>PYG</t>
  </si>
  <si>
    <t>PYG - Paraguayan Guarani</t>
  </si>
  <si>
    <t>Mauritius</t>
  </si>
  <si>
    <t>QAR</t>
  </si>
  <si>
    <t>QAR - Qatari Riyal</t>
  </si>
  <si>
    <t>RON</t>
  </si>
  <si>
    <t>RON - Romanian Leu</t>
  </si>
  <si>
    <t>Moldova</t>
  </si>
  <si>
    <t>RSD</t>
  </si>
  <si>
    <t>RSD - Serbian Dinar</t>
  </si>
  <si>
    <t>Monaco</t>
  </si>
  <si>
    <t>RUB</t>
  </si>
  <si>
    <t>RUB - Russian Ruble</t>
  </si>
  <si>
    <t>Mongolia</t>
  </si>
  <si>
    <t>RWF</t>
  </si>
  <si>
    <t>RWF - Rwandan Franc</t>
  </si>
  <si>
    <t>Montenegro</t>
  </si>
  <si>
    <t>SAR</t>
  </si>
  <si>
    <t>SAR - Saudi Arabian Riyal</t>
  </si>
  <si>
    <t>SCR</t>
  </si>
  <si>
    <t>SCR - Seychellois Rupee</t>
  </si>
  <si>
    <t>Morocco</t>
  </si>
  <si>
    <t>SDG</t>
  </si>
  <si>
    <t>SDG - Sudanese Pound</t>
  </si>
  <si>
    <t>SEK</t>
  </si>
  <si>
    <t>SEK - Swedish Krona</t>
  </si>
  <si>
    <t>Myanmar</t>
  </si>
  <si>
    <t>SGD</t>
  </si>
  <si>
    <t>SGD - Singapore Dollar</t>
  </si>
  <si>
    <t>Namibia</t>
  </si>
  <si>
    <t>Nepal</t>
  </si>
  <si>
    <t>SOS</t>
  </si>
  <si>
    <t>SOS - Somali Shilling</t>
  </si>
  <si>
    <t>Nicaragua</t>
  </si>
  <si>
    <t>STN</t>
  </si>
  <si>
    <t>STN - Sao Tomean Dobra</t>
  </si>
  <si>
    <t>SVC</t>
  </si>
  <si>
    <t>SVC - Salvadoran Colon</t>
  </si>
  <si>
    <t>SYP</t>
  </si>
  <si>
    <t>SYP - Syrian Pound</t>
  </si>
  <si>
    <t>Norway</t>
  </si>
  <si>
    <t>THB</t>
  </si>
  <si>
    <t>THB - Thai Baht</t>
  </si>
  <si>
    <t>Oman</t>
  </si>
  <si>
    <t>TMT</t>
  </si>
  <si>
    <t>TMT - Turkmenistani Manat</t>
  </si>
  <si>
    <t>TND</t>
  </si>
  <si>
    <t>TND - Tunisian Dinar</t>
  </si>
  <si>
    <t>Panama</t>
  </si>
  <si>
    <t>TRY</t>
  </si>
  <si>
    <t>TRY - Turkish Lira</t>
  </si>
  <si>
    <t>Papua New Guinea</t>
  </si>
  <si>
    <t>TTD</t>
  </si>
  <si>
    <t>TTD - Trinidadian Dollar</t>
  </si>
  <si>
    <t>Paraguay</t>
  </si>
  <si>
    <t>TWD</t>
  </si>
  <si>
    <t>TWD - Taiwan New Dollar</t>
  </si>
  <si>
    <t>Philippines</t>
  </si>
  <si>
    <t>TZS</t>
  </si>
  <si>
    <t>TZS - Tanzanian Shilling</t>
  </si>
  <si>
    <t>Poland</t>
  </si>
  <si>
    <t>UAH</t>
  </si>
  <si>
    <t>UAH - Ukrainian Hryvnia</t>
  </si>
  <si>
    <t>Portugal</t>
  </si>
  <si>
    <t>UGX</t>
  </si>
  <si>
    <t>UGX - Ugandan Shilling</t>
  </si>
  <si>
    <t>Puerto Rico</t>
  </si>
  <si>
    <t>UYU</t>
  </si>
  <si>
    <t>UYU - Uruguayan Peso</t>
  </si>
  <si>
    <t>UZS</t>
  </si>
  <si>
    <t>UZS - Uzbekistani Som</t>
  </si>
  <si>
    <t>Réunion</t>
  </si>
  <si>
    <t>VES</t>
  </si>
  <si>
    <t>VES - Venezuelan Bolívar</t>
  </si>
  <si>
    <t>Romania</t>
  </si>
  <si>
    <t>VND</t>
  </si>
  <si>
    <t>VND - Vietnamese Dong</t>
  </si>
  <si>
    <t>Russian Federation</t>
  </si>
  <si>
    <t>WST</t>
  </si>
  <si>
    <t>WST - Samoan Tala</t>
  </si>
  <si>
    <t>Rwanda</t>
  </si>
  <si>
    <t>XAF</t>
  </si>
  <si>
    <t>XAF - Central African CFA Franc BEAC</t>
  </si>
  <si>
    <t>Samoa</t>
  </si>
  <si>
    <t>XCD</t>
  </si>
  <si>
    <t>XCD - East Caribbean Dollar</t>
  </si>
  <si>
    <t>San Marino</t>
  </si>
  <si>
    <t>XDR</t>
  </si>
  <si>
    <t>XDR - IMF Special Drawing Rights</t>
  </si>
  <si>
    <t>XOF</t>
  </si>
  <si>
    <t>XOF - CFA Franc</t>
  </si>
  <si>
    <t>Senegal</t>
  </si>
  <si>
    <t>XPF</t>
  </si>
  <si>
    <t>XPF - CFP Franc</t>
  </si>
  <si>
    <t>Serbia</t>
  </si>
  <si>
    <t>YER</t>
  </si>
  <si>
    <t>YER - Yemeni Rial</t>
  </si>
  <si>
    <t>Sierra Leone</t>
  </si>
  <si>
    <t>ZAR</t>
  </si>
  <si>
    <t>ZAR - South African Rand</t>
  </si>
  <si>
    <t>ZMW</t>
  </si>
  <si>
    <t>ZMW - Zambian Kwacha</t>
  </si>
  <si>
    <t>Slovakia</t>
  </si>
  <si>
    <t>ZWD</t>
  </si>
  <si>
    <t>ZWD - Zimbabwean Dollar</t>
  </si>
  <si>
    <t>Slovenia</t>
  </si>
  <si>
    <t>South Africa</t>
  </si>
  <si>
    <t>Sri Lanka</t>
  </si>
  <si>
    <t>Suriname</t>
  </si>
  <si>
    <t>Sweden</t>
  </si>
  <si>
    <t>Syrian Arab Republic</t>
  </si>
  <si>
    <t>Taiwan, Province of China</t>
  </si>
  <si>
    <t>Tajikistan</t>
  </si>
  <si>
    <t>Tanzania</t>
  </si>
  <si>
    <t>Thailand</t>
  </si>
  <si>
    <t>Timor-Leste</t>
  </si>
  <si>
    <t>Togo</t>
  </si>
  <si>
    <t>Tonga</t>
  </si>
  <si>
    <t>Tunisia</t>
  </si>
  <si>
    <t>Turkmenistan</t>
  </si>
  <si>
    <t>Uganda</t>
  </si>
  <si>
    <t>United Kingdom of Great Britain and Northern Ireland</t>
  </si>
  <si>
    <t>United States of America</t>
  </si>
  <si>
    <t>Uruguay</t>
  </si>
  <si>
    <t>Uzbekistan</t>
  </si>
  <si>
    <t>Viet Nam</t>
  </si>
  <si>
    <t>Western Sahara</t>
  </si>
  <si>
    <t>Zambia</t>
  </si>
  <si>
    <t>Zanzibar</t>
  </si>
  <si>
    <t>Zimbabwe</t>
  </si>
  <si>
    <t>Expected Loss Calculation - Marine Cargo - Parameter Tables</t>
  </si>
  <si>
    <t>Constant</t>
  </si>
  <si>
    <t>Currency Name</t>
  </si>
  <si>
    <t>Currency Long Name</t>
  </si>
  <si>
    <t>FX Rate to EUR</t>
  </si>
  <si>
    <t>NAICS-Code (L2)</t>
  </si>
  <si>
    <t>Value Count Model</t>
  </si>
  <si>
    <t>Value Severity Model</t>
  </si>
  <si>
    <t>Adjustment LL Loss Count</t>
  </si>
  <si>
    <t>Adjustment LL Severity</t>
  </si>
  <si>
    <t>IP Flag</t>
  </si>
  <si>
    <t>Type of Goods Code</t>
  </si>
  <si>
    <t>Class Name</t>
  </si>
  <si>
    <t>Subclass Name</t>
  </si>
  <si>
    <t>Adjustment Loss Count</t>
  </si>
  <si>
    <t>Adjustment Severity</t>
  </si>
  <si>
    <t>Adjustment Expected Loss</t>
  </si>
  <si>
    <t>Adjustment ELP temperature</t>
  </si>
  <si>
    <t>Adjustment Prone to Theft</t>
  </si>
  <si>
    <t>Adjustment ELP</t>
  </si>
  <si>
    <t>Type of Packaging</t>
  </si>
  <si>
    <t>Country</t>
  </si>
  <si>
    <t>Geo Scope</t>
  </si>
  <si>
    <t>UW Adjustment</t>
  </si>
  <si>
    <t>Institute War Clauses</t>
  </si>
  <si>
    <t>Institute Strikes Clauses</t>
  </si>
  <si>
    <t>Institute War (Air Cargo) and Institute Strikes (Air Cargo)</t>
  </si>
  <si>
    <t>Profit included</t>
  </si>
  <si>
    <t>Storage Transport (days)</t>
  </si>
  <si>
    <t>Geo Scope Input</t>
  </si>
  <si>
    <t>Geo Scope Algorithm&amp;Parameter</t>
  </si>
  <si>
    <t>User Language</t>
  </si>
  <si>
    <t>Language Offset Type of Goods</t>
  </si>
  <si>
    <t>Language Offset Country</t>
  </si>
  <si>
    <t>Geo Scope Country German</t>
  </si>
  <si>
    <t>Geo Scope Country English</t>
  </si>
  <si>
    <t>Geo Scope Subcontinent</t>
  </si>
  <si>
    <t>Cell</t>
  </si>
  <si>
    <t>MidMarket</t>
  </si>
  <si>
    <t>Min Value MidMarket</t>
  </si>
  <si>
    <t>Max Value MidMarket</t>
  </si>
  <si>
    <t>Transportation Type</t>
  </si>
  <si>
    <t>Proportion National &amp; Europe</t>
  </si>
  <si>
    <t>Proportion worldwide</t>
  </si>
  <si>
    <t>OUT</t>
  </si>
  <si>
    <t>IN</t>
  </si>
  <si>
    <t>Parameter Intercept count model</t>
  </si>
  <si>
    <t>Euro</t>
  </si>
  <si>
    <t>Crop and animal production, hunting and related service activities</t>
  </si>
  <si>
    <t>1. Allgemeine Gebrauchsgüter</t>
  </si>
  <si>
    <t>Land</t>
  </si>
  <si>
    <t xml:space="preserve">Containerised  </t>
  </si>
  <si>
    <t>AFG</t>
  </si>
  <si>
    <t>AFG - Afghanistan</t>
  </si>
  <si>
    <t>Hinweis: Referralpflicht</t>
  </si>
  <si>
    <t>North Europe</t>
  </si>
  <si>
    <t>Ägypten</t>
  </si>
  <si>
    <t>Africa-North</t>
  </si>
  <si>
    <t>\selected_conditions_limit_General</t>
  </si>
  <si>
    <t>Parameter Turnover regression count model</t>
  </si>
  <si>
    <t>US Dollar</t>
  </si>
  <si>
    <t>Forestry and logging</t>
  </si>
  <si>
    <t>2. Andere vegetabile Güter</t>
  </si>
  <si>
    <t>Sea</t>
  </si>
  <si>
    <t xml:space="preserve">Bulk  </t>
  </si>
  <si>
    <t>ALB</t>
  </si>
  <si>
    <t>ALB - Albania</t>
  </si>
  <si>
    <t xml:space="preserve">E-Clauses </t>
  </si>
  <si>
    <t>East Europe</t>
  </si>
  <si>
    <t>Algerien</t>
  </si>
  <si>
    <t>\selected_conditions_deductible_General</t>
  </si>
  <si>
    <t>Parameter intercept zero hurdle model</t>
  </si>
  <si>
    <t>Emirati Dirham</t>
  </si>
  <si>
    <t>Fishing and aquaculture</t>
  </si>
  <si>
    <t>3. Anlagenbau</t>
  </si>
  <si>
    <t>Projekt - containerfähig</t>
  </si>
  <si>
    <t>Air</t>
  </si>
  <si>
    <t xml:space="preserve">Oversized </t>
  </si>
  <si>
    <t>DZA</t>
  </si>
  <si>
    <t>DZA - Algeria</t>
  </si>
  <si>
    <t xml:space="preserve">F-Clauses </t>
  </si>
  <si>
    <t>South Europe</t>
  </si>
  <si>
    <t>Libyen</t>
  </si>
  <si>
    <t>\selected_conditions_deductibleProp_General</t>
  </si>
  <si>
    <t>Parameter turnover regression zero hurdle</t>
  </si>
  <si>
    <t>Afghan Afghani</t>
  </si>
  <si>
    <t>Mining of coal and lignite</t>
  </si>
  <si>
    <t>Projekt - nicht containerfähig</t>
  </si>
  <si>
    <t xml:space="preserve">Unpacked </t>
  </si>
  <si>
    <t>AND</t>
  </si>
  <si>
    <t>AND - Andorra</t>
  </si>
  <si>
    <t xml:space="preserve">C-Clauses </t>
  </si>
  <si>
    <t>West Europe</t>
  </si>
  <si>
    <t>Marokko</t>
  </si>
  <si>
    <t>\selected_conditions_deductibleMax_General</t>
  </si>
  <si>
    <t>Parameter disperson count model</t>
  </si>
  <si>
    <t>Albanian Lek</t>
  </si>
  <si>
    <t>Extraction of crude petroleum and natural gas</t>
  </si>
  <si>
    <t>Serien- / Massenproduktion - containerfähig</t>
  </si>
  <si>
    <t>Flexi-Tank</t>
  </si>
  <si>
    <t>AGO</t>
  </si>
  <si>
    <t>AGO - Angola</t>
  </si>
  <si>
    <t xml:space="preserve">D-Clauses </t>
  </si>
  <si>
    <t>North America</t>
  </si>
  <si>
    <t>\selected_conditions_deductibleAggregat_General</t>
  </si>
  <si>
    <t>Parameter MM &lt;100m Intercept count model</t>
  </si>
  <si>
    <t>Armenian Dram</t>
  </si>
  <si>
    <t>Mining of metal ores</t>
  </si>
  <si>
    <t>Serien- / Massenproduktion - nicht containerfähig</t>
  </si>
  <si>
    <t xml:space="preserve">Unknown </t>
  </si>
  <si>
    <t>ARG</t>
  </si>
  <si>
    <t>ARG - Argentinia</t>
  </si>
  <si>
    <t>South America</t>
  </si>
  <si>
    <t>Tunesien</t>
  </si>
  <si>
    <t>Parameter MM &lt;100m Turnover regression count model</t>
  </si>
  <si>
    <t>Dutch Guilder</t>
  </si>
  <si>
    <t>Other mining and quarrying</t>
  </si>
  <si>
    <t>4. Automobilbau</t>
  </si>
  <si>
    <t>Fahrzeuge - PKW Verbrenner</t>
  </si>
  <si>
    <t>ARM</t>
  </si>
  <si>
    <t>ARM - Armenia</t>
  </si>
  <si>
    <t>Westsahara</t>
  </si>
  <si>
    <t>\selected_additional_limit_Messen</t>
  </si>
  <si>
    <t>Parameter MM &lt;100m intercept zero hurdle model</t>
  </si>
  <si>
    <t>Angolan Kwanza</t>
  </si>
  <si>
    <t>Mining support service activities</t>
  </si>
  <si>
    <t>Fahrzeuge - PKW Elektro</t>
  </si>
  <si>
    <t>AUS</t>
  </si>
  <si>
    <t>AUS - Australia</t>
  </si>
  <si>
    <t>SouthEast Asia</t>
  </si>
  <si>
    <t>Äthiopien</t>
  </si>
  <si>
    <t>Africa-East</t>
  </si>
  <si>
    <t>\selected_additional_deductible_Messen</t>
  </si>
  <si>
    <t>=\selected_conditions_deductible_General</t>
  </si>
  <si>
    <t>Parameter MM &lt;100m turnover regression zero hurdle</t>
  </si>
  <si>
    <t>Argentine Peso</t>
  </si>
  <si>
    <t>Manufacture of food products</t>
  </si>
  <si>
    <t>Fahrzeuge - LKW Verbrenner</t>
  </si>
  <si>
    <t>AUT</t>
  </si>
  <si>
    <t>AUT - Austria</t>
  </si>
  <si>
    <t>Near East</t>
  </si>
  <si>
    <t>\selected_additional_deductibleProp_Messen</t>
  </si>
  <si>
    <t>=\selected_conditions_deductibleProp_General</t>
  </si>
  <si>
    <t>Parameter MM &lt;100m disperson count model</t>
  </si>
  <si>
    <t>Australian Dollar</t>
  </si>
  <si>
    <t>Manufacture of beverages</t>
  </si>
  <si>
    <t>Fahrzeuge - LKW Elektro</t>
  </si>
  <si>
    <t>AZE</t>
  </si>
  <si>
    <t>AZE - Azerbaijan</t>
  </si>
  <si>
    <t>North Africa</t>
  </si>
  <si>
    <t>Dschibuti</t>
  </si>
  <si>
    <t>\selected_additional_deductibleMax_Messen</t>
  </si>
  <si>
    <t>=\selected_conditions_deductibleMax_General</t>
  </si>
  <si>
    <t>Parameter MM &gt;100m Intercept count model</t>
  </si>
  <si>
    <t>Aruban or Dutch Guilder</t>
  </si>
  <si>
    <t>Manufacture of tobacco products</t>
  </si>
  <si>
    <t>Fahrzeuge - Campingfahrzeuge Verbrenner</t>
  </si>
  <si>
    <t>BHR</t>
  </si>
  <si>
    <t>BHR - Bahrain</t>
  </si>
  <si>
    <t>East Africa</t>
  </si>
  <si>
    <t>\selected_additional_deductibleAggregat_Messen</t>
  </si>
  <si>
    <t>=\selected_conditions_deductibleAggregat_General</t>
  </si>
  <si>
    <t>Parameter MM &gt;100m Turnover regression count model</t>
  </si>
  <si>
    <t>Azerbaijan Manat</t>
  </si>
  <si>
    <t>Manufacture of textiles</t>
  </si>
  <si>
    <t>Fahrzeuge - Campingfahrzeuge Elektro</t>
  </si>
  <si>
    <t>BGD</t>
  </si>
  <si>
    <t>BGD - Bangladesh</t>
  </si>
  <si>
    <t>Kenia</t>
  </si>
  <si>
    <t>Parameter MM &gt;100m intercept zero hurdle model</t>
  </si>
  <si>
    <t>Barbadian or Bajan Dollar</t>
  </si>
  <si>
    <t>Manufacture of wearing apparel</t>
  </si>
  <si>
    <t>Fahrzeuge - Motorräder Verbrenner</t>
  </si>
  <si>
    <t>BLR</t>
  </si>
  <si>
    <t>BLR - Belarus</t>
  </si>
  <si>
    <t>West Africa</t>
  </si>
  <si>
    <t>Komoren</t>
  </si>
  <si>
    <t>Comoros</t>
  </si>
  <si>
    <t>Parameter MM &gt;100m turnover regression zero hurdle</t>
  </si>
  <si>
    <t>Bangladeshi Taka</t>
  </si>
  <si>
    <t>Manufacture of leather and related products</t>
  </si>
  <si>
    <t>Fahrzeuge - Motorräder Elektro</t>
  </si>
  <si>
    <t>BEL</t>
  </si>
  <si>
    <t>BEL - Belgium</t>
  </si>
  <si>
    <t>Central Africa</t>
  </si>
  <si>
    <t>Madagaskar</t>
  </si>
  <si>
    <t>Parameter MM &gt;100m disperson count model</t>
  </si>
  <si>
    <t>Bulgarian Lev</t>
  </si>
  <si>
    <t>Manufacture of wood and of products of wood and cork, except furniture; manufacture of articles of straw and plaiting materials</t>
  </si>
  <si>
    <t>Oldtimer</t>
  </si>
  <si>
    <t>BLZ</t>
  </si>
  <si>
    <t>BLZ - Belize</t>
  </si>
  <si>
    <t>Base Turnover</t>
  </si>
  <si>
    <t>Bahraini Dinar</t>
  </si>
  <si>
    <t>Manufacture of paper and paper products</t>
  </si>
  <si>
    <t>Zulieferindustrie - Nicht-Elektronik</t>
  </si>
  <si>
    <t>BEN</t>
  </si>
  <si>
    <t>BEN - Benin</t>
  </si>
  <si>
    <t>Constant Mean Severity Attritional</t>
  </si>
  <si>
    <t>Burundian Franc</t>
  </si>
  <si>
    <t>Printing and reproduction of recorded media</t>
  </si>
  <si>
    <t>Zulieferindustrie - Elektronik</t>
  </si>
  <si>
    <t>BTN - Bhutan</t>
  </si>
  <si>
    <t>Mayotte</t>
  </si>
  <si>
    <t>Parameter MM &lt;100m log(Severity) Attritional Intercept</t>
  </si>
  <si>
    <t>Bermudian Dollar</t>
  </si>
  <si>
    <t>Manufacture of coke and refined petroleum products</t>
  </si>
  <si>
    <t>5. Baustoffe / Bauelemente</t>
  </si>
  <si>
    <t>Organische</t>
  </si>
  <si>
    <t>BOL</t>
  </si>
  <si>
    <t>BOL - Bolivia</t>
  </si>
  <si>
    <t>Mosambik</t>
  </si>
  <si>
    <t>Parameter MM &lt;100m log(Severity) Attritional log(turnover)</t>
  </si>
  <si>
    <t>Bruneian Dollar</t>
  </si>
  <si>
    <t>Manufacture of chemicals and chemical products</t>
  </si>
  <si>
    <t>Anorganische - abgebaut</t>
  </si>
  <si>
    <t>BIH</t>
  </si>
  <si>
    <t>BIH - Bosnia and Herzegovina</t>
  </si>
  <si>
    <t>Parameter MM &lt;100m log(Severity) Attritional dispersion (sigma^2)</t>
  </si>
  <si>
    <t>Bolivian Bolíviano</t>
  </si>
  <si>
    <t>Manufacture of basic pharmaceutical products and pharmaceutical preparations</t>
  </si>
  <si>
    <t>Anorganische - produziert</t>
  </si>
  <si>
    <t>BWA</t>
  </si>
  <si>
    <t>BWA - Botswana</t>
  </si>
  <si>
    <t>Ruanda</t>
  </si>
  <si>
    <t>Parameter MM &gt;100m log(Severity) Attritional Intercept</t>
  </si>
  <si>
    <t>Brazilian Real</t>
  </si>
  <si>
    <t>Manufacture of rubber and plastic products</t>
  </si>
  <si>
    <t>Glaselemente</t>
  </si>
  <si>
    <t>BRA</t>
  </si>
  <si>
    <t>BRA - Brazil</t>
  </si>
  <si>
    <t>Sambia</t>
  </si>
  <si>
    <t>Parameter MM &gt;100m log(Severity) Attritional log(turnover)</t>
  </si>
  <si>
    <t>Bahamian Dollar</t>
  </si>
  <si>
    <t>Manufacture of other non-metallic mineral products</t>
  </si>
  <si>
    <t>6. Bulkgüter, fest</t>
  </si>
  <si>
    <t>Schüttgut (exkl. Chemische Erzeugnisse) - containerisiert</t>
  </si>
  <si>
    <t>BRN</t>
  </si>
  <si>
    <t xml:space="preserve">BRN - Brunei </t>
  </si>
  <si>
    <t>Seychellen</t>
  </si>
  <si>
    <t>Seychelles</t>
  </si>
  <si>
    <t>Parameter MM &gt;100m log(Severity) Attritional dispersion (sigma^2)</t>
  </si>
  <si>
    <t>Bhutanese Ngultrum</t>
  </si>
  <si>
    <t>Manufacture of basic metals</t>
  </si>
  <si>
    <t>Schüttgut (exkl. Chemische Erzeugnisse) - nicht containerisiert</t>
  </si>
  <si>
    <t>BGR</t>
  </si>
  <si>
    <t>BGR - Bulgaria</t>
  </si>
  <si>
    <t>Simbabwe</t>
  </si>
  <si>
    <t>Transport Large Loss Threshold 1</t>
  </si>
  <si>
    <t>Botswana Pula</t>
  </si>
  <si>
    <t>Manufacture of fabricated metal products, except machinery and equipment</t>
  </si>
  <si>
    <t>Stückgut (z.B. Stahlhalbzeuge, Bleche)</t>
  </si>
  <si>
    <t>BFA</t>
  </si>
  <si>
    <t>BFA - Burkina Faso</t>
  </si>
  <si>
    <t>Constant Mean Count Large</t>
  </si>
  <si>
    <t>Belarusian Ruble</t>
  </si>
  <si>
    <t>Manufacture of computer, electronic and optical products</t>
  </si>
  <si>
    <t>Chemische Erzeugnisse - containerisiert</t>
  </si>
  <si>
    <t>BDI</t>
  </si>
  <si>
    <t>BDI - Burundi</t>
  </si>
  <si>
    <t>Südsudan</t>
  </si>
  <si>
    <t>\selected_additional_limit_Gueterfolge</t>
  </si>
  <si>
    <t>Constant Mean Severity Large</t>
  </si>
  <si>
    <t>Belizean Dollar</t>
  </si>
  <si>
    <t>Manufacture of electrical equipment</t>
  </si>
  <si>
    <t>Chemische Erzeugnisse - nicht containerisiert</t>
  </si>
  <si>
    <t>CPV</t>
  </si>
  <si>
    <t>CPV - Cabo Verde</t>
  </si>
  <si>
    <t>Tansania</t>
  </si>
  <si>
    <t>\selected_additional_deductible_Gueterfolge</t>
  </si>
  <si>
    <t>Constant Dispersion Severity Attritional</t>
  </si>
  <si>
    <t>Canadian Dollar</t>
  </si>
  <si>
    <t>Manufacture of machinery and equipment n.e.c.</t>
  </si>
  <si>
    <t>7. Bulkgüter, flüssig</t>
  </si>
  <si>
    <t>Lebensmittel (exkl. Fette und Öle)</t>
  </si>
  <si>
    <t>KHM</t>
  </si>
  <si>
    <t>KHM - Cambodia</t>
  </si>
  <si>
    <t>Uganda </t>
  </si>
  <si>
    <t xml:space="preserve">Uganda </t>
  </si>
  <si>
    <t>\selected_additional_deductibleProp_Gueterfolge</t>
  </si>
  <si>
    <t>Constant Scale GPD Severity Large</t>
  </si>
  <si>
    <t>Congolese Franc</t>
  </si>
  <si>
    <t>Manufacture of motor vehicles, trailers and semi-trailers</t>
  </si>
  <si>
    <t>Fette und Öle (pflanzlicher oder tierischer Ursprung)</t>
  </si>
  <si>
    <t>CMR</t>
  </si>
  <si>
    <t>CMR - Cameroon</t>
  </si>
  <si>
    <t>Africa-South</t>
  </si>
  <si>
    <t>\selected_additional_deductibleMax_Gueterfolge</t>
  </si>
  <si>
    <t>Constant Dispersion Severity Large</t>
  </si>
  <si>
    <t>Swiss Franc</t>
  </si>
  <si>
    <t>Manufacture of other transport equipment</t>
  </si>
  <si>
    <t>Petrochemische Erzeugnisse</t>
  </si>
  <si>
    <t>CAN</t>
  </si>
  <si>
    <t>CAN - Canada</t>
  </si>
  <si>
    <t>\selected_additional_deductibleAggregat_Gueterfolge</t>
  </si>
  <si>
    <t>Chilean Peso</t>
  </si>
  <si>
    <t>Manufacture of furniture</t>
  </si>
  <si>
    <t>Chemische Erzeugnisse (exkl. Petrochemie)</t>
  </si>
  <si>
    <t>CAF</t>
  </si>
  <si>
    <t>CAF - Central African Republic</t>
  </si>
  <si>
    <t>Constant Storage Losses</t>
  </si>
  <si>
    <t>Chinese Yuan Renminbi</t>
  </si>
  <si>
    <t>Other manufacturing</t>
  </si>
  <si>
    <t>8. Bulkgüter, gasförmig</t>
  </si>
  <si>
    <t>Containerisiert bzw. kleinere Ladungseinheiten</t>
  </si>
  <si>
    <t>TCD</t>
  </si>
  <si>
    <t>TCD - Chad</t>
  </si>
  <si>
    <t>Südafrika</t>
  </si>
  <si>
    <t>\selected_additional_limit_Vermoegen</t>
  </si>
  <si>
    <t>Target-ALR</t>
  </si>
  <si>
    <t>Colombian Peso</t>
  </si>
  <si>
    <t>Repair and installation of machinery and equipment</t>
  </si>
  <si>
    <t>Nicht Containerisiert bzw. größere Ladungseinheiten</t>
  </si>
  <si>
    <t>CHL</t>
  </si>
  <si>
    <t>CHL - Chile</t>
  </si>
  <si>
    <t>\selected_additional_deductible_Vermoegen</t>
  </si>
  <si>
    <t>Ambition Margin</t>
  </si>
  <si>
    <t>Costa Rican Colon</t>
  </si>
  <si>
    <t>Electricity, gas, steam and air conditioning supply</t>
  </si>
  <si>
    <t>9. Pharma, Medizin, Kosmetik, Lebensmittel</t>
  </si>
  <si>
    <t>Pharmazeutische Produkte</t>
  </si>
  <si>
    <t>Africa-West</t>
  </si>
  <si>
    <t>\selected_additional_deductibleProp_Vermoegen</t>
  </si>
  <si>
    <t>Decentralized expenses (operation / claims)</t>
  </si>
  <si>
    <t>Cuban Peso</t>
  </si>
  <si>
    <t>Water collection, treatment and supply</t>
  </si>
  <si>
    <t>Medizinprodukte</t>
  </si>
  <si>
    <t>CHN</t>
  </si>
  <si>
    <t>CHN - China</t>
  </si>
  <si>
    <t>Burkina Faso</t>
  </si>
  <si>
    <t>\selected_additional_deductibleMax_Vermoegen</t>
  </si>
  <si>
    <t>Centralized expenses (operation / claims)</t>
  </si>
  <si>
    <t>Cape Verdean Escudo</t>
  </si>
  <si>
    <t>Sewerage</t>
  </si>
  <si>
    <t>Kosmetika</t>
  </si>
  <si>
    <t>COL</t>
  </si>
  <si>
    <t>COL - Colombia</t>
  </si>
  <si>
    <t>Elfenbeinküste</t>
  </si>
  <si>
    <t>\selected_additional_deductibleAggregat_Vermoegen</t>
  </si>
  <si>
    <t>RI expenses (expected result RI)</t>
  </si>
  <si>
    <t>Czech Koruna</t>
  </si>
  <si>
    <t>Waste collection, treatment and disposal activities; materials recovery</t>
  </si>
  <si>
    <t>Heilprodukte</t>
  </si>
  <si>
    <t>COG</t>
  </si>
  <si>
    <t>COG - Congo</t>
  </si>
  <si>
    <t>Cost of Capital + IVC Loading + RI expenses</t>
  </si>
  <si>
    <t>Djiboutian Franc</t>
  </si>
  <si>
    <t>Remediation activities and other waste management services</t>
  </si>
  <si>
    <t>Lebens- und Genussmittel (verkaufsfertig)</t>
  </si>
  <si>
    <t>CRI</t>
  </si>
  <si>
    <t>CRI - Costa Rica</t>
  </si>
  <si>
    <t>\selected_additional_limit_Krieg</t>
  </si>
  <si>
    <t>=\selected_conditions_limit_General</t>
  </si>
  <si>
    <t>Danish Krone</t>
  </si>
  <si>
    <t>Construction of buildings</t>
  </si>
  <si>
    <t>10. Elektronik, EDV</t>
  </si>
  <si>
    <t>Braune Ware (z.B. Unterhaltungstechnik)</t>
  </si>
  <si>
    <t>HRV</t>
  </si>
  <si>
    <t>HRV - Croatia</t>
  </si>
  <si>
    <t>\selected_additional_deductible_Krieg</t>
  </si>
  <si>
    <t>Dominican Peso</t>
  </si>
  <si>
    <t>Civil engineering</t>
  </si>
  <si>
    <t>Weiße Ware (z.B. Haushaltsgeräte)</t>
  </si>
  <si>
    <t>CUB</t>
  </si>
  <si>
    <t>CUB - Cuba</t>
  </si>
  <si>
    <t>\selected_additional_deductibleProp_Krieg</t>
  </si>
  <si>
    <t>Algerian Dinar</t>
  </si>
  <si>
    <t>Specialised construction activities</t>
  </si>
  <si>
    <t>11. Elektrotechnik (Schaltschränke, etc..)</t>
  </si>
  <si>
    <t>Energietechnik (Schaltschränke, Fotovoltaik, etc.)</t>
  </si>
  <si>
    <t>CYP</t>
  </si>
  <si>
    <t>CYP - Cyprus</t>
  </si>
  <si>
    <t>Kap Verde</t>
  </si>
  <si>
    <t>Cape Verde</t>
  </si>
  <si>
    <t>\selected_additional_deductibleMax_Krieg</t>
  </si>
  <si>
    <t>Threshold LLL in % of Gross Limit</t>
  </si>
  <si>
    <t>Egyptian Pound</t>
  </si>
  <si>
    <t>Wholesale and retail trade and repair of motor vehicles and motorcycles</t>
  </si>
  <si>
    <t>Antriebtechnik (Generatoren, Elektromotoren, etc.)</t>
  </si>
  <si>
    <t>CZE</t>
  </si>
  <si>
    <t>CZE - Czechia</t>
  </si>
  <si>
    <t>\selected_additional_deductibleAggregat_Krieg</t>
  </si>
  <si>
    <t>Pareto Alpha</t>
  </si>
  <si>
    <t>Eritrean Nakfa</t>
  </si>
  <si>
    <t>Wholesale trade, except of motor vehicles and motorcycles</t>
  </si>
  <si>
    <t>12. Feinmechanik, Optik</t>
  </si>
  <si>
    <t>Linsen und Linsensysteme</t>
  </si>
  <si>
    <t>DNK</t>
  </si>
  <si>
    <t>DNK - Denmark</t>
  </si>
  <si>
    <t>Return Period Factor Log(turnover in 100m)</t>
  </si>
  <si>
    <t>Ethiopian Birr</t>
  </si>
  <si>
    <t>Retail trade, except of motor vehicles and motorcycles</t>
  </si>
  <si>
    <t>Messsysteme mechanisch</t>
  </si>
  <si>
    <t>DJI</t>
  </si>
  <si>
    <t>DJI - Djibouti</t>
  </si>
  <si>
    <t>Mauretanien</t>
  </si>
  <si>
    <t>\selected_additional_limit_Luggage</t>
  </si>
  <si>
    <t>Return Period Factor EXP(turnover in 100m - 1)</t>
  </si>
  <si>
    <t>Fijian Dollar</t>
  </si>
  <si>
    <t>Land transport and transport via pipelines</t>
  </si>
  <si>
    <t>Messsysteme elektronisch (z.B. GPS-Technik, Satelliten)</t>
  </si>
  <si>
    <t>DOM</t>
  </si>
  <si>
    <t>DOM - Dominican Republic</t>
  </si>
  <si>
    <t>\selected_additional_deductible_Luggage</t>
  </si>
  <si>
    <t>Return Period Limit Loss</t>
  </si>
  <si>
    <t>Water transport</t>
  </si>
  <si>
    <t>13. Maschinenbau</t>
  </si>
  <si>
    <t>ECU</t>
  </si>
  <si>
    <t>ECU - Ecuador</t>
  </si>
  <si>
    <t>\selected_additional_deductibleProp_Luggage</t>
  </si>
  <si>
    <t>British Pound</t>
  </si>
  <si>
    <t>Air transport</t>
  </si>
  <si>
    <t>14. Militärisches Material / Wehrtechnik / Schusswaffen</t>
  </si>
  <si>
    <t>Fahrzeuge (Wasser, Land, Luft)</t>
  </si>
  <si>
    <t>EGY</t>
  </si>
  <si>
    <t>EGY - Egypt</t>
  </si>
  <si>
    <t>\selected_additional_deductibleMax_Luggage</t>
  </si>
  <si>
    <t>Georgian Lari</t>
  </si>
  <si>
    <t>Warehousing and support activities for transportation</t>
  </si>
  <si>
    <t>Ausrüstung</t>
  </si>
  <si>
    <t>SLV</t>
  </si>
  <si>
    <t>SLV - El Salvador</t>
  </si>
  <si>
    <t>\selected_additional_deductibleAggregat_Luggage</t>
  </si>
  <si>
    <t>Postal and courier activities</t>
  </si>
  <si>
    <t>Munition</t>
  </si>
  <si>
    <t>ERI</t>
  </si>
  <si>
    <t>ERI - Eritrea</t>
  </si>
  <si>
    <t>Ghanaian Cedi</t>
  </si>
  <si>
    <t>Accommodation</t>
  </si>
  <si>
    <t>15. Papier, Druckerzeugnisse</t>
  </si>
  <si>
    <t>EST</t>
  </si>
  <si>
    <t>EST - Estonia</t>
  </si>
  <si>
    <t>St. Helena, Ascension und Tristan da Cunha</t>
  </si>
  <si>
    <t>Saint Helena, Ascension and Tristan da Cunha</t>
  </si>
  <si>
    <t>\selected_additional_limit_Cyber</t>
  </si>
  <si>
    <t>MIDMARKET PARAMETERS?</t>
  </si>
  <si>
    <t>Gibraltar Pound</t>
  </si>
  <si>
    <t>Food and beverage service activities</t>
  </si>
  <si>
    <t>16. Schiffs-, Luft-, Schienenbau (Fahrzeuge excl. Automotive)</t>
  </si>
  <si>
    <t>SWZ</t>
  </si>
  <si>
    <t>SWZ - Eswatini</t>
  </si>
  <si>
    <t>Africa-Central</t>
  </si>
  <si>
    <t>\selected_additional_deductible_Cyber</t>
  </si>
  <si>
    <t>TEST BC LLL?</t>
  </si>
  <si>
    <t>Gambian Dalasi</t>
  </si>
  <si>
    <t>Publishing activities</t>
  </si>
  <si>
    <t>17. Technische Komponenten</t>
  </si>
  <si>
    <t>ETH</t>
  </si>
  <si>
    <t>ETH - Ethiopia</t>
  </si>
  <si>
    <t>Äquatorialguinea</t>
  </si>
  <si>
    <t>Equatorial Guinea</t>
  </si>
  <si>
    <t>\selected_additional_deductibleProp_Cyber</t>
  </si>
  <si>
    <t>Guinean Franc</t>
  </si>
  <si>
    <t>Motion picture, video and television programme production, sound recording and music publishing activities</t>
  </si>
  <si>
    <t>18. Textilien, Leder, Bekleidung, Schuhe</t>
  </si>
  <si>
    <t>FJI</t>
  </si>
  <si>
    <t>FJI - Fiji</t>
  </si>
  <si>
    <t>Gabun</t>
  </si>
  <si>
    <t>Gabon</t>
  </si>
  <si>
    <t>\selected_additional_deductibleMax_Cyber</t>
  </si>
  <si>
    <t>Guatemalan Quetzal</t>
  </si>
  <si>
    <t>Programming and broadcasting activities</t>
  </si>
  <si>
    <t>19. Kabel &amp; Seile (Seekabel, Tragseile für Brücken, Spannkabel)</t>
  </si>
  <si>
    <t>FIN</t>
  </si>
  <si>
    <t>FIN - Finland</t>
  </si>
  <si>
    <t>Kamerun</t>
  </si>
  <si>
    <t>\selected_additional_deductibleAggregat_Cyber</t>
  </si>
  <si>
    <t>Guyanese Dollar</t>
  </si>
  <si>
    <t>Telecommunications</t>
  </si>
  <si>
    <t>FRA</t>
  </si>
  <si>
    <t>FRA - France</t>
  </si>
  <si>
    <t>Demokratische Republik Kongo</t>
  </si>
  <si>
    <t>Democratic Republic of the Congo</t>
  </si>
  <si>
    <t>Hong Kong Dollar</t>
  </si>
  <si>
    <t>Computer programming, consultancy and related activities</t>
  </si>
  <si>
    <t>PYF</t>
  </si>
  <si>
    <t>PYF - French Polynesia (e.g. Tahiti)</t>
  </si>
  <si>
    <t>Republik Kongo</t>
  </si>
  <si>
    <t>Republic of the Congo</t>
  </si>
  <si>
    <t>\selected_additional_limit_Pandemic</t>
  </si>
  <si>
    <t>Honduran Lempira</t>
  </si>
  <si>
    <t>Information service activities</t>
  </si>
  <si>
    <t>GMB</t>
  </si>
  <si>
    <t>GMB - Gambia</t>
  </si>
  <si>
    <t>São Tomé und Príncipe</t>
  </si>
  <si>
    <t>São Tomé and Príncipe</t>
  </si>
  <si>
    <t>\selected_additional_deductible_Pandemic</t>
  </si>
  <si>
    <t>Croatian Kuna</t>
  </si>
  <si>
    <t>Financial service activities, except insurance and pension funding</t>
  </si>
  <si>
    <t>GEO</t>
  </si>
  <si>
    <t>GEO - Georgia</t>
  </si>
  <si>
    <t>Tschad</t>
  </si>
  <si>
    <t>\selected_additional_deductibleProp_Pandemic</t>
  </si>
  <si>
    <t>Haitian Gourde</t>
  </si>
  <si>
    <t>Insurance, reinsurance and pension funding, except compulsory social security</t>
  </si>
  <si>
    <t>DEU</t>
  </si>
  <si>
    <t>DEU - Germany</t>
  </si>
  <si>
    <t>Zentralafrikanische Republik</t>
  </si>
  <si>
    <t>\selected_additional_deductibleMax_Pandemic</t>
  </si>
  <si>
    <t>Hungarian Forint</t>
  </si>
  <si>
    <t>Activities auxiliary to financial services and insurance activities</t>
  </si>
  <si>
    <t>GHA</t>
  </si>
  <si>
    <t>GHA - Ghana</t>
  </si>
  <si>
    <t>Kanada</t>
  </si>
  <si>
    <t>America-North</t>
  </si>
  <si>
    <t>\selected_additional_deductibleAggregat_Pandemic</t>
  </si>
  <si>
    <t>Indonesian Rupiah</t>
  </si>
  <si>
    <t>Real estate activities</t>
  </si>
  <si>
    <t>GIB</t>
  </si>
  <si>
    <t>GIB - Gibraltar</t>
  </si>
  <si>
    <t>Israeli Shekel</t>
  </si>
  <si>
    <t>Legal and accounting activities</t>
  </si>
  <si>
    <t>GRC</t>
  </si>
  <si>
    <t>GRC - Greece</t>
  </si>
  <si>
    <t>Activities of head offices; management consultancy activities</t>
  </si>
  <si>
    <t>GRL</t>
  </si>
  <si>
    <t>GRL - Greenland</t>
  </si>
  <si>
    <t>Indian Rupee</t>
  </si>
  <si>
    <t>Architectural and engineering activities; technical testing and analysis</t>
  </si>
  <si>
    <t>GLP</t>
  </si>
  <si>
    <t>GLP - Guadeloupe</t>
  </si>
  <si>
    <t>Costa Rica</t>
  </si>
  <si>
    <t>Iraqi Dinar</t>
  </si>
  <si>
    <t>Scientific research and development</t>
  </si>
  <si>
    <t>GTM</t>
  </si>
  <si>
    <t>GTM - Guatemala</t>
  </si>
  <si>
    <t>Iranian Rial</t>
  </si>
  <si>
    <t>Advertising and market research</t>
  </si>
  <si>
    <t>GIN</t>
  </si>
  <si>
    <t>GIN - Guinea</t>
  </si>
  <si>
    <t>Icelandic Krona</t>
  </si>
  <si>
    <t>Other professional, scientific and technical activities</t>
  </si>
  <si>
    <t>GNB</t>
  </si>
  <si>
    <t>GNB - Guinea-Bissau</t>
  </si>
  <si>
    <t>Veterinary activities</t>
  </si>
  <si>
    <t>GUY</t>
  </si>
  <si>
    <t>GUY - Guyana</t>
  </si>
  <si>
    <t>\selected_additional_limit_Streik</t>
  </si>
  <si>
    <t>Jamaican Dollar</t>
  </si>
  <si>
    <t>Rental and leasing activities</t>
  </si>
  <si>
    <t>HTI</t>
  </si>
  <si>
    <t>HTI - Haiti</t>
  </si>
  <si>
    <t>\selected_additional_deductible_Streik</t>
  </si>
  <si>
    <t>Jordanian Dinar</t>
  </si>
  <si>
    <t>Employment activities</t>
  </si>
  <si>
    <t>HND</t>
  </si>
  <si>
    <t>HND - Honduras</t>
  </si>
  <si>
    <t>Antigua und Barbuda</t>
  </si>
  <si>
    <t>Antigua and Barbuda</t>
  </si>
  <si>
    <t>\selected_additional_deductibleProp_Streik</t>
  </si>
  <si>
    <t>Japanese Yen</t>
  </si>
  <si>
    <t>Travel agency, tour operator and other reservation service and related activities</t>
  </si>
  <si>
    <t>HKG</t>
  </si>
  <si>
    <t>HKG - Hong Kong</t>
  </si>
  <si>
    <t>Bahamas</t>
  </si>
  <si>
    <t>\selected_additional_deductibleMax_Streik</t>
  </si>
  <si>
    <t>Kenyan Shilling</t>
  </si>
  <si>
    <t>Security and investigation activities</t>
  </si>
  <si>
    <t>HUN</t>
  </si>
  <si>
    <t>HUN - Hungary</t>
  </si>
  <si>
    <t>Barbados</t>
  </si>
  <si>
    <t>\selected_additional_deductibleAggregat_Streik</t>
  </si>
  <si>
    <t>Kyrgyzstani Som</t>
  </si>
  <si>
    <t>Services to buildings and landscape activities</t>
  </si>
  <si>
    <t>ISL</t>
  </si>
  <si>
    <t>ISL - Iceland</t>
  </si>
  <si>
    <t>Dominica</t>
  </si>
  <si>
    <t>Office administrative, office support and other business support activities</t>
  </si>
  <si>
    <t>IND</t>
  </si>
  <si>
    <t>IND - India</t>
  </si>
  <si>
    <t>Dominikanische Republik</t>
  </si>
  <si>
    <t>South Korean Won</t>
  </si>
  <si>
    <t>Public administration and defence; compulsory social security</t>
  </si>
  <si>
    <t>IDN</t>
  </si>
  <si>
    <t>IDN - Indonesia</t>
  </si>
  <si>
    <t>Grenada</t>
  </si>
  <si>
    <t>Kuwaiti Dinar</t>
  </si>
  <si>
    <t>Education</t>
  </si>
  <si>
    <t>IRN</t>
  </si>
  <si>
    <t>IRN - Iran</t>
  </si>
  <si>
    <t>Caymanian Dollar</t>
  </si>
  <si>
    <t>Human health activities</t>
  </si>
  <si>
    <t>IRQ</t>
  </si>
  <si>
    <t>IRQ - Iraq</t>
  </si>
  <si>
    <t>Jamaika</t>
  </si>
  <si>
    <t>Kazakhstani Tenge</t>
  </si>
  <si>
    <t>Residential care activities</t>
  </si>
  <si>
    <t>IRL</t>
  </si>
  <si>
    <t>IRL - Ireland</t>
  </si>
  <si>
    <t>Kuba</t>
  </si>
  <si>
    <t>Lao Kip</t>
  </si>
  <si>
    <t>Social work activities without accommodation</t>
  </si>
  <si>
    <t>ISR</t>
  </si>
  <si>
    <t>ISR - Israel</t>
  </si>
  <si>
    <t>St. Kitts und Nevis</t>
  </si>
  <si>
    <t>Saint Kitts and Nevis</t>
  </si>
  <si>
    <t>Lebanese Pound</t>
  </si>
  <si>
    <t>Creative, arts and entertainment activities</t>
  </si>
  <si>
    <t>ITA</t>
  </si>
  <si>
    <t>ITA - Italy</t>
  </si>
  <si>
    <t>St. Lucia</t>
  </si>
  <si>
    <t>Saint Lucia</t>
  </si>
  <si>
    <t>Sri Lankan Rupee</t>
  </si>
  <si>
    <t>Libraries, archives, museums and other cultural activities</t>
  </si>
  <si>
    <t>CIV</t>
  </si>
  <si>
    <t>CIV - Ivory Coast</t>
  </si>
  <si>
    <t>St. Vincent und die Grenadinen</t>
  </si>
  <si>
    <t>Saint Vincent and the Grenadines</t>
  </si>
  <si>
    <t>Liberian Dollar</t>
  </si>
  <si>
    <t>Gambling and betting activities</t>
  </si>
  <si>
    <t>JAM</t>
  </si>
  <si>
    <t>JAM - Jamaica</t>
  </si>
  <si>
    <t>Trinidad und Tobago</t>
  </si>
  <si>
    <t>Trinidad and Tobago</t>
  </si>
  <si>
    <t>Libyan Dinar</t>
  </si>
  <si>
    <t>Sports activities and amusement and recreation activities</t>
  </si>
  <si>
    <t>JPN</t>
  </si>
  <si>
    <t>JPN - Japan</t>
  </si>
  <si>
    <t>Argentinien</t>
  </si>
  <si>
    <t>America-South</t>
  </si>
  <si>
    <t>Moroccan Dirham</t>
  </si>
  <si>
    <t>Activities of membership organisations</t>
  </si>
  <si>
    <t>JOR</t>
  </si>
  <si>
    <t>JOR - Jordan</t>
  </si>
  <si>
    <t>Aruba</t>
  </si>
  <si>
    <t>Moldovan Leu</t>
  </si>
  <si>
    <t>Repair of computers and personal and household goods</t>
  </si>
  <si>
    <t>KAR</t>
  </si>
  <si>
    <t>KAR - Karibik</t>
  </si>
  <si>
    <t>Bolivien</t>
  </si>
  <si>
    <t>Malagasy Ariary</t>
  </si>
  <si>
    <t>Other personal service activities</t>
  </si>
  <si>
    <t>KAZ</t>
  </si>
  <si>
    <t>KAZ - Kazakhstan</t>
  </si>
  <si>
    <t>Bonaire</t>
  </si>
  <si>
    <t>Macedonian Denar</t>
  </si>
  <si>
    <t>Activities of households as employers of domestic personnel</t>
  </si>
  <si>
    <t>KEN</t>
  </si>
  <si>
    <t>KEN - Kenya</t>
  </si>
  <si>
    <t>Brasilien</t>
  </si>
  <si>
    <t>Burmese Kyat</t>
  </si>
  <si>
    <t>Undifferentiated goods- and services-producing activities of private households for own use</t>
  </si>
  <si>
    <t>KOR</t>
  </si>
  <si>
    <t>KOR - Korea (Republic of)</t>
  </si>
  <si>
    <t>Mongolian Tughrik</t>
  </si>
  <si>
    <t>Activities of extraterritorial organisations and bodies</t>
  </si>
  <si>
    <t>XXK</t>
  </si>
  <si>
    <t>XXK - Kosovo</t>
  </si>
  <si>
    <t>Curaçao</t>
  </si>
  <si>
    <t>Macau Pataca</t>
  </si>
  <si>
    <t>KWT</t>
  </si>
  <si>
    <t>KWT - Kuwait</t>
  </si>
  <si>
    <t>Mauritanian Ouguiya</t>
  </si>
  <si>
    <t>KGZ</t>
  </si>
  <si>
    <t>KGZ - Kyrgyzstan</t>
  </si>
  <si>
    <t>Falklandinseln</t>
  </si>
  <si>
    <t>Falkland Islands</t>
  </si>
  <si>
    <t>Mauritian Rupee</t>
  </si>
  <si>
    <t>LAO</t>
  </si>
  <si>
    <t>LAO - Laos</t>
  </si>
  <si>
    <t>Französisch-Guayana</t>
  </si>
  <si>
    <t>French Guiana</t>
  </si>
  <si>
    <t>Malawian Kwacha</t>
  </si>
  <si>
    <t>LVA</t>
  </si>
  <si>
    <t>LVA - Latvia</t>
  </si>
  <si>
    <t>Mexican Peso</t>
  </si>
  <si>
    <t>LBN</t>
  </si>
  <si>
    <t>LBN - Lebanon</t>
  </si>
  <si>
    <t>Kolumbien</t>
  </si>
  <si>
    <t>Malaysian Ringgit</t>
  </si>
  <si>
    <t>LSO</t>
  </si>
  <si>
    <t>LSO - Lesotho</t>
  </si>
  <si>
    <t>Mozambican Metical</t>
  </si>
  <si>
    <t>LBR</t>
  </si>
  <si>
    <t>LBR - Liberia</t>
  </si>
  <si>
    <t>Nigerian Naira</t>
  </si>
  <si>
    <t>LBY</t>
  </si>
  <si>
    <t>LBY - Libya</t>
  </si>
  <si>
    <t>Südgeorgien und die Südlichen Sandwichinseln</t>
  </si>
  <si>
    <t>South Georgia and the South Sandwich Islands</t>
  </si>
  <si>
    <t>Nicaraguan Cordoba</t>
  </si>
  <si>
    <t>LIE</t>
  </si>
  <si>
    <t>LIE - Liechtenstein</t>
  </si>
  <si>
    <t>Norwegian Krone</t>
  </si>
  <si>
    <t>LTU</t>
  </si>
  <si>
    <t>LTU - Lithuania</t>
  </si>
  <si>
    <t>Nepalese Rupee</t>
  </si>
  <si>
    <t>LUX</t>
  </si>
  <si>
    <t>LUX - Luxembourg</t>
  </si>
  <si>
    <t>New Zealand Dollar</t>
  </si>
  <si>
    <t>MAC</t>
  </si>
  <si>
    <t>MAC - Macao</t>
  </si>
  <si>
    <t>Volksrepublik China</t>
  </si>
  <si>
    <t>People's Republic of China</t>
  </si>
  <si>
    <t>Asia-Asia</t>
  </si>
  <si>
    <t>Omani Rial</t>
  </si>
  <si>
    <t>MKD - Macedonia (the former Yugoslav Republic of)</t>
  </si>
  <si>
    <t>Guam</t>
  </si>
  <si>
    <t>Panamanian Balboa</t>
  </si>
  <si>
    <t>MDG</t>
  </si>
  <si>
    <t>MDG - Madagascar</t>
  </si>
  <si>
    <t>Hongkong</t>
  </si>
  <si>
    <t>Peruvian Sol</t>
  </si>
  <si>
    <t>MWI</t>
  </si>
  <si>
    <t>MWI - Malawi</t>
  </si>
  <si>
    <t>Papua New Guinean Kina</t>
  </si>
  <si>
    <t>MYS</t>
  </si>
  <si>
    <t>MYS - Malaysia</t>
  </si>
  <si>
    <t>Macau</t>
  </si>
  <si>
    <t>Philippine Peso</t>
  </si>
  <si>
    <t>MDV</t>
  </si>
  <si>
    <t>MDV - Maldives</t>
  </si>
  <si>
    <t>Mongolei</t>
  </si>
  <si>
    <t>Pakistani Rupee</t>
  </si>
  <si>
    <t>MLI</t>
  </si>
  <si>
    <t>MLI - Mali</t>
  </si>
  <si>
    <t>Nordkorea</t>
  </si>
  <si>
    <t>Polish Zloty</t>
  </si>
  <si>
    <t>MLT</t>
  </si>
  <si>
    <t>MLT - Malta</t>
  </si>
  <si>
    <t>Südkorea</t>
  </si>
  <si>
    <t>Paraguayan Guarani</t>
  </si>
  <si>
    <t>MRT</t>
  </si>
  <si>
    <t>MRT - Mauritania</t>
  </si>
  <si>
    <t>Taiwan</t>
  </si>
  <si>
    <t>Qatari Riyal</t>
  </si>
  <si>
    <t>MUS</t>
  </si>
  <si>
    <t>MUS - Mauritius</t>
  </si>
  <si>
    <t>Tadschikistan</t>
  </si>
  <si>
    <t>Romanian Leu</t>
  </si>
  <si>
    <t>MEX</t>
  </si>
  <si>
    <t>MEX - Mexico</t>
  </si>
  <si>
    <t>Kasachstan</t>
  </si>
  <si>
    <t>Serbian Dinar</t>
  </si>
  <si>
    <t>MDA</t>
  </si>
  <si>
    <t>MDA - Moldova</t>
  </si>
  <si>
    <t>Kirgisistan</t>
  </si>
  <si>
    <t>Russian Ruble</t>
  </si>
  <si>
    <t>MCO</t>
  </si>
  <si>
    <t>MCO - Monaco</t>
  </si>
  <si>
    <t>Usbekistan</t>
  </si>
  <si>
    <t>Rwandan Franc</t>
  </si>
  <si>
    <t>MNG</t>
  </si>
  <si>
    <t>MNG - Mongolia</t>
  </si>
  <si>
    <t>Saudi Arabian Riyal</t>
  </si>
  <si>
    <t>MNE</t>
  </si>
  <si>
    <t>MNE - Montenegro</t>
  </si>
  <si>
    <t>Seychellois Rupee</t>
  </si>
  <si>
    <t>Bangladesch</t>
  </si>
  <si>
    <t>Sudanese Pound</t>
  </si>
  <si>
    <t>MAR</t>
  </si>
  <si>
    <t>MAR - Morocco</t>
  </si>
  <si>
    <t>Swedish Krona</t>
  </si>
  <si>
    <t>MOZ</t>
  </si>
  <si>
    <t>MOZ - Mozambique</t>
  </si>
  <si>
    <t>Indien</t>
  </si>
  <si>
    <t>Singapore Dollar</t>
  </si>
  <si>
    <t>MMR</t>
  </si>
  <si>
    <t>MMR - Myanmar</t>
  </si>
  <si>
    <t>Malediven</t>
  </si>
  <si>
    <t>NAM</t>
  </si>
  <si>
    <t>NAM - Namibia</t>
  </si>
  <si>
    <t>NPL</t>
  </si>
  <si>
    <t>NPL - Nepal</t>
  </si>
  <si>
    <t>Somali Shilling</t>
  </si>
  <si>
    <t>NLD</t>
  </si>
  <si>
    <t>NLD - Netherlands</t>
  </si>
  <si>
    <t>NZL</t>
  </si>
  <si>
    <t>NZL - New Zealand</t>
  </si>
  <si>
    <t>Asia-NearEast</t>
  </si>
  <si>
    <t>Sao Tomean Dobra</t>
  </si>
  <si>
    <t>NIC</t>
  </si>
  <si>
    <t>NIC - Nicaragua</t>
  </si>
  <si>
    <t>Armenien</t>
  </si>
  <si>
    <t>Salvadoran Colon</t>
  </si>
  <si>
    <t>NER</t>
  </si>
  <si>
    <t>NER - Niger</t>
  </si>
  <si>
    <t>Aserbaidschan</t>
  </si>
  <si>
    <t>Syrian Pound</t>
  </si>
  <si>
    <t>NGA</t>
  </si>
  <si>
    <t>NGA - Nigeria</t>
  </si>
  <si>
    <t>Thai Baht</t>
  </si>
  <si>
    <t>NOR</t>
  </si>
  <si>
    <t>NOR - Norway</t>
  </si>
  <si>
    <t>Georgien</t>
  </si>
  <si>
    <t>Turkmenistani Manat</t>
  </si>
  <si>
    <t>OMN</t>
  </si>
  <si>
    <t>OMN - Oman</t>
  </si>
  <si>
    <t>Irak</t>
  </si>
  <si>
    <t>Tunisian Dinar</t>
  </si>
  <si>
    <t>PAK</t>
  </si>
  <si>
    <t>PAK - Pakistan</t>
  </si>
  <si>
    <t>Turkish Lira</t>
  </si>
  <si>
    <t>PAN</t>
  </si>
  <si>
    <t>PAN - Panama</t>
  </si>
  <si>
    <t>Trinidadian Dollar</t>
  </si>
  <si>
    <t>PNG</t>
  </si>
  <si>
    <t>PNG - Papua New Guinea</t>
  </si>
  <si>
    <t>Jemen</t>
  </si>
  <si>
    <t>PRY</t>
  </si>
  <si>
    <t>PRY - Paraguay</t>
  </si>
  <si>
    <t>Jordanien</t>
  </si>
  <si>
    <t>Taiwan New Dollar</t>
  </si>
  <si>
    <t>PER</t>
  </si>
  <si>
    <t>PER - Peru</t>
  </si>
  <si>
    <t>Katar</t>
  </si>
  <si>
    <t>Tanzanian Shilling</t>
  </si>
  <si>
    <t>PHL</t>
  </si>
  <si>
    <t>PHL - Philippines</t>
  </si>
  <si>
    <t>Ukrainian Hryvnia</t>
  </si>
  <si>
    <t>POL</t>
  </si>
  <si>
    <t>POL - Poland</t>
  </si>
  <si>
    <t>Libanon</t>
  </si>
  <si>
    <t>Ugandan Shilling</t>
  </si>
  <si>
    <t>PRT</t>
  </si>
  <si>
    <t>PRT - Portugal</t>
  </si>
  <si>
    <t>Uruguayan Peso</t>
  </si>
  <si>
    <t>PRI</t>
  </si>
  <si>
    <t>PRI - Puerto Rico</t>
  </si>
  <si>
    <t>Palästina</t>
  </si>
  <si>
    <t>Palestine</t>
  </si>
  <si>
    <t>Uzbekistani Som</t>
  </si>
  <si>
    <t>QAT</t>
  </si>
  <si>
    <t>QAT - Qatar</t>
  </si>
  <si>
    <t>Republik Zypern</t>
  </si>
  <si>
    <t>Republic of Cyprus</t>
  </si>
  <si>
    <t>Venezuelan Bolívar</t>
  </si>
  <si>
    <t>REU</t>
  </si>
  <si>
    <t>REU - Réunion</t>
  </si>
  <si>
    <t>Saudi-Arabien</t>
  </si>
  <si>
    <t>Vietnamese Dong</t>
  </si>
  <si>
    <t>ROU</t>
  </si>
  <si>
    <t>ROU - Romania</t>
  </si>
  <si>
    <t>Syrien</t>
  </si>
  <si>
    <t>Samoan Tala</t>
  </si>
  <si>
    <t>RUS</t>
  </si>
  <si>
    <t>RUS - Russian Federation</t>
  </si>
  <si>
    <t>Türkei (asiatischer Teil)</t>
  </si>
  <si>
    <t>Turkey (Asian part)</t>
  </si>
  <si>
    <t>Central African CFA Franc BEAC</t>
  </si>
  <si>
    <t>RWA</t>
  </si>
  <si>
    <t>RWA - Rwanda</t>
  </si>
  <si>
    <t>Vereinigte Arabische Emirate</t>
  </si>
  <si>
    <t>East Caribbean Dollar</t>
  </si>
  <si>
    <t>WSM</t>
  </si>
  <si>
    <t>WSM - Samoa</t>
  </si>
  <si>
    <t>Brunei</t>
  </si>
  <si>
    <t>Asia-SouthEast</t>
  </si>
  <si>
    <t>IMF Special Drawing Rights</t>
  </si>
  <si>
    <t>SMR</t>
  </si>
  <si>
    <t>SMR - San Marino</t>
  </si>
  <si>
    <t>Indonesien</t>
  </si>
  <si>
    <t>CFA Franc</t>
  </si>
  <si>
    <t>SAU</t>
  </si>
  <si>
    <t>SAU - Saudi Arabia</t>
  </si>
  <si>
    <t>Kambodscha</t>
  </si>
  <si>
    <t>CFP Franc</t>
  </si>
  <si>
    <t>SEN</t>
  </si>
  <si>
    <t>SEN - Senegal</t>
  </si>
  <si>
    <t>Yemeni Rial</t>
  </si>
  <si>
    <t>SRB</t>
  </si>
  <si>
    <t>SRB - Serbia</t>
  </si>
  <si>
    <t>South African Rand</t>
  </si>
  <si>
    <t>SLE</t>
  </si>
  <si>
    <t>SLE - Sierra Leone</t>
  </si>
  <si>
    <t>Zambian Kwacha</t>
  </si>
  <si>
    <t>SGP</t>
  </si>
  <si>
    <t>SGP - Singapore</t>
  </si>
  <si>
    <t>Osttimor</t>
  </si>
  <si>
    <t>East Timor</t>
  </si>
  <si>
    <t>Zimbabwean Dollar</t>
  </si>
  <si>
    <t>SVK</t>
  </si>
  <si>
    <t>SVK - Slovakia</t>
  </si>
  <si>
    <t>Philippinen</t>
  </si>
  <si>
    <t>SVN</t>
  </si>
  <si>
    <t>SVN - Slovenia</t>
  </si>
  <si>
    <t>Singapur</t>
  </si>
  <si>
    <t>SOM</t>
  </si>
  <si>
    <t>SOM - Somalia</t>
  </si>
  <si>
    <t>ZAF</t>
  </si>
  <si>
    <t>ZAF - South Africa</t>
  </si>
  <si>
    <t>Vietnam</t>
  </si>
  <si>
    <t>Island</t>
  </si>
  <si>
    <t>Europe-North</t>
  </si>
  <si>
    <t>SSD</t>
  </si>
  <si>
    <t>SSD - South Sudan</t>
  </si>
  <si>
    <t>Norwegen</t>
  </si>
  <si>
    <t>ESP</t>
  </si>
  <si>
    <t>ESP - Spain</t>
  </si>
  <si>
    <t>Schweden</t>
  </si>
  <si>
    <t>LKA</t>
  </si>
  <si>
    <t>LKA - Sri Lanka</t>
  </si>
  <si>
    <t>Finnland</t>
  </si>
  <si>
    <t>SDN</t>
  </si>
  <si>
    <t>SDN - Sudan</t>
  </si>
  <si>
    <t>Dänemark</t>
  </si>
  <si>
    <t>SUR</t>
  </si>
  <si>
    <t>SUR - Suriname</t>
  </si>
  <si>
    <t>Bulgarien</t>
  </si>
  <si>
    <t>Europe-East</t>
  </si>
  <si>
    <t>SWE</t>
  </si>
  <si>
    <t>SWE - Sweden</t>
  </si>
  <si>
    <t>Moldau</t>
  </si>
  <si>
    <t>CHE</t>
  </si>
  <si>
    <t>CHE - Switzerland</t>
  </si>
  <si>
    <t>Rumänien</t>
  </si>
  <si>
    <t>SYR</t>
  </si>
  <si>
    <t>SYR - Syrian Arab Republic</t>
  </si>
  <si>
    <t>Slowakei</t>
  </si>
  <si>
    <t>TWN</t>
  </si>
  <si>
    <t>TWN - Taiwan, Province of China</t>
  </si>
  <si>
    <t>TJK</t>
  </si>
  <si>
    <t>TJK - Tajikistan</t>
  </si>
  <si>
    <t xml:space="preserve">Polen </t>
  </si>
  <si>
    <t xml:space="preserve">Poland </t>
  </si>
  <si>
    <t>TZA</t>
  </si>
  <si>
    <t>TZA - Tanzania</t>
  </si>
  <si>
    <t>Tschechien</t>
  </si>
  <si>
    <t>Czech Republic</t>
  </si>
  <si>
    <t>THA</t>
  </si>
  <si>
    <t>THA - Thailand</t>
  </si>
  <si>
    <t>TLS</t>
  </si>
  <si>
    <t>TLS - Timor-Leste</t>
  </si>
  <si>
    <t>Lettland</t>
  </si>
  <si>
    <t>TGO</t>
  </si>
  <si>
    <t>TGO - Togo</t>
  </si>
  <si>
    <t>Litauen</t>
  </si>
  <si>
    <t>TON</t>
  </si>
  <si>
    <t>TON - Tonga</t>
  </si>
  <si>
    <t>Estland</t>
  </si>
  <si>
    <t>TUN</t>
  </si>
  <si>
    <t>TUN - Tunisia</t>
  </si>
  <si>
    <t>Albanien</t>
  </si>
  <si>
    <t>Europe-South</t>
  </si>
  <si>
    <t>TUR</t>
  </si>
  <si>
    <t>TUR - Turkey</t>
  </si>
  <si>
    <t>TKM</t>
  </si>
  <si>
    <t>TKM - Turkmenistan</t>
  </si>
  <si>
    <t>Bosnien und Herzegowina</t>
  </si>
  <si>
    <t>UGA</t>
  </si>
  <si>
    <t>UGA - Uganda</t>
  </si>
  <si>
    <t>UKR</t>
  </si>
  <si>
    <t>UKR - Ukraine</t>
  </si>
  <si>
    <t>Griechenland</t>
  </si>
  <si>
    <t>ARE</t>
  </si>
  <si>
    <t>ARE - United Arab Emirates</t>
  </si>
  <si>
    <t>Italien</t>
  </si>
  <si>
    <t>GBR</t>
  </si>
  <si>
    <t>GBR - United Kingdom of Great Britain and Northern Ireland</t>
  </si>
  <si>
    <t>Kroatien</t>
  </si>
  <si>
    <t>USA - United States of America</t>
  </si>
  <si>
    <t>URY</t>
  </si>
  <si>
    <t>URY - Uruguay</t>
  </si>
  <si>
    <t>UZB</t>
  </si>
  <si>
    <t>UZB - Uzbekistan</t>
  </si>
  <si>
    <t>Nordmazedonien</t>
  </si>
  <si>
    <t>Northern Macedonia</t>
  </si>
  <si>
    <t>VEN</t>
  </si>
  <si>
    <t>VEN - Venezuela</t>
  </si>
  <si>
    <t>VNM</t>
  </si>
  <si>
    <t>VNM - Viet Nam</t>
  </si>
  <si>
    <t>ESH</t>
  </si>
  <si>
    <t>ESH - Western Sahara</t>
  </si>
  <si>
    <t>Serbien</t>
  </si>
  <si>
    <t>YEM</t>
  </si>
  <si>
    <t>YEM - Yemen</t>
  </si>
  <si>
    <t>Slowenien</t>
  </si>
  <si>
    <t>ZMB</t>
  </si>
  <si>
    <t>ZMB - Zambia</t>
  </si>
  <si>
    <t>Spanien</t>
  </si>
  <si>
    <t>ZAN</t>
  </si>
  <si>
    <t>ZAN - Zanzibar</t>
  </si>
  <si>
    <t>Vatikanstadt</t>
  </si>
  <si>
    <t>Vatican City</t>
  </si>
  <si>
    <t>ZWE</t>
  </si>
  <si>
    <t>ZWE - Zimbabwe</t>
  </si>
  <si>
    <t>Belgien</t>
  </si>
  <si>
    <t>Europe-West</t>
  </si>
  <si>
    <t>Deutschland</t>
  </si>
  <si>
    <t>Frankreich</t>
  </si>
  <si>
    <t>Luxemburg</t>
  </si>
  <si>
    <t>Niederlande</t>
  </si>
  <si>
    <t>Österreich</t>
  </si>
  <si>
    <t>Schweiz</t>
  </si>
  <si>
    <t xml:space="preserve">UK </t>
  </si>
  <si>
    <t>Australien</t>
  </si>
  <si>
    <t>Neuseeland</t>
  </si>
  <si>
    <t>Oceanien</t>
  </si>
  <si>
    <t>Oceania</t>
  </si>
  <si>
    <t>Translated with www.DeepL.com/Translator (free version)</t>
  </si>
  <si>
    <t>Expected Loss Calculation - Marine Cargo - Pricing Calculation</t>
  </si>
  <si>
    <t>General Calculations</t>
  </si>
  <si>
    <t>Currency Conversion</t>
  </si>
  <si>
    <t>Client Set-up</t>
  </si>
  <si>
    <t>Curreny Code</t>
  </si>
  <si>
    <t>Risk Country Code</t>
  </si>
  <si>
    <t>FX rate to EUR</t>
  </si>
  <si>
    <t>Industry Code</t>
  </si>
  <si>
    <t>MIDMARKET_CLIENT</t>
  </si>
  <si>
    <t>Type of Cover</t>
  </si>
  <si>
    <t>Transports incl. Storage in the ordinary Cause of Transit</t>
  </si>
  <si>
    <t>Coverage Flag</t>
  </si>
  <si>
    <t>Exposure Information</t>
  </si>
  <si>
    <t>Cargo TO Policy Currency</t>
  </si>
  <si>
    <t>Cargo Turnover EUR</t>
  </si>
  <si>
    <t>Turnover &gt; 100m?</t>
  </si>
  <si>
    <t>Risk Modifiers</t>
  </si>
  <si>
    <t>Share</t>
  </si>
  <si>
    <t>Filled correctly?</t>
  </si>
  <si>
    <t>Geographical Scope</t>
  </si>
  <si>
    <t>National</t>
  </si>
  <si>
    <t>Theft</t>
  </si>
  <si>
    <t>Temperatured</t>
  </si>
  <si>
    <t>Expected Profit</t>
  </si>
  <si>
    <t>If MidMarket</t>
  </si>
  <si>
    <t>Type of Transportation for Retention</t>
  </si>
  <si>
    <t>Temperature sensitive</t>
  </si>
  <si>
    <t>Policy Currency</t>
  </si>
  <si>
    <t>Limited Proportional Deductible</t>
  </si>
  <si>
    <t>Prop Deductible %</t>
  </si>
  <si>
    <t>Minimum Policy Currency</t>
  </si>
  <si>
    <t>Minimum EUR</t>
  </si>
  <si>
    <t>Maximum Policy Currency</t>
  </si>
  <si>
    <t>Maximum EUR</t>
  </si>
  <si>
    <t>Deductible annual aggregate Policy</t>
  </si>
  <si>
    <t>Deductible Annual aggregate EUR</t>
  </si>
  <si>
    <t>General Limit</t>
  </si>
  <si>
    <t>General Deductible</t>
  </si>
  <si>
    <t>Sublimit Type of Transportation</t>
  </si>
  <si>
    <t>Deductible Type of Transportation</t>
  </si>
  <si>
    <t>Sublimit Transports Temperature Controlled</t>
  </si>
  <si>
    <t>Deductible Transports Temperature Controlled</t>
  </si>
  <si>
    <t>Input relevant?</t>
  </si>
  <si>
    <t xml:space="preserve">Storage in the ordinary Course of Transit </t>
  </si>
  <si>
    <t>Expected Attritional Losses</t>
  </si>
  <si>
    <t>Loss Count</t>
  </si>
  <si>
    <t>Loss Severity</t>
  </si>
  <si>
    <t>Expected Hurdle Base</t>
  </si>
  <si>
    <t>Expected Severity Base</t>
  </si>
  <si>
    <t>Expected Severity Mu</t>
  </si>
  <si>
    <t>Expected ZeroCount Base</t>
  </si>
  <si>
    <t>Expected Severity Sigma</t>
  </si>
  <si>
    <t>Expected Severity Sigma^2</t>
  </si>
  <si>
    <t>Inverse Logit</t>
  </si>
  <si>
    <t>Expected Severity 1/2 Sigma^2</t>
  </si>
  <si>
    <t>ZeroCount</t>
  </si>
  <si>
    <t>Adj. for Industry</t>
  </si>
  <si>
    <t>Adj. for IP</t>
  </si>
  <si>
    <t>Adj. for Turnover Size</t>
  </si>
  <si>
    <t>Adj. for Turnover Size (Additive with Mu)</t>
  </si>
  <si>
    <t>Expected Loss Count Modelled</t>
  </si>
  <si>
    <t>Expected Severity Modelled</t>
  </si>
  <si>
    <t>Adjustment for Risk Modifiers</t>
  </si>
  <si>
    <t>Base-Factor</t>
  </si>
  <si>
    <t>Type of Goods (Sub-)Class 1</t>
  </si>
  <si>
    <t>Adj. for Type of Goods</t>
  </si>
  <si>
    <t>Type of Goods (Sub-)Class 2</t>
  </si>
  <si>
    <t>Type of Goods (Sub-)Class 3</t>
  </si>
  <si>
    <t>Adj. for Transport Type Mid-Market</t>
  </si>
  <si>
    <t>Adj. for Transport Type (Additive with Mu)</t>
  </si>
  <si>
    <t>Adj. for Transport Type non Mid-Market</t>
  </si>
  <si>
    <t xml:space="preserve">Adj. for Type of Packaging </t>
  </si>
  <si>
    <t>Adj. for Geographical Scope Mid-Market</t>
  </si>
  <si>
    <t>Adj. for Geographical Scope (Additive with Mu)</t>
  </si>
  <si>
    <t>Adj. for Geographical Scope non Mid-Market</t>
  </si>
  <si>
    <t xml:space="preserve">Adj. for Basis of Valuation </t>
  </si>
  <si>
    <t>Adjustment for Conditions</t>
  </si>
  <si>
    <t>Adj. for Storage Day Limit</t>
  </si>
  <si>
    <t>Sigma^2 / 2</t>
  </si>
  <si>
    <t>Sigma</t>
  </si>
  <si>
    <t>Helping Variables</t>
  </si>
  <si>
    <t>d_min / E[X]</t>
  </si>
  <si>
    <t>d_min / (d_prop * E[X])</t>
  </si>
  <si>
    <t>d_max / (d_prop * E[X])</t>
  </si>
  <si>
    <t>Summand 1</t>
  </si>
  <si>
    <t>Summand 2</t>
  </si>
  <si>
    <t>Summand 3</t>
  </si>
  <si>
    <t>Adj. for Retention</t>
  </si>
  <si>
    <t>Frequency MidMarket</t>
  </si>
  <si>
    <t>Frequency Non-MidMarket</t>
  </si>
  <si>
    <t>Adjustments MidMarket</t>
  </si>
  <si>
    <t>Adjustments Non-MidMarket</t>
  </si>
  <si>
    <t>Frequency overall</t>
  </si>
  <si>
    <t>Adjustments except Retention</t>
  </si>
  <si>
    <t>Deductible to use</t>
  </si>
  <si>
    <t>Mu adjusted</t>
  </si>
  <si>
    <t>Aggregate to use</t>
  </si>
  <si>
    <t>ELP to use for AAD</t>
  </si>
  <si>
    <t>P_FAD(d)</t>
  </si>
  <si>
    <t>n'</t>
  </si>
  <si>
    <t>roundup(n')</t>
  </si>
  <si>
    <t>d'</t>
  </si>
  <si>
    <t>P(X &gt; d')</t>
  </si>
  <si>
    <t>P( N &gt; roundup(n') )</t>
  </si>
  <si>
    <t>P(X &gt; (n' + 1 - roundup(n')) * d')</t>
  </si>
  <si>
    <t>E(N || N &gt; n')</t>
  </si>
  <si>
    <t>Adjustment</t>
  </si>
  <si>
    <t>Total adjustment absolute</t>
  </si>
  <si>
    <t>Expected Loss Summary</t>
  </si>
  <si>
    <t>in EUR</t>
  </si>
  <si>
    <t>Rate</t>
  </si>
  <si>
    <t>Factor</t>
  </si>
  <si>
    <t>Expected Loss Base</t>
  </si>
  <si>
    <t xml:space="preserve">Adj. for Transport Type </t>
  </si>
  <si>
    <t xml:space="preserve">Adj. for Geographical Scope </t>
  </si>
  <si>
    <t>Adj. For Type of Goods</t>
  </si>
  <si>
    <t>Adj. for Limit</t>
  </si>
  <si>
    <t>Adj. for Annual Aggregate</t>
  </si>
  <si>
    <t>Expected Loss Mid Market</t>
  </si>
  <si>
    <t>Expected Loss Modelled</t>
  </si>
  <si>
    <t>Expected Loss non MidMarket</t>
  </si>
  <si>
    <t>Expected Loss used</t>
  </si>
  <si>
    <t>Expected Large Losses</t>
  </si>
  <si>
    <t>Expected Loss Count Base</t>
  </si>
  <si>
    <t>&lt;- not modelled yt, expert judgement?</t>
  </si>
  <si>
    <t>Frequency Mean Mid-Market</t>
  </si>
  <si>
    <t>Severity Mean Mid-Market</t>
  </si>
  <si>
    <t>Frequency Mean non Mid-Market</t>
  </si>
  <si>
    <t>Severity Mean non Mid-Market</t>
  </si>
  <si>
    <t>Frequency Mean  before TransportationType:</t>
  </si>
  <si>
    <t>Severity Mean before TransportationType</t>
  </si>
  <si>
    <t>Pareto</t>
  </si>
  <si>
    <t>Frequency Mean</t>
  </si>
  <si>
    <t>Severity Mean</t>
  </si>
  <si>
    <t>shape parameter (alpha)</t>
  </si>
  <si>
    <t>scale parameter (threshold)</t>
  </si>
  <si>
    <t>FGU-Limit</t>
  </si>
  <si>
    <t>Severity Mean incl Limit</t>
  </si>
  <si>
    <t>Severity Mean incl Limit + Retention</t>
  </si>
  <si>
    <t>Expected Loss FGU</t>
  </si>
  <si>
    <t>EL incl Limit</t>
  </si>
  <si>
    <t>EL incl Limit+Retention</t>
  </si>
  <si>
    <t>GPD</t>
  </si>
  <si>
    <t>Scale Parameter</t>
  </si>
  <si>
    <t>location parameter</t>
  </si>
  <si>
    <t>Lognormal</t>
  </si>
  <si>
    <t>Mu</t>
  </si>
  <si>
    <t>Expected Loss</t>
  </si>
  <si>
    <t>PARETO LLL (similar to BC)</t>
  </si>
  <si>
    <t>Attachment Point Used</t>
  </si>
  <si>
    <t>Attachment Point Minimum Used?</t>
  </si>
  <si>
    <t>Pareto-Alpha</t>
  </si>
  <si>
    <t>Return Period for loss &gt; Attachment Point</t>
  </si>
  <si>
    <t>Difference to Attachment Point</t>
  </si>
  <si>
    <t>Gross Limit EUR</t>
  </si>
  <si>
    <t>Expected Value for Pareto Loss in [Attachment Point;Limit]</t>
  </si>
  <si>
    <t>Expected Value incl. Difference</t>
  </si>
  <si>
    <t>Attachment Point Gross</t>
  </si>
  <si>
    <t>Expected Value for Pareto Loss incl. RP</t>
  </si>
  <si>
    <t>Expected Value for Pareto Loss incl. Difference</t>
  </si>
  <si>
    <t>Attachment Point Gross Minimum</t>
  </si>
  <si>
    <t>Factor Return Period Adjustment</t>
  </si>
  <si>
    <t>Expected Loss Pareto</t>
  </si>
  <si>
    <t>Return Period Adjusted</t>
  </si>
  <si>
    <t>Expected Combined Losses</t>
  </si>
  <si>
    <t>Combined Loss Model</t>
  </si>
  <si>
    <t>Modelling Large Loss Threshold EUR</t>
  </si>
  <si>
    <t>Expected Combined Loss Base</t>
  </si>
  <si>
    <t>Expected Combined Loss</t>
  </si>
  <si>
    <t>There are no further adjustments on combined loss level.</t>
  </si>
  <si>
    <t>Refrigerated</t>
  </si>
  <si>
    <t>War Land &amp; Sea</t>
  </si>
  <si>
    <t>War Air</t>
  </si>
  <si>
    <t>Adj. for War</t>
  </si>
  <si>
    <t>Strike Land &amp; Sea</t>
  </si>
  <si>
    <t>Strike Air</t>
  </si>
  <si>
    <t>Adj. for Strike</t>
  </si>
  <si>
    <t>Expected Loss Before UW-Adj.</t>
  </si>
  <si>
    <t>Adj. For war and strike</t>
  </si>
  <si>
    <t>Permanent Storage excluding modelled NatCat</t>
  </si>
  <si>
    <t>Not available, additional coverages are non-modelled or using simple methodology w/o exposure measure.</t>
  </si>
  <si>
    <t>No split into attritional and large losses.</t>
  </si>
  <si>
    <t>Loadings</t>
  </si>
  <si>
    <t>TO DO</t>
  </si>
  <si>
    <t>% of TP before Brokerage</t>
  </si>
  <si>
    <t>Values from ELC (dark) or Inputs (bright) by user</t>
  </si>
  <si>
    <t>decentralized expenses (operation / claims)</t>
  </si>
  <si>
    <t>Decentral Administrativ and Acquisition Costs</t>
  </si>
  <si>
    <t>centralized expenses (operation / claims)</t>
  </si>
  <si>
    <t>Decentral Loss Adjustment Expenses</t>
  </si>
  <si>
    <t>Central Administrativ and Acquisition Costs</t>
  </si>
  <si>
    <t>MinMargin:
Cost of Capital + IVC Loading + RI expenses
- Discount</t>
  </si>
  <si>
    <t>Central Loss Adjustment Expenses</t>
  </si>
  <si>
    <t>Volatiliy Loading</t>
  </si>
  <si>
    <t>Results</t>
  </si>
  <si>
    <t>Modelling Large Loss Threshold Policy Currency</t>
  </si>
  <si>
    <t>Transport</t>
  </si>
  <si>
    <t>% of Std. Dev</t>
  </si>
  <si>
    <t>Default Vola Loading</t>
  </si>
  <si>
    <t>Volatility Loading</t>
  </si>
  <si>
    <t>Risk Premium</t>
  </si>
  <si>
    <t>Expenses</t>
  </si>
  <si>
    <t xml:space="preserve">Technical Premium before Brokerage </t>
  </si>
  <si>
    <t>Commercial Adjustment absolute</t>
  </si>
  <si>
    <t>Commercial Adjustment relative</t>
  </si>
  <si>
    <t xml:space="preserve">Commercial Adjustment </t>
  </si>
  <si>
    <t>Number of countries for war clause</t>
  </si>
  <si>
    <t>Is this tool a published one?</t>
  </si>
  <si>
    <t>Geographical Scope Row</t>
  </si>
  <si>
    <t>Purchase/Shipment filled incorrect?</t>
  </si>
  <si>
    <t>GeoScope FROM filled incorrect?</t>
  </si>
  <si>
    <t>GeoScope TO filled incorrect?</t>
  </si>
  <si>
    <t>Row is filled correctly?</t>
  </si>
  <si>
    <t>Geographical Scope share filled correctly</t>
  </si>
  <si>
    <t>All country fields for war filled?</t>
  </si>
  <si>
    <t>Change of save location to Sharepoint activated?</t>
  </si>
  <si>
    <t>Type of Goods share filled correctly</t>
  </si>
  <si>
    <t>Number of countries for strike and riot clause</t>
  </si>
  <si>
    <t>Turnover relevant for Cargo missing but Turnover filled</t>
  </si>
  <si>
    <t>All country fields for strike and riot filled?</t>
  </si>
  <si>
    <t>Number of geoScope rows</t>
  </si>
  <si>
    <t>MidMarket: No</t>
  </si>
  <si>
    <t>MidMarket: Yes</t>
  </si>
  <si>
    <t>range_name</t>
  </si>
  <si>
    <t>offset_row</t>
  </si>
  <si>
    <t>offset_col</t>
  </si>
  <si>
    <t>value</t>
  </si>
  <si>
    <t>\selected_typeofgoods_Class1</t>
  </si>
  <si>
    <t>\selected_typeofgoods_ThClass1</t>
  </si>
  <si>
    <t>\selected_typeofgoods_Class2</t>
  </si>
  <si>
    <t>\selected_transportationtype_Air</t>
  </si>
  <si>
    <t>transportationtype_Error</t>
  </si>
  <si>
    <t>=IF(SUM(C24:C26)&lt;&gt;100%;"Transportation type split is currently " &amp;TEXT(SUM(C24:C26);"0%")&amp;"
It must add up to 100%. Please check!";"")</t>
  </si>
  <si>
    <t>\selected_typeofgoods_Class1_Split</t>
  </si>
  <si>
    <t>=IF( IF( Type_of_goods_filled_1; 1; 0) * \selected_typeofgoods_Class1_Split + IF( Type_of_goods_filled_2; 1; 0) * \selected_typeofgoods_Class2_Split + IF( Type_of_goods_filled_3; 1; 0) * \selected_typeofgoods_Class3_Split &lt;&gt;100%; "Type of goods split is currently " &amp;TEXT(  IF( Type_of_goods_filled_1; 1; 0) * \selected_typeofgoods_Class1_Split + IF( Type_of_goods_filled_2; 1; 0) * \selected_typeofgoods_Class2_Split + IF( Type_of_goods_filled_3; 1; 0) * \selected_typeofgoods_Class3_Split; "0%")&amp;"
It must add up to 100%. Please check!";"")</t>
  </si>
  <si>
    <t>\selected_typeofgoods_Class2_Split</t>
  </si>
  <si>
    <t>\selected_conditions_deductibleNatCat_General</t>
  </si>
  <si>
    <t>=IF(\selected_currency="";"";CONCATENATE("Max in ";INDEX(\reference_currency_code;MATCH(\selected_currency;INDEX(\reference_currency_longname;;);0);1)))</t>
  </si>
  <si>
    <t>\selected_limitdays_storage_transport</t>
  </si>
  <si>
    <t>Explanation</t>
  </si>
  <si>
    <t>Example Goods</t>
  </si>
  <si>
    <t>Beispielkunden</t>
  </si>
  <si>
    <t>Linde</t>
  </si>
  <si>
    <t>Leoni, Continental Inc., Bosch, Schaeffler</t>
  </si>
  <si>
    <t>Carl Zeiss Inc.</t>
  </si>
  <si>
    <t>Adidas, Nike</t>
  </si>
  <si>
    <t>50Hertz</t>
  </si>
  <si>
    <t>Input:</t>
  </si>
  <si>
    <t>Output:</t>
  </si>
  <si>
    <t>ID_ORIG</t>
  </si>
  <si>
    <t>ID_CUSTOMER</t>
  </si>
  <si>
    <t>ID_INSURER</t>
  </si>
  <si>
    <t>NAME</t>
  </si>
  <si>
    <t>ISO3_ORIG</t>
  </si>
  <si>
    <t>REGION_ORIG</t>
  </si>
  <si>
    <t>ZIP_ORIG</t>
  </si>
  <si>
    <t>CITY_ORIG</t>
  </si>
  <si>
    <t>STREET_ORIG</t>
  </si>
  <si>
    <t>STREET_NO_ORIG</t>
  </si>
  <si>
    <t>Y_LAT_ORIG</t>
  </si>
  <si>
    <t>X_LNG_ORIG</t>
  </si>
  <si>
    <t>COQ_ORIG</t>
  </si>
  <si>
    <t>LIMIT_LIABILITY_ORIG</t>
  </si>
  <si>
    <t>AVG_VALUE_ORIG</t>
  </si>
  <si>
    <t>CURRENCY_ORIG</t>
  </si>
  <si>
    <t>TO_EUR_FROM_ORIG</t>
  </si>
  <si>
    <t>ID_MOD</t>
  </si>
  <si>
    <t>CONTINENT_MOD</t>
  </si>
  <si>
    <t>CONTINENT_ID</t>
  </si>
  <si>
    <t>SUBCONTINENT_MOD</t>
  </si>
  <si>
    <t>SUBCONTINENT_ID</t>
  </si>
  <si>
    <t>COUNTRY_MOD</t>
  </si>
  <si>
    <t>ISO3_MOD</t>
  </si>
  <si>
    <t>COUNTRY_ID</t>
  </si>
  <si>
    <t>REGION_MOD</t>
  </si>
  <si>
    <t>REGION_ID</t>
  </si>
  <si>
    <t>SUBREGION_MOD</t>
  </si>
  <si>
    <t>SUBREGION_ID</t>
  </si>
  <si>
    <t>DISTRICT_MOD</t>
  </si>
  <si>
    <t>ZIP_MOD</t>
  </si>
  <si>
    <t>CITY_MOD</t>
  </si>
  <si>
    <t>STREET_MOD</t>
  </si>
  <si>
    <t>STREET_NO_MOD</t>
  </si>
  <si>
    <t>Y_LAT_MOD</t>
  </si>
  <si>
    <t>X_LNG_MOD</t>
  </si>
  <si>
    <t>COQ_MOD</t>
  </si>
  <si>
    <t>LIMIT_LIABILITY_MOD</t>
  </si>
  <si>
    <t>TO_EUR_FROM_MOD</t>
  </si>
  <si>
    <t>AVG_VALUE_MOD</t>
  </si>
  <si>
    <t>LIMIT_LIABILITY_EUR</t>
  </si>
  <si>
    <t>AVG_VALUE_EUR</t>
  </si>
  <si>
    <t>NATCAT_SCORE</t>
  </si>
  <si>
    <t>EARTHQUAKE</t>
  </si>
  <si>
    <t>EARTHQUAKE_SCORE</t>
  </si>
  <si>
    <t>VULCANO</t>
  </si>
  <si>
    <t>VULCANO_SCORE</t>
  </si>
  <si>
    <t>TROPICAL_CYCLONE</t>
  </si>
  <si>
    <t>TROPICAL_CYCLONE_SCORE</t>
  </si>
  <si>
    <t>EXTRA_TROPICAL_STORM</t>
  </si>
  <si>
    <t>EXTRA_TROPICAL_STORM_SCORE</t>
  </si>
  <si>
    <t>TORNADO</t>
  </si>
  <si>
    <t>TORNADO_SCORE</t>
  </si>
  <si>
    <t>LIGHTNING</t>
  </si>
  <si>
    <t>LIGHTNING_SCORE</t>
  </si>
  <si>
    <t>FLOOD</t>
  </si>
  <si>
    <t>FLOOD_SCORE</t>
  </si>
  <si>
    <t>FLOOD_DEPTH_10</t>
  </si>
  <si>
    <t>FLOOD_DEPTH_20</t>
  </si>
  <si>
    <t>FLOOD_DEPTH_50</t>
  </si>
  <si>
    <t>FLOOD_DEPTH_100</t>
  </si>
  <si>
    <t>FLOOD_DEPTH_200</t>
  </si>
  <si>
    <t>FLOOD_DEPTH_500</t>
  </si>
  <si>
    <t>FLOOD_ALTERN</t>
  </si>
  <si>
    <t>FLOOD_SOURCE</t>
  </si>
  <si>
    <t>TSUNAMI</t>
  </si>
  <si>
    <t>TSUNAMI_SCORE</t>
  </si>
  <si>
    <t>TSFLOOD</t>
  </si>
  <si>
    <t>TSFLOOD_SCORE</t>
  </si>
  <si>
    <t>THERMAL_ANOM</t>
  </si>
  <si>
    <t>THERMAL_ANOM_SCORE</t>
  </si>
  <si>
    <t>HAZARD_AREA</t>
  </si>
  <si>
    <t>NEXT_COAST_KM</t>
  </si>
  <si>
    <t>NEXT_FAULT_KM</t>
  </si>
  <si>
    <t>NEXT_NUCLEAR_PLANT_KM</t>
  </si>
  <si>
    <t>POPULATION</t>
  </si>
  <si>
    <t>Daimler AG Niederlassung Hannover - Langenhagen</t>
  </si>
  <si>
    <t>Langenhagen</t>
  </si>
  <si>
    <t>Europa</t>
  </si>
  <si>
    <t>Westeuropa</t>
  </si>
  <si>
    <t>Niedersachsen</t>
  </si>
  <si>
    <t>KATRISK</t>
  </si>
  <si>
    <t>FLC Passau</t>
  </si>
  <si>
    <t>Passau</t>
  </si>
  <si>
    <t>14c</t>
  </si>
  <si>
    <t>Bayern</t>
  </si>
  <si>
    <t>EvoBus GmbH</t>
  </si>
  <si>
    <t>Mannheim</t>
  </si>
  <si>
    <t>21-57</t>
  </si>
  <si>
    <t>Baden-Württemberg</t>
  </si>
  <si>
    <t>EvoBus GmbH - Mannheim</t>
  </si>
  <si>
    <t>EvoBus GmbH - Neu-Ulm</t>
  </si>
  <si>
    <t>Lf</t>
  </si>
  <si>
    <t>Blatt</t>
  </si>
  <si>
    <t>Zelle</t>
  </si>
  <si>
    <t>Was</t>
  </si>
  <si>
    <t>Verantwortlich</t>
  </si>
  <si>
    <t>Input</t>
  </si>
  <si>
    <t>Alle Matrix-Zellen</t>
  </si>
  <si>
    <t>Allen Zellen Einzelnamen vergeben</t>
  </si>
  <si>
    <t>ok</t>
  </si>
  <si>
    <t>C39</t>
  </si>
  <si>
    <t>muss es nicht "Base" heißen?</t>
  </si>
  <si>
    <t>Marc: ist so ok</t>
  </si>
  <si>
    <t>G6, G8, C64</t>
  </si>
  <si>
    <t>Dropdown yes/no referenziert jetzt auf die benante Liste "D_YesNo" im Blatt "References"
Präfix "D" in meiner Nomenklatur für Dropdownliste</t>
  </si>
  <si>
    <t>References</t>
  </si>
  <si>
    <t>Zeile 4</t>
  </si>
  <si>
    <t>Warum ist da eine Leerzeile zwischen Spaltenkopf und Inhalt? --&gt; wegmachen</t>
  </si>
  <si>
    <t>weg --&gt; ok</t>
  </si>
  <si>
    <t>Zeile 1</t>
  </si>
  <si>
    <t>ist die nötig? Steht ja im Reiter unten --&gt; wegmachen. Tabellen sollten in der ersten Zeile anfangen. Dann erspart man sich in der Folge die Suche nach dem Tabellenkopf und dem Beginn der Einträge</t>
  </si>
  <si>
    <t>passt so</t>
  </si>
  <si>
    <t>alles</t>
  </si>
  <si>
    <t>Was passiert mit der Datei, wenn sie gesammelt wurde?</t>
  </si>
  <si>
    <t>Dateien werden über Dateinamen und Speicherdatum identifiziert --&gt; erl</t>
  </si>
  <si>
    <t>Was passiert, wenn eine bereits gesammelte Datei vom Underwriter geändert wird?</t>
  </si>
  <si>
    <t>Datensatz wird aktualisiert, wenn Speicherdatum geändert wurde --&gt; erl</t>
  </si>
  <si>
    <t>Was passiert, wenn der Underwriter eine weitere Option anbieten will?</t>
  </si>
  <si>
    <t>Button in der CaTa-Datei, der in der Original-Datei einen Vermerk macht und eine Kopie als neue Datei abspeichert. --&gt; erl</t>
  </si>
  <si>
    <t>Was passiert, wenn eine Datei gelöscht wird (Testfall oder so)?</t>
  </si>
  <si>
    <t>Makro prüft Liste, ob Dateien noch da sind und kennzeichnet sie in der Status-Spalte --&gt; erl</t>
  </si>
  <si>
    <t>Besteht Interesse, Infos aus der Sammeldatei in die Dispo-Analyse zu übertragen.</t>
  </si>
  <si>
    <t>bleibt nur in Sammeldatei</t>
  </si>
  <si>
    <t>Eingabefelder</t>
  </si>
  <si>
    <t>Mousover-Infos zur Eingabe</t>
  </si>
  <si>
    <t>ggf. (einige sind wahrscheinlich durch Copy/Paste-Fehler falsch oder veraltet</t>
  </si>
  <si>
    <t>Währung</t>
  </si>
  <si>
    <t>Werden Euroäquivalent-Felder benötigt?</t>
  </si>
  <si>
    <t>evtl. später in der Sammel-Liste</t>
  </si>
  <si>
    <t>Spalte W</t>
  </si>
  <si>
    <t>In der ursprünglichen Liste Type of Goods war eine Spalte für Temperaturempfindlich. Soll die in der neuen Liste und Anzeige im Input-Blatt auch vorhanden sein??</t>
  </si>
  <si>
    <t>wird nicht gebraucht</t>
  </si>
  <si>
    <t>Währungen</t>
  </si>
  <si>
    <t>Soll die Währungsliste so umgestellt werden, dasss oben die 5 wichtigesten Währungen durch einen Strich vom alphabetischen Rest getrennt werden?</t>
  </si>
  <si>
    <t>erl</t>
  </si>
  <si>
    <t>Dateiname</t>
  </si>
  <si>
    <t>Nomenklatur: 
JJJJ-MM-TT_hh-mm_Partner (25 Zeichen)_Option-1.xlsm</t>
  </si>
  <si>
    <t>wird automatisch erzeugt. Speicherort muss ausgewählt werden. --&gt; erl</t>
  </si>
  <si>
    <t>policyholder</t>
  </si>
  <si>
    <t>umbenennen in partner</t>
  </si>
  <si>
    <t>Type of Goods 2</t>
  </si>
  <si>
    <t>es fehlen anscheinend noch einige Unterpunkte</t>
  </si>
  <si>
    <t>erledigt und angepasst (Stephan)</t>
  </si>
  <si>
    <t>alle</t>
  </si>
  <si>
    <t>Soll der Schreibschutz bei abgelehnten und angenommenen Dateien mit oder ohne Passwort gesetzt werden?</t>
  </si>
  <si>
    <t>ohne</t>
  </si>
  <si>
    <r>
      <t xml:space="preserve">Das Zell-Analyse-Makro zeigt (gepunktet), dass nach der Änderung/Erweiterung der Eingabefelder in </t>
    </r>
    <r>
      <rPr>
        <b/>
        <sz val="11"/>
        <rFont val="Calibri"/>
        <family val="2"/>
        <scheme val="minor"/>
      </rPr>
      <t>Input</t>
    </r>
    <r>
      <rPr>
        <sz val="11"/>
        <rFont val="Calibri"/>
        <family val="2"/>
        <scheme val="minor"/>
      </rPr>
      <t xml:space="preserve"> die Formel-Verknüpfung in </t>
    </r>
    <r>
      <rPr>
        <b/>
        <sz val="11"/>
        <rFont val="Calibri"/>
        <family val="2"/>
        <scheme val="minor"/>
      </rPr>
      <t>Output</t>
    </r>
    <r>
      <rPr>
        <sz val="11"/>
        <rFont val="Calibri"/>
        <family val="2"/>
        <scheme val="minor"/>
      </rPr>
      <t xml:space="preserve"> und </t>
    </r>
    <r>
      <rPr>
        <b/>
        <sz val="11"/>
        <rFont val="Calibri"/>
        <family val="2"/>
        <scheme val="minor"/>
      </rPr>
      <t>Algorithm</t>
    </r>
    <r>
      <rPr>
        <sz val="11"/>
        <rFont val="Calibri"/>
        <family val="2"/>
        <scheme val="minor"/>
      </rPr>
      <t xml:space="preserve"> nachgezogen werden muss</t>
    </r>
  </si>
  <si>
    <t>C4</t>
  </si>
  <si>
    <t>Referiert auf eine Liste NACE-Codes. Feldbezeichner heißt NAICS-Code</t>
  </si>
  <si>
    <t>Referenzliste muss NAICS heißen/sein</t>
  </si>
  <si>
    <t>Ansprechpartner: Sylvia Heitmann oder Stephan Germer für Info, welche Liste zu verwenden ist</t>
  </si>
  <si>
    <t>M4</t>
  </si>
  <si>
    <t>Sollte nicht auch ein Status "offered" eingeführt werden?
Der kann dann steuern, dass man hier nichts mehr ändern kann, sondern eine neue Option erstellen muss.</t>
  </si>
  <si>
    <t>Stephan: Find ich gut --&gt; erl</t>
  </si>
  <si>
    <t>aus der Mail vom 09.09.2021</t>
  </si>
  <si>
    <t xml:space="preserve">Erzeugung einer eindeutigen „Quotierungs-ID“, die bei erfolgreichem Abschluss im Bestandssystem erfasst werden kann, damit das CaTa-Tool und der Vertrag verknüpft werden können. </t>
  </si>
  <si>
    <t>machbar. Idee. Wie Dateiname und Übernahme im Sammeltool
Check mit APTP-Vorgaben z.B. in Geras (Ansprechpartner Marc Wilsch für Transport) --&gt; erl</t>
  </si>
  <si>
    <t>Metainformationen zu Versions- und ggf. Parameterversionen anzeigen.</t>
  </si>
  <si>
    <t>Version reicht aus --&gt; erl</t>
  </si>
  <si>
    <t>„Umkehrfunktion“ des Einsammelns, also die mehr oder weniger dispositiv gespeicherten Daten in das CaTa-Tool einspielen – wichtig, wenn man bei neuen Parametern den Effekt bei alten Quotierungen sehen möchte.</t>
  </si>
  <si>
    <t>Vorhanden durch "Öffnen-Funktion aus Sammeltool</t>
  </si>
  <si>
    <t>Außerdem kommen sicherlich noch einige Anfragen zur Usability von den Nutzern, also sowas wie bedingte DropDowns wie schon besprochen.</t>
  </si>
  <si>
    <t>Tool ist flexibel und modular aufgebaut. Änderungen und Erweiterungen sind jederzeit möglich.</t>
  </si>
  <si>
    <t>User speichern, Letzten User übertragen</t>
  </si>
  <si>
    <t>könnte interessant sein, aber nicht einbauen, da Datenschutz kritisch</t>
  </si>
  <si>
    <t>Zelle / Bereich</t>
  </si>
  <si>
    <t>Variable</t>
  </si>
  <si>
    <t>Wert</t>
  </si>
  <si>
    <t>allgemein</t>
  </si>
  <si>
    <t>Farbe</t>
  </si>
  <si>
    <t>Fomel</t>
  </si>
  <si>
    <t>Grundordner Sharepoint</t>
  </si>
  <si>
    <t>https://talanx.sharepoint.com/sites/GlobalActuarialPricing/share_marine/CaTaUsecases</t>
  </si>
  <si>
    <t>Formel gibt eine Fehlermeldung aus</t>
  </si>
  <si>
    <t>\\talanx.sharepoint.com@SSL\DavWWWRoot\sites\GlobalActuarialPricing\share_marine\CataUsecases</t>
  </si>
  <si>
    <t>Feldbezeichner</t>
  </si>
  <si>
    <t>Eingabefeld (alle Arten von Eingabefeld sind fett gerahmt)</t>
  </si>
  <si>
    <t>Alter Dateiname</t>
  </si>
  <si>
    <t>Eingabefeld mit Datenprüfung</t>
  </si>
  <si>
    <t>Neuer Dateiname</t>
  </si>
  <si>
    <t>Neue Versionssnummer</t>
  </si>
  <si>
    <t>V46</t>
  </si>
  <si>
    <t>Eingabefeld mit Dropdown</t>
  </si>
  <si>
    <t>Formel, die überschrieben werden darf</t>
  </si>
  <si>
    <t>Grundordner Teams</t>
  </si>
  <si>
    <t>https://talanx.sharepoint.com/sites/CaTa-Dataforriskassessment/Freigegebene Dokumente/General/Pricing Tools/</t>
  </si>
  <si>
    <t>manuell überschriebene Formel</t>
  </si>
  <si>
    <t>vergessenes Pflichtfeld (Eingabe)</t>
  </si>
  <si>
    <t>vergessenes Pflichtfeld (Dropdown)</t>
  </si>
  <si>
    <t>Fehlerhat ausgefüllte Zellen und diesbezügliche Warnhinweise</t>
  </si>
  <si>
    <t>Feld wird von Makro befüllt</t>
  </si>
  <si>
    <t>Bereichstitel</t>
  </si>
  <si>
    <t>Unterbereichstitel</t>
  </si>
  <si>
    <t>Unterunterbereichstitel</t>
  </si>
  <si>
    <t>Letzte Zeile einer Liste. Diese Liste darf dann nur oberhalb der braunen Zeile verlängert werden, damit die Matrix für eine Formel nicht zerstört wird.</t>
  </si>
  <si>
    <t>im Bereich der Argos-Liste Hinweis auf eine abweichende Währung.</t>
  </si>
  <si>
    <t>A80 : A89</t>
  </si>
  <si>
    <t>Hier wird ausgewählt, ob die entsprechende Zeile verwendet werden soll.
Standardmäßig werden die Werte für diese Zeilen per Formel aus der Zeile 35 geholt.
Diese Formeln können aber überschrieben werden.
Wenn man eine manuell befüllte Zeile wieder auf "No" setzt, werden die manuell eingefügten Werte gelöscht.</t>
  </si>
  <si>
    <t>A85</t>
  </si>
  <si>
    <t>Wenn diese Zeile auf "Yes" gestellt wird, wird darunter ein Dropdown für eine Länderangabe eingeblendet.</t>
  </si>
  <si>
    <t>A89</t>
  </si>
  <si>
    <t>Mit diesem Button können weitere Länderzeilen unterhalb der Kriegsklausel und der Streikklausel eingefügt werden.</t>
  </si>
  <si>
    <t>C49 : I57</t>
  </si>
  <si>
    <t>Zeilen, die auf "No" stehen, sind grau hinterlegt</t>
  </si>
  <si>
    <t>Save option</t>
  </si>
  <si>
    <r>
      <t xml:space="preserve">Speicher-Dialog wird mit einem </t>
    </r>
    <r>
      <rPr>
        <b/>
        <sz val="9"/>
        <rFont val="Calibri"/>
        <family val="2"/>
        <scheme val="minor"/>
      </rPr>
      <t>automatisch erzeugten Dateinamen</t>
    </r>
    <r>
      <rPr>
        <sz val="9"/>
        <rFont val="Calibri"/>
        <family val="2"/>
        <scheme val="minor"/>
      </rPr>
      <t xml:space="preserve"> aufgerufen. Bitte Speicherort auswählen. </t>
    </r>
    <r>
      <rPr>
        <b/>
        <sz val="9"/>
        <color rgb="FFFF0000"/>
        <rFont val="Calibri"/>
        <family val="2"/>
        <scheme val="minor"/>
      </rPr>
      <t xml:space="preserve">Bitte Dateinamen nicht ändern! </t>
    </r>
  </si>
  <si>
    <t>Another option</t>
  </si>
  <si>
    <r>
      <t xml:space="preserve">Wenn der Kunde eine weitere Option wünscht, erzeugt man mit diesem Button am gleichen Speicherort eine Kopie dieser Datei mit Option 2 und ansonsten identischen Einträgen, die man </t>
    </r>
    <r>
      <rPr>
        <u/>
        <sz val="9"/>
        <color rgb="FFFF0000"/>
        <rFont val="Calibri"/>
        <family val="2"/>
        <scheme val="minor"/>
      </rPr>
      <t>anschließend</t>
    </r>
    <r>
      <rPr>
        <sz val="9"/>
        <rFont val="Calibri"/>
        <family val="2"/>
        <scheme val="minor"/>
      </rPr>
      <t xml:space="preserve"> ändern kann. Abschließend muss nor noch normal gespeichert werden.</t>
    </r>
  </si>
  <si>
    <t>ARGOS import</t>
  </si>
  <si>
    <r>
      <t xml:space="preserve">Button importiert eine frei wählbare ARGOS-Liste und verlängert ggf. den Bereich der Argos-Liste im Blatt </t>
    </r>
    <r>
      <rPr>
        <sz val="9"/>
        <rFont val="Britannic Bold"/>
        <family val="2"/>
      </rPr>
      <t>Input</t>
    </r>
  </si>
  <si>
    <t>Listen, die in Dropdown-Zellen hinterlegt sind oder für SVERWEIS-Berechnungen verwendet werden.</t>
  </si>
  <si>
    <t>Zellen, die in der Originalversion (vor dem Analyse-Makro) rot eingefärbt waren (warum auch immer), nach dem Analyse-Makro aber teilweise andere Färbungen bekommen haben.</t>
  </si>
  <si>
    <t>Parameter</t>
  </si>
  <si>
    <t>zweifelhafte Folgebeziehung</t>
  </si>
  <si>
    <t>Sparte:</t>
  </si>
  <si>
    <t>CaTa</t>
  </si>
  <si>
    <t>General Information</t>
  </si>
  <si>
    <t>Colour coding</t>
  </si>
  <si>
    <t>Mandatory Input</t>
  </si>
  <si>
    <t>xxx</t>
  </si>
  <si>
    <t>Output / Calculated field</t>
  </si>
  <si>
    <t>Field used in algorithm</t>
  </si>
  <si>
    <t>Notations</t>
  </si>
  <si>
    <t>&gt; References: lists and lookup values that are used in the front-end; named ranges start with "\reference"</t>
  </si>
  <si>
    <t>&gt; Parameters: constant values, lists and lookup values that are used in the pricing calculations; named ranges start with "\parameter"</t>
  </si>
  <si>
    <t>&gt; Algorithm: This sheet contains the actual pricing calculations</t>
  </si>
  <si>
    <t>Questions</t>
  </si>
  <si>
    <t>Industry Classifications</t>
  </si>
  <si>
    <t>&gt; Is it appropriate to use NACE classifications globally, e.g. US market or Asia</t>
  </si>
  <si>
    <t>&gt; What level of granularity shall we use?</t>
  </si>
  <si>
    <t>&gt; Compatibility with "old" one.partner/one.policy-industry information?</t>
  </si>
  <si>
    <t>Transport Segments</t>
  </si>
  <si>
    <t>&gt; Should the pricing tool allow the pricing of more than one transport segments in case the client's transport activities are diverse?</t>
  </si>
  <si>
    <t>Insured Object vs Risk Modifier</t>
  </si>
  <si>
    <t>&gt; shall we set up some of the risk modifiers as insured objects? E.g. Land/Sea/air Transports - those have their own deductibles and limits</t>
  </si>
  <si>
    <t>Outputs</t>
  </si>
  <si>
    <t>&gt; What interim results do we want to display?</t>
  </si>
  <si>
    <t>Coding of Input</t>
  </si>
  <si>
    <t>&gt; Do we want to convert some of the inputs into codes? (e.g. Packaging Type, basis of Valuation)</t>
  </si>
  <si>
    <t>To Do</t>
  </si>
  <si>
    <t>Calculation for other coverages</t>
  </si>
  <si>
    <t>&gt; Permanent Storage to be aligned with Property Pricing Module</t>
  </si>
  <si>
    <t>&gt; Additional coverage non-modelled / EL input by UW</t>
  </si>
  <si>
    <t>&gt; NatCat implemented as external models</t>
  </si>
  <si>
    <t>Front-end</t>
  </si>
  <si>
    <t>&gt; optimization of data entry, e.g. Industry or Geographical spread, or tick boxes instead of Y/N selections</t>
  </si>
  <si>
    <t>&gt; alignment of all reference lists with UW and surrounding systems</t>
  </si>
  <si>
    <t>&gt; Default values</t>
  </si>
  <si>
    <t>&gt; show &amp; hide functionality</t>
  </si>
  <si>
    <t>Input validations</t>
  </si>
  <si>
    <t>&gt; in the front-end</t>
  </si>
  <si>
    <t>&gt; during the calculation</t>
  </si>
  <si>
    <t>Data Management</t>
  </si>
  <si>
    <t>&gt; Align Pricing Data Model with overall Company Data Model</t>
  </si>
  <si>
    <t xml:space="preserve">&gt; Modell Version  </t>
  </si>
  <si>
    <t xml:space="preserve">&gt; Pricing ID  </t>
  </si>
  <si>
    <t xml:space="preserve">&gt; UWWB ID  </t>
  </si>
  <si>
    <t xml:space="preserve">&gt; New/Renewal  </t>
  </si>
  <si>
    <t>&gt; Last modified when and by whom?</t>
  </si>
  <si>
    <t>&gt; etc</t>
  </si>
  <si>
    <t>Oberkategorie</t>
  </si>
  <si>
    <t>Unterkategorie</t>
  </si>
  <si>
    <t>Erklärung</t>
  </si>
  <si>
    <t>Beispielgüter</t>
  </si>
  <si>
    <t>Waren für Endkunden, welche sich im allgemeinen Haushalt befinden.</t>
  </si>
  <si>
    <t>Schränke, Tische, Stühle, Besteck, Porzellan, Gläser, Allgemeine Haushaltsgüter, Kinderwagen, Marquise</t>
  </si>
  <si>
    <t>Goods for end customers, which are in the general household.</t>
  </si>
  <si>
    <t>Cupboards, tables, chairs, cutlery, porcelain, glasses, general household goods, baby carriages, marquise</t>
  </si>
  <si>
    <t>Verderbliche Produkte für Endverbraucher</t>
  </si>
  <si>
    <t>Nicht der Milchtanker, aber die Milchpackungen.
Milch, Butter, Blumen, Fleisch (abgepackt), Eier.</t>
  </si>
  <si>
    <t>Perishable products for end consumers</t>
  </si>
  <si>
    <t>Not the milk tanker, but the milk packs.
Milk, butter, flowers, meat (packaged), eggs.</t>
  </si>
  <si>
    <t>Errichtung von Produktions- oder Förderstätten.
Als Abgrenzung zum Maschinenbau handelt es sich hier um unbewegliche Güter, die ihre Lebenszeit an einem fest installierten Ort verbringen.</t>
  </si>
  <si>
    <t>Turbinenwerk, Wasserkraftwerk</t>
  </si>
  <si>
    <t>Construction of production or extraction sites.
As a distinction from mechanical engineering, these are immovable goods that spend their lifetime in a permanently installed location.</t>
  </si>
  <si>
    <t>Turbine plant, hydroelectric power station</t>
  </si>
  <si>
    <t>Hybridfahrzeuge zählen hierbei zu den Verbrennern.</t>
  </si>
  <si>
    <t>Hybrid vehicles are classified as internal combustion engines.</t>
  </si>
  <si>
    <t>Fahrzeuge älter als 30 Jahre.</t>
  </si>
  <si>
    <t>Vehicles older than 30 years.</t>
  </si>
  <si>
    <t>Einzelne Bauteile oder ganze Baugruppen für Automobilhersteller.</t>
  </si>
  <si>
    <t>Lenkrad, Reifen, Sitze</t>
  </si>
  <si>
    <t>Individual components or entire assemblies for automotive manufacturers.</t>
  </si>
  <si>
    <t>Steering wheel, tires, seats</t>
  </si>
  <si>
    <t>Abstandssensoren, Radio</t>
  </si>
  <si>
    <t>Distance sensors, radio</t>
  </si>
  <si>
    <t>Baumaterialen hauptsächlich im Bereich Holz und Pflanzenfasern. Werden geerntet, wachsen nach.</t>
  </si>
  <si>
    <t>Holz, Naturfasern, Leinen, Flachs</t>
  </si>
  <si>
    <t>Building materials mainly in the field of wood and plant fibers. Are harvested, grow back.</t>
  </si>
  <si>
    <t>Wood, natural fibers, linen, flax</t>
  </si>
  <si>
    <t>Werden gefördert. Unterliegen keiner großen Aufbereitung vor dem Einsatz im Bauprojekt.</t>
  </si>
  <si>
    <t>Kalk, Natursteine, Marmor, Sandstein, Lehm, Schiefer</t>
  </si>
  <si>
    <t>Are mined. Are not subject to much preparation before use in the construction project.</t>
  </si>
  <si>
    <t>Lime, natural stones, marble, sandstone, clay, slate</t>
  </si>
  <si>
    <t>Güter, die größerer Aufbereitung vor dem Einsatz im Bauprojekt unterliegen.</t>
  </si>
  <si>
    <t>Ziegelstein, Fliesen, Dachziegel</t>
  </si>
  <si>
    <t>Goods subject to greater preparation before use in the construction project.</t>
  </si>
  <si>
    <t>Brick, tile, roof tile</t>
  </si>
  <si>
    <t>Güter im oder am Bau, die größtenteils aus Glas bestehen.</t>
  </si>
  <si>
    <t>Fassadenspiegel, Fensterscheiben, Glastür</t>
  </si>
  <si>
    <t>Goods in or on construction that are largely made of glass.</t>
  </si>
  <si>
    <t>Facade mirror, window panes, glass door</t>
  </si>
  <si>
    <t>Ware, die unverpackt als Schüttgut vorliegt.</t>
  </si>
  <si>
    <t>Kies, Kohle, Stahl- / Eisen- / Erze, Getreide, Kaffee, Zucker, Bananen</t>
  </si>
  <si>
    <t>Goods that are unpackaged in bulk.</t>
  </si>
  <si>
    <t>Gravel, coal, steel- / iron- / ores, grain, coffee, sugar, bananas</t>
  </si>
  <si>
    <t>Meist unverpackt. Ware, die einzeln am Stück transportiert wird.</t>
  </si>
  <si>
    <t>Stahlträger, Stahlbleche, Baumstämme</t>
  </si>
  <si>
    <t>Mostly unpacked. Goods transported individually in one piece.</t>
  </si>
  <si>
    <t>Steel beams, steel sheets, tree trunks</t>
  </si>
  <si>
    <t>Phosphor, Kunststoffe, Granulat, Chemikalien in Pulverform.</t>
  </si>
  <si>
    <t>Phosphorus, synthetic materials, granules, chemicals in powder form.</t>
  </si>
  <si>
    <t>Lebensmittelproduzenten und deren Rohwaren (nicht verkaufsfertig).</t>
  </si>
  <si>
    <t>Tanker mit Milch, Wein</t>
  </si>
  <si>
    <t>Food producers and their raw materials (not ready for sale).</t>
  </si>
  <si>
    <t>Tanker with milk, wine</t>
  </si>
  <si>
    <t>Tanker mit Sonnenblumenöl o.Ä.</t>
  </si>
  <si>
    <t>Tanker with sunflower oil or similar.</t>
  </si>
  <si>
    <t>Allgemeine flüssige Waren auf Erdölbasis (nicht verkaufsfertig), deren Einsatzzweck die Verbrennung ist.</t>
  </si>
  <si>
    <t>Erdöl, Benzin, Diesel, Petroleum, Heizöl</t>
  </si>
  <si>
    <t>General petroleum-based liquid goods (not ready for sale), the purpose of which is combustion.</t>
  </si>
  <si>
    <t>Petroleum, gasoline, diesel, kerosene, fuel oil</t>
  </si>
  <si>
    <t>Allgemeine flüssige Waren zur Weiterverarbeitung oder zum Verbrauch</t>
  </si>
  <si>
    <t>Frostschutzmittel</t>
  </si>
  <si>
    <t>General liquid goods for further processing or use</t>
  </si>
  <si>
    <t>Frost protection fluid</t>
  </si>
  <si>
    <t>Gase, die von der Größenordnung auch für Endverbraucher geeignet wären.</t>
  </si>
  <si>
    <t>Gasflaschen, CO2-Zylinder für Sprudelwasser, Heliumflaschen.</t>
  </si>
  <si>
    <t>Gas that would also be suitable for end consumers in terms of size.</t>
  </si>
  <si>
    <t>Gas cylinders, CO2 cylinders for sparkling water, helium cylinders.</t>
  </si>
  <si>
    <t>Gase, die an Firmen geliefert werden.</t>
  </si>
  <si>
    <t>Erdgas Tanker</t>
  </si>
  <si>
    <t>Gases delivered to companies.</t>
  </si>
  <si>
    <t>Natural gas tanker</t>
  </si>
  <si>
    <t>Medikamente, Aspirin, Insulin, Krebsmedikamente</t>
  </si>
  <si>
    <t>Medication, aspirin, insulin, cancer medication</t>
  </si>
  <si>
    <t>Geräte, die medizinisch für die Diagnostik geeignet sind.</t>
  </si>
  <si>
    <t>Röntgengerät, MRT, CT, Ultraschallgerät</t>
  </si>
  <si>
    <t>Devices that are medically suitable for diagnostics.</t>
  </si>
  <si>
    <t>X-ray machine, MRI, CT, ultrasound machine</t>
  </si>
  <si>
    <t>Verbrauchsgüter der Körperpflege und Körperverschönerung.</t>
  </si>
  <si>
    <t>Lippenstift, Nagellack, Mascara, Duschgel</t>
  </si>
  <si>
    <t>Consumer goods of personal care and body beautification.</t>
  </si>
  <si>
    <t>Lipstick, nail polish, mascara, shower gel</t>
  </si>
  <si>
    <t>Produkte, die die Gesundheit fördern und der Lebensfähigkeit dienlich sind.</t>
  </si>
  <si>
    <t>Krücken, Verband, Pflaster, Herzschrittmacher, Brille</t>
  </si>
  <si>
    <t>Products that promote health and are conducive to viability.</t>
  </si>
  <si>
    <t>Crutches, bandage, plaster, pacemaker, glasses</t>
  </si>
  <si>
    <t>Vorwiegend Nahrungsergänzungsmittel; Nahrungsmittel zur Aufrechterhaltung und Förderung der Gesundheit.</t>
  </si>
  <si>
    <t>Vitamintabletten, Aromatropfen, Ätherische Öle</t>
  </si>
  <si>
    <t>Mainly dietary supplements; foods to maintain and promote health.</t>
  </si>
  <si>
    <t>Vitamin tablets, aroma drops, essential oils</t>
  </si>
  <si>
    <t>Produkte, die der Unterhaltung dienen.</t>
  </si>
  <si>
    <t>Radio, Fernseher, Computer</t>
  </si>
  <si>
    <t>Products that serve the purpose of entertainment.</t>
  </si>
  <si>
    <t>Radio, television, computer</t>
  </si>
  <si>
    <t>Produkte als Haushaltgeräte</t>
  </si>
  <si>
    <t>Kühlschrank, Waschmaschine, Trockner</t>
  </si>
  <si>
    <t>Products as household appliances</t>
  </si>
  <si>
    <t>Refrigerator, washing machine, dryer</t>
  </si>
  <si>
    <t>Technische Produkte mit wenig bis keinen beweglichen Teilen, daher tendenziell sehr bruchanfällig. Anwendungsbereich Energieerzeugnung und -steuerung.</t>
  </si>
  <si>
    <t>Schaltschränke, Fotovoltaik</t>
  </si>
  <si>
    <t>Technical products with little to no moving parts, therefore tend to be very susceptible to breakage. Area of application Power generation and control.</t>
  </si>
  <si>
    <t>Switchboards, photovoltaics</t>
  </si>
  <si>
    <t>Technische Produkte mit vielen beweglichen Teilen, tendenziell stoßresistent.</t>
  </si>
  <si>
    <t>Dieselgenerator, Elektromotor</t>
  </si>
  <si>
    <t>Technical products with many moving parts, tend to be shock resistant.</t>
  </si>
  <si>
    <t>Diesel generator, electric motor</t>
  </si>
  <si>
    <t>Produkte aus Linsen zur optischen Vergrößerung</t>
  </si>
  <si>
    <t>Mikroskope, Ferngläser, Teleskop, Kameraobjektive</t>
  </si>
  <si>
    <t>Optical magnification lens products</t>
  </si>
  <si>
    <t>Microscopes, binoculars, telescope, camera lenses</t>
  </si>
  <si>
    <t>Messysteme mit beweglichen Teilen, deren Messung mechanisch passiert (unabhängig von der Ergebnisanzeige.)</t>
  </si>
  <si>
    <t>Blutdruckmessgerät, (Wasser-)Waage, Kompass, Hygrometer, Thermometer, Zollstock</t>
  </si>
  <si>
    <t>Measuring systems with moving parts whose measurement happens mechanically (independent of the result display.)</t>
  </si>
  <si>
    <t>Blood pressure monitor, (water) scale, compass, hygrometer, thermometer, folding rule</t>
  </si>
  <si>
    <t>Messysteme ohne bewegliche Teile, deren Messung rein elektronisch passiert.</t>
  </si>
  <si>
    <t>GPS-Technik, Satelliten, Lasermessgeräte, Spannungsmessgeräte</t>
  </si>
  <si>
    <t>Measuring systems without moving parts, whose measurement happens purely electronically.</t>
  </si>
  <si>
    <t>GPS technology, satellites, laser measuring instruments, voltage measuring instruments</t>
  </si>
  <si>
    <t>Im Gegensatz zum Anlagenbau handelt es sich hierbei um beweglichere Güter.</t>
  </si>
  <si>
    <t>Arbeitsmaschinen, Kraftmaschinen, Förderanlagen, Nähmaschine, Gasturbine, MAN Motoren</t>
  </si>
  <si>
    <t>In contrast to plant engineering, this involves more movable goods.</t>
  </si>
  <si>
    <t>Working machines, power machines, conveyors, sewing machine, gas turbine, MAN engines</t>
  </si>
  <si>
    <t>Fahrzeuge mit militärischem Einsatzzweck</t>
  </si>
  <si>
    <t>Panzer, U-Boot, Hubschrauber, Schiffe</t>
  </si>
  <si>
    <t>Vehicles with military purpose</t>
  </si>
  <si>
    <t>Tank, submarine, helicopter, ships</t>
  </si>
  <si>
    <t>Gebrauchsgüter mit primär militärischem Einsatzzweck-</t>
  </si>
  <si>
    <t>Helme, Westen, Waffen (ohne Munition), Stiefel, Funkgeräte, Radar</t>
  </si>
  <si>
    <t>Consumer goods with a primarily military purpose</t>
  </si>
  <si>
    <t>Helmets, vests, weapons (without ammunition), boots, radios, radar</t>
  </si>
  <si>
    <t>Verbrauchsgüter mit explosiver oder kinetischer Zerstörungskraft</t>
  </si>
  <si>
    <t>Granaten, Raketen, Patronen, Minen, Torpedos</t>
  </si>
  <si>
    <t>Consumables with explosive or kinetic destructive force</t>
  </si>
  <si>
    <t>Grenades, rockets, shells, mines, torpedoes</t>
  </si>
  <si>
    <t>Produkte, die aus einer Druckerei kommen.</t>
  </si>
  <si>
    <t>Stapel Papiere, Bücher, Zeitungen</t>
  </si>
  <si>
    <t>Products that come from a printing plant.</t>
  </si>
  <si>
    <t>Stacks of papers, books, newspapers</t>
  </si>
  <si>
    <t>Schiff, Flugzeug, Straßenbahn, Lockomotive</t>
  </si>
  <si>
    <t>Ship, airplane, streetcar, lockomotive</t>
  </si>
  <si>
    <t>Güter, die für sich allein noch kein technisches Gerät darstellen, sondern erst nach Zusammenbau.</t>
  </si>
  <si>
    <t>Prozessoren, Festplatten, Schaltkreise zum Einbau</t>
  </si>
  <si>
    <t>Goods that by themselves do not constitute a technical device, but only after assembly.</t>
  </si>
  <si>
    <t>Processors, hard disks, circuits for installation</t>
  </si>
  <si>
    <t>Weitgehend fertig verarbeitete Güter; kurz vor oder bereits im Endverkauf</t>
  </si>
  <si>
    <t>Jacken, T-Shirts</t>
  </si>
  <si>
    <t>Largely finished goods; shortly before or already in final sale</t>
  </si>
  <si>
    <t>Jackets, T-shirts</t>
  </si>
  <si>
    <t>Industriekabel sowohl für mechanische Einsatzzwecke (Tragseile) als auch Kommunikationssektor (Überlandleitung).</t>
  </si>
  <si>
    <t>Seekabel, Tragseile für Brücken, Spannkabel, Überlandleitungen</t>
  </si>
  <si>
    <t>Industrial cables both for mechanical use (suspension cables) and communication sector (overhead line).</t>
  </si>
  <si>
    <t>Submarine cables, suspension cables for bridges, tension cables, overhead lines</t>
  </si>
  <si>
    <t/>
  </si>
  <si>
    <t>1. General consumer goods</t>
  </si>
  <si>
    <t>2. Other vegetable goods</t>
  </si>
  <si>
    <t>3. Plant construction</t>
  </si>
  <si>
    <t>4. Automobile construction</t>
  </si>
  <si>
    <t>5. Building materials / Building elements</t>
  </si>
  <si>
    <t>6. Bulk goods, solid</t>
  </si>
  <si>
    <t>7. Bulk goods, liquid</t>
  </si>
  <si>
    <t>8. Bulk goods, gaseous</t>
  </si>
  <si>
    <t>9. Pharma, medicine, cosmetics, food</t>
  </si>
  <si>
    <t>10. Electronics, EDP</t>
  </si>
  <si>
    <t>11. Electrical engineering (control cabinets, etc..)</t>
  </si>
  <si>
    <t>12. Precision mechanics, optics</t>
  </si>
  <si>
    <t>13. mechanical engineering</t>
  </si>
  <si>
    <t>14. Military material / military technology / firearms</t>
  </si>
  <si>
    <t>15. paper, printed products</t>
  </si>
  <si>
    <t>16. shipbuilding, aircraft, rail (vehicles excl. automotive)</t>
  </si>
  <si>
    <t>17. technical components</t>
  </si>
  <si>
    <t>18. textiles, leather, clothing, footwear</t>
  </si>
  <si>
    <t>19. cables &amp; ropes (submarine cables, suspension cables for bridges, tension cables)</t>
  </si>
  <si>
    <t>Project - containerized</t>
  </si>
  <si>
    <t>Vehicles - car combustion</t>
  </si>
  <si>
    <t>Organic</t>
  </si>
  <si>
    <t>Loose goods (excl. chemical products) - containerized</t>
  </si>
  <si>
    <t>Food (excl. fats and oils)</t>
  </si>
  <si>
    <t>Containerized or smaller cargo units</t>
  </si>
  <si>
    <t>Pharmaceutical products</t>
  </si>
  <si>
    <t>Brown goods (e.g. entertainment technology)</t>
  </si>
  <si>
    <t>Power equipment (switchboards, photovoltaics, etc.)</t>
  </si>
  <si>
    <t>Lenses and lens systems</t>
  </si>
  <si>
    <t>Vehicles (water, land, air)</t>
  </si>
  <si>
    <t>Project - non-containerized</t>
  </si>
  <si>
    <t>Vehicles - car electric</t>
  </si>
  <si>
    <t>Inorganic - mined</t>
  </si>
  <si>
    <t>Loose goods (excl. chemical products) - non-containerized</t>
  </si>
  <si>
    <t>Fats and oils (vegetable or animal origin)</t>
  </si>
  <si>
    <t>Non-containerized or larger cargo units</t>
  </si>
  <si>
    <t>Medical Devices</t>
  </si>
  <si>
    <t>White goods (e.g. household appliances)</t>
  </si>
  <si>
    <t>Motion technology (generators, electric motors, etc.)</t>
  </si>
  <si>
    <t>Measuring systems mechanical</t>
  </si>
  <si>
    <t>Equipment</t>
  </si>
  <si>
    <t>Serial / mass production - containerized</t>
  </si>
  <si>
    <t>Vehicles - truck combustion</t>
  </si>
  <si>
    <t>Inorganic - produced</t>
  </si>
  <si>
    <t>Unit loads (e.g. semi-finished steel products, sheet metal)</t>
  </si>
  <si>
    <t>Petrochemical products</t>
  </si>
  <si>
    <t>Cosmetics</t>
  </si>
  <si>
    <t>Measuring systems electronically (e.g. GPS technology, satellites)</t>
  </si>
  <si>
    <t>Ammunition</t>
  </si>
  <si>
    <t>Serial / mass production - non-containerized</t>
  </si>
  <si>
    <t>Vehicles - truck electric</t>
  </si>
  <si>
    <t>Glass elements</t>
  </si>
  <si>
    <t>Chemical products - containerized</t>
  </si>
  <si>
    <t>Chemical products (excl. petrochemicals)</t>
  </si>
  <si>
    <t>Therapeutic products</t>
  </si>
  <si>
    <t>Vehicles - camping combustion</t>
  </si>
  <si>
    <t>Chemical products - non-containerized</t>
  </si>
  <si>
    <t>Food and beverages (ready for sale)</t>
  </si>
  <si>
    <t>Vehicles - camping electric</t>
  </si>
  <si>
    <t>Vehicles - motorcycles combustion</t>
  </si>
  <si>
    <t>Vehicles - motorcycles electric</t>
  </si>
  <si>
    <t>Antique car</t>
  </si>
  <si>
    <t>Supply industry - non-electronics</t>
  </si>
  <si>
    <t>Supply industry - electronics</t>
  </si>
  <si>
    <t>Type of Goods Class User Language</t>
  </si>
  <si>
    <t>Type of Goods SubClass User Language</t>
  </si>
  <si>
    <t>Offset for Language</t>
  </si>
  <si>
    <t>Position X in above Table</t>
  </si>
  <si>
    <t>Position Y in above table</t>
  </si>
  <si>
    <t>Type of Goods Class Backend</t>
  </si>
  <si>
    <t>Type of Goods SubClass Backend</t>
  </si>
  <si>
    <t>Offset for Language GeoScope</t>
  </si>
  <si>
    <t>Maximum of Language Offset</t>
  </si>
  <si>
    <t>Columnwidth countrynames</t>
  </si>
  <si>
    <t>Country Dropdown</t>
  </si>
  <si>
    <t>Subcontinent</t>
  </si>
  <si>
    <t>Countries language sorted</t>
  </si>
  <si>
    <t>calc_currency_code</t>
  </si>
  <si>
    <t>Algorithm!C9</t>
  </si>
  <si>
    <t>calc_exposure_transport_total</t>
  </si>
  <si>
    <t>Algorithm!G21</t>
  </si>
  <si>
    <t>Quell-Bereichsname</t>
  </si>
  <si>
    <t>Ganzzahl (Long)</t>
  </si>
  <si>
    <t>Prozentwert</t>
  </si>
  <si>
    <t>\selected_ipflag</t>
  </si>
  <si>
    <t>Input!J4</t>
  </si>
  <si>
    <t>Input!C44</t>
  </si>
  <si>
    <t>Input!E44</t>
  </si>
  <si>
    <t>From-To GeoScope</t>
  </si>
  <si>
    <t>Share of total GeoScope</t>
  </si>
  <si>
    <t>Surcharge/Discount</t>
  </si>
  <si>
    <t>From-To GeoScope (Sorted)</t>
  </si>
  <si>
    <t>Top 3</t>
  </si>
  <si>
    <t>From</t>
  </si>
  <si>
    <t>To</t>
  </si>
  <si>
    <t>calc_expected_loss_polCur</t>
  </si>
  <si>
    <t>Algorithm!N848</t>
  </si>
  <si>
    <t>Industry sector</t>
  </si>
  <si>
    <t>Stat Code / NACE-Code</t>
  </si>
  <si>
    <t>Inception Date</t>
  </si>
  <si>
    <t>Datum</t>
  </si>
  <si>
    <t>Expiration Date</t>
  </si>
  <si>
    <t>Type of Business</t>
  </si>
  <si>
    <r>
      <t xml:space="preserve">Nur folgende Punkte zugelassen:
</t>
    </r>
    <r>
      <rPr>
        <b/>
        <sz val="9"/>
        <rFont val="Calibri"/>
        <family val="2"/>
        <scheme val="minor"/>
      </rPr>
      <t>New Business
Renewal
Endorsement</t>
    </r>
  </si>
  <si>
    <t>Regional Office</t>
  </si>
  <si>
    <t>SalesProduct Version</t>
  </si>
  <si>
    <t>V1_Primary_Limit_occ</t>
  </si>
  <si>
    <t>Verischerungsumme</t>
  </si>
  <si>
    <t>V1_Primary_Limit_agg</t>
  </si>
  <si>
    <t>ggf. mehrfache Versicherungssumme</t>
  </si>
  <si>
    <t>V1_Primary_Deductible_occ</t>
  </si>
  <si>
    <t>V1_Primary_Deductible_agg</t>
  </si>
  <si>
    <t>V1_Primary_Deductible_temp</t>
  </si>
  <si>
    <t>Dezimalzahl (3 Stellen)</t>
  </si>
  <si>
    <t>zeitlicher selbstbehalt in Tagen</t>
  </si>
  <si>
    <t>V1_Primary_Expected_Loss_Premium</t>
  </si>
  <si>
    <t>Währungsbetrag</t>
  </si>
  <si>
    <t>V1_Primary_Volatility_Loading</t>
  </si>
  <si>
    <t>V1_Primary_Risk_Premium</t>
  </si>
  <si>
    <r>
      <t>Property!</t>
    </r>
    <r>
      <rPr>
        <sz val="9"/>
        <rFont val="Calibri"/>
        <family val="2"/>
      </rPr>
      <t xml:space="preserve">
</t>
    </r>
    <r>
      <rPr>
        <b/>
        <sz val="9"/>
        <rFont val="Calibri"/>
        <family val="2"/>
      </rPr>
      <t>mit "0" belegen, wenn der Layer verwendet wird</t>
    </r>
  </si>
  <si>
    <t>V1_Primary_Technical_Premium</t>
  </si>
  <si>
    <t>V1_Primary_Offered_Premium</t>
  </si>
  <si>
    <t>V1_Primary_Premium_Rate</t>
  </si>
  <si>
    <t>Dezimalzahl (Promille)</t>
  </si>
  <si>
    <t>in Property und Engineering</t>
  </si>
  <si>
    <t>V1_Primary_Uncertainty_Level</t>
  </si>
  <si>
    <t>V1_Primary_Brokerage</t>
  </si>
  <si>
    <t>nur in Engineering</t>
  </si>
  <si>
    <t>V1_Primary_Lead_Fee</t>
  </si>
  <si>
    <t>nur in Property</t>
  </si>
  <si>
    <t>V1_Primary_Audit_Cost</t>
  </si>
  <si>
    <t>V1_Primary_Overrider</t>
  </si>
  <si>
    <t>V1_Primary_Statutory_Charges</t>
  </si>
  <si>
    <t>V1_Primary_Other_Costs</t>
  </si>
  <si>
    <t>V1_Primary_Type_of_Participation</t>
  </si>
  <si>
    <r>
      <t xml:space="preserve">Nur folgende Punkte zugelassen:
</t>
    </r>
    <r>
      <rPr>
        <b/>
        <sz val="9"/>
        <rFont val="Calibri"/>
        <family val="2"/>
        <scheme val="minor"/>
      </rPr>
      <t>100% Direct Business
Coinsurance
Lead</t>
    </r>
  </si>
  <si>
    <t>V1_Primary_HDI_Share</t>
  </si>
  <si>
    <t>V1_Layer1_Limit_occ</t>
  </si>
  <si>
    <t>V1_Layer1_Limit_agg</t>
  </si>
  <si>
    <t>V1_Layer1_Attachment_Point</t>
  </si>
  <si>
    <t>V1_Layer1_Expected_Loss_Premium</t>
  </si>
  <si>
    <t>V1_Layer1_Volatility_Loading</t>
  </si>
  <si>
    <t>V1_Layer1_Risk_Premium</t>
  </si>
  <si>
    <t>V1_Layer1_Technical_Premium</t>
  </si>
  <si>
    <t>V1_Layer1_Offered_Premium</t>
  </si>
  <si>
    <t>V1_Layer1_Premium_Rate</t>
  </si>
  <si>
    <t>V1_Layer1_Uncertainty_Level</t>
  </si>
  <si>
    <t>V1_Layer1_Brokerage</t>
  </si>
  <si>
    <t>V1_Layer1_Lead_Fee</t>
  </si>
  <si>
    <t>V1_Layer1_Audit_Cost</t>
  </si>
  <si>
    <t>V1_Layer1_Overrider</t>
  </si>
  <si>
    <t>V1_Layer1_Statutory_Charges</t>
  </si>
  <si>
    <t>V1_Layer1_Other_Costs</t>
  </si>
  <si>
    <t>V1_Layer1_Type_of_Participation</t>
  </si>
  <si>
    <t>V1_Layer1_HDI_Share</t>
  </si>
  <si>
    <t>V1_Layer2_Limit_occ</t>
  </si>
  <si>
    <t>V1_Layer2_Limit_agg</t>
  </si>
  <si>
    <t>V1_Layer2_Attachment_Point</t>
  </si>
  <si>
    <t>V1_Layer2_Expected_Loss_Premium</t>
  </si>
  <si>
    <t>V1_Layer2_Volatility_Loading</t>
  </si>
  <si>
    <t>V1_Layer2_Risk_Premium</t>
  </si>
  <si>
    <t>V1_Layer2_Technical_Premium</t>
  </si>
  <si>
    <t>V1_Layer2_Offered_Premium</t>
  </si>
  <si>
    <t>V1_Layer2_Premium_Rate</t>
  </si>
  <si>
    <t>V1_Layer2_Uncertainty_Level</t>
  </si>
  <si>
    <t>V1_Layer2_Brokerage</t>
  </si>
  <si>
    <t>V1_Layer2_Lead_Fee</t>
  </si>
  <si>
    <t>V1_Layer2_Audit_Cost</t>
  </si>
  <si>
    <t>V1_Layer2_Overrider</t>
  </si>
  <si>
    <t>V1_Layer2_Statutory_Charges</t>
  </si>
  <si>
    <t>V1_Layer2_Other_Costs</t>
  </si>
  <si>
    <t>V1_Layer2_Type_of_Participation</t>
  </si>
  <si>
    <t>V1_Layer2_HDI_Share</t>
  </si>
  <si>
    <t>V1_Layer3_Limit_occ</t>
  </si>
  <si>
    <t>V1_Layer3_Limit_agg</t>
  </si>
  <si>
    <t>V1_Layer3_Attachment_Point</t>
  </si>
  <si>
    <t>V1_Layer3_Expected_Loss_Premium</t>
  </si>
  <si>
    <t>V1_Layer3_Volatility_Loading</t>
  </si>
  <si>
    <t>V1_Layer3_Risk_Premium</t>
  </si>
  <si>
    <t>V1_Layer3_Technical_Premium</t>
  </si>
  <si>
    <t>V1_Layer3_Offered_Premium</t>
  </si>
  <si>
    <t>V1_Layer3_Premium_Rate</t>
  </si>
  <si>
    <t>V1_Layer3_Uncertainty_Level</t>
  </si>
  <si>
    <t>V1_Layer3_Brokerage</t>
  </si>
  <si>
    <t>V1_Layer3_Lead_Fee</t>
  </si>
  <si>
    <t>V1_Layer3_Audit_Cost</t>
  </si>
  <si>
    <t>V1_Layer3_Overrider</t>
  </si>
  <si>
    <t>V1_Layer3_Statutory_Charges</t>
  </si>
  <si>
    <t>V1_Layer3_Other_Costs</t>
  </si>
  <si>
    <t>V1_Layer3_Type_of_Participation</t>
  </si>
  <si>
    <t>V1_Layer3_HDI_Share</t>
  </si>
  <si>
    <t>V1_Layer4_Limit_occ</t>
  </si>
  <si>
    <t>V1_Layer4_Limit_agg</t>
  </si>
  <si>
    <t>V1_Layer4_Attachment_Point</t>
  </si>
  <si>
    <t>V1_Layer4_Expected_Loss_Premium</t>
  </si>
  <si>
    <t>V1_Layer4_Volatility_Loading</t>
  </si>
  <si>
    <t>V1_Layer4_Risk_Premium</t>
  </si>
  <si>
    <t>V1_Layer4_Technical_Premium</t>
  </si>
  <si>
    <t>V1_Layer4_Offered_Premium</t>
  </si>
  <si>
    <t>V1_Layer4_Premium_Rate</t>
  </si>
  <si>
    <t>V1_Layer4_Uncertainty_Level</t>
  </si>
  <si>
    <t>V1_Layer4_Brokerage</t>
  </si>
  <si>
    <t>V1_Layer4_Lead_Fee</t>
  </si>
  <si>
    <t>V1_Layer4_Audit_Cost</t>
  </si>
  <si>
    <t>V1_Layer4_Overrider</t>
  </si>
  <si>
    <t>V1_Layer4_Statutory_Charges</t>
  </si>
  <si>
    <t>V1_Layer4_Other_Costs</t>
  </si>
  <si>
    <t>V1_Layer4_Type_of_Participation</t>
  </si>
  <si>
    <t>V1_Layer4_HDI_Share</t>
  </si>
  <si>
    <t>V1_Layer5_Limit_occ</t>
  </si>
  <si>
    <t>V1_Layer5_Limit_agg</t>
  </si>
  <si>
    <t>V1_Layer5_Attachment_Point</t>
  </si>
  <si>
    <t>V1_Layer5_Expected_Loss_Premium</t>
  </si>
  <si>
    <t>V1_Layer5_Volatility_Loading</t>
  </si>
  <si>
    <t>V1_Layer5_Risk_Premium</t>
  </si>
  <si>
    <t>V1_Layer5_Technical_Premium</t>
  </si>
  <si>
    <t>V1_Layer5_Offered_Premium</t>
  </si>
  <si>
    <t>V1_Layer5_Premium_Rate</t>
  </si>
  <si>
    <t>V1_Layer5_Uncertainty_Level</t>
  </si>
  <si>
    <t>V1_Layer5_Brokerage</t>
  </si>
  <si>
    <t>V1_Layer5_Lead_Fee</t>
  </si>
  <si>
    <t>V1_Layer5_Audit_Cost</t>
  </si>
  <si>
    <t>V1_Layer5_Overrider</t>
  </si>
  <si>
    <t>V1_Layer5_Statutory_Charges</t>
  </si>
  <si>
    <t>V1_Layer5_Other_Costs</t>
  </si>
  <si>
    <t>V1_Layer5_Type_of_Participation</t>
  </si>
  <si>
    <t>V1_Layer5_HDI_Share</t>
  </si>
  <si>
    <t>V1_Layer6_Limit_occ</t>
  </si>
  <si>
    <t>V1_Layer6_Limit_agg</t>
  </si>
  <si>
    <t>V1_Layer6_Attachment_Point</t>
  </si>
  <si>
    <t>V1_Layer6_Expected_Loss_Premium</t>
  </si>
  <si>
    <t>V1_Layer6_Volatility_Loading</t>
  </si>
  <si>
    <t>V1_Layer6_Risk_Premium</t>
  </si>
  <si>
    <t>V1_Layer6_Technical_Premium</t>
  </si>
  <si>
    <t>V1_Layer6_Offered_Premium</t>
  </si>
  <si>
    <t>V1_Layer6_Premium_Rate</t>
  </si>
  <si>
    <t>V1_Layer6_Uncertainty_Level</t>
  </si>
  <si>
    <t>V1_Layer6_Brokerage</t>
  </si>
  <si>
    <t>V1_Layer6_Lead_Fee</t>
  </si>
  <si>
    <t>V1_Layer6_Audit_Cost</t>
  </si>
  <si>
    <t>V1_Layer6_Overrider</t>
  </si>
  <si>
    <t>V1_Layer6_Statutory_Charges</t>
  </si>
  <si>
    <t>V1_Layer6_Other_Costs</t>
  </si>
  <si>
    <t>V1_Layer6_Type_of_Participation</t>
  </si>
  <si>
    <t>V1_Layer6_HDI_Share</t>
  </si>
  <si>
    <t>V1_Layer7_Limit_occ</t>
  </si>
  <si>
    <t>V1_Layer7_Limit_agg</t>
  </si>
  <si>
    <t>V1_Layer7_Attachment_Point</t>
  </si>
  <si>
    <t>V1_Layer7_Expected_Loss_Premium</t>
  </si>
  <si>
    <t>V1_Layer7_Volatility_Loading</t>
  </si>
  <si>
    <t>V1_Layer7_Risk_Premium</t>
  </si>
  <si>
    <t>V1_Layer7_Technical_Premium</t>
  </si>
  <si>
    <t>V1_Layer7_Offered_Premium</t>
  </si>
  <si>
    <t>V1_Layer7_Premium_Rate</t>
  </si>
  <si>
    <t>V1_Layer7_Uncertainty_Level</t>
  </si>
  <si>
    <t>V1_Layer7_Brokerage</t>
  </si>
  <si>
    <t>V1_Layer7_Lead_Fee</t>
  </si>
  <si>
    <t>V1_Layer7_Audit_Cost</t>
  </si>
  <si>
    <t>V1_Layer7_Overrider</t>
  </si>
  <si>
    <t>V1_Layer7_Statutory_Charges</t>
  </si>
  <si>
    <t>V1_Layer7_Other_Costs</t>
  </si>
  <si>
    <t>V1_Layer7_Type_of_Participation</t>
  </si>
  <si>
    <t>V1_Layer7_HDI_Share</t>
  </si>
  <si>
    <t>V1_Layer8_Limit_occ</t>
  </si>
  <si>
    <t>V1_Layer8_Limit_agg</t>
  </si>
  <si>
    <t>V1_Layer8_Attachment_Point</t>
  </si>
  <si>
    <t>V1_Layer8_Expected_Loss_Premium</t>
  </si>
  <si>
    <t>V1_Layer8_Volatility_Loading</t>
  </si>
  <si>
    <t>V1_Layer8_Risk_Premium</t>
  </si>
  <si>
    <t>V1_Layer8_Technical_Premium</t>
  </si>
  <si>
    <t>V1_Layer8_Offered_Premium</t>
  </si>
  <si>
    <t>V1_Layer8_Premium_Rate</t>
  </si>
  <si>
    <t>V1_Layer8_Uncertainty_Level</t>
  </si>
  <si>
    <t>V1_Layer8_Brokerage</t>
  </si>
  <si>
    <t>V1_Layer8_Lead_Fee</t>
  </si>
  <si>
    <t>V1_Layer8_Audit_Cost</t>
  </si>
  <si>
    <t>V1_Layer8_Overrider</t>
  </si>
  <si>
    <t>V1_Layer8_Statutory_Charges</t>
  </si>
  <si>
    <t>V1_Layer8_Other_Costs</t>
  </si>
  <si>
    <t>V1_Layer8_Type_of_Participation</t>
  </si>
  <si>
    <t>V1_Layer8_HDI_Share</t>
  </si>
  <si>
    <t>V1_Layer9_Limit_occ</t>
  </si>
  <si>
    <t>V1_Layer9_Limit_agg</t>
  </si>
  <si>
    <t>V1_Layer9_Attachment_Point</t>
  </si>
  <si>
    <t>V1_Layer9_Expected_Loss_Premium</t>
  </si>
  <si>
    <t>V1_Layer9_Volatility_Loading</t>
  </si>
  <si>
    <t>V1_Layer9_Risk_Premium</t>
  </si>
  <si>
    <t>V1_Layer9_Technical_Premium</t>
  </si>
  <si>
    <t>V1_Layer9_Offered_Premium</t>
  </si>
  <si>
    <t>V1_Layer9_Premium_Rate</t>
  </si>
  <si>
    <t>V1_Layer9_Uncertainty_Level</t>
  </si>
  <si>
    <t>V1_Layer9_Brokerage</t>
  </si>
  <si>
    <t>V1_Layer9_Lead_Fee</t>
  </si>
  <si>
    <t>V1_Layer9_Audit_Cost</t>
  </si>
  <si>
    <t>V1_Layer9_Overrider</t>
  </si>
  <si>
    <t>V1_Layer9_Statutory_Charges</t>
  </si>
  <si>
    <t>V1_Layer9_Other_Costs</t>
  </si>
  <si>
    <t>V1_Layer9_Type_of_Participation</t>
  </si>
  <si>
    <t>V1_Layer9_HDI_Share</t>
  </si>
  <si>
    <t>V1_Layer10_Limit_occ</t>
  </si>
  <si>
    <t>V1_Layer10_Limit_agg</t>
  </si>
  <si>
    <t>V1_Layer10_Attachment_Point</t>
  </si>
  <si>
    <t>V1_Layer10_Expected_Loss_Premium</t>
  </si>
  <si>
    <t>V1_Layer10_Volatility_Loading</t>
  </si>
  <si>
    <t>V1_Layer10_Risk_Premium</t>
  </si>
  <si>
    <t>V1_Layer10_Technical_Premium</t>
  </si>
  <si>
    <t>V1_Layer10_Offered_Premium</t>
  </si>
  <si>
    <t>V1_Layer10_Premium_Rate</t>
  </si>
  <si>
    <t>V1_Layer10_Uncertainty_Level</t>
  </si>
  <si>
    <t>V1_Layer10_Brokerage</t>
  </si>
  <si>
    <t>V1_Layer10_Lead_Fee</t>
  </si>
  <si>
    <t>V1_Layer10_Audit_Cost</t>
  </si>
  <si>
    <t>V1_Layer10_Overrider</t>
  </si>
  <si>
    <t>V1_Layer10_Statutory_Charges</t>
  </si>
  <si>
    <t>V1_Layer10_Other_Costs</t>
  </si>
  <si>
    <t>V1_Layer10_Type_of_Participation</t>
  </si>
  <si>
    <t>V1_Layer10_HDI_Share</t>
  </si>
  <si>
    <t>V2_Primary_Limit_occ</t>
  </si>
  <si>
    <t>V2_Primary_Limit_agg</t>
  </si>
  <si>
    <t>V2_Primary_Deductible_occ</t>
  </si>
  <si>
    <t>V2_Primary_Deductible_agg</t>
  </si>
  <si>
    <t>V2_Primary_Deductible_temp</t>
  </si>
  <si>
    <t>V2_Primary_Expected_Loss_Premium</t>
  </si>
  <si>
    <t>V2_Primary_Volatility_Loading</t>
  </si>
  <si>
    <t>V2_Primary_Risk_Premium</t>
  </si>
  <si>
    <t>V2_Primary_Technical_Premium</t>
  </si>
  <si>
    <t>V2_Primary_Offered_Premium</t>
  </si>
  <si>
    <t>V2_Primary_Premium_Rate</t>
  </si>
  <si>
    <t>V2_Primary_Uncertainty_Level</t>
  </si>
  <si>
    <t>V2_Primary_Brokerage</t>
  </si>
  <si>
    <t>V2_Primary_Lead_Fee</t>
  </si>
  <si>
    <t>V2_Primary_Audit_Cost</t>
  </si>
  <si>
    <t>V2_Primary_Overrider</t>
  </si>
  <si>
    <t>V2_Primary_Statutory_Charges</t>
  </si>
  <si>
    <t>V2_Primary_Other_Costs</t>
  </si>
  <si>
    <t>V2_Primary_Type_of_Participation</t>
  </si>
  <si>
    <t>V2_Primary_HDI_Share</t>
  </si>
  <si>
    <t>V2_Layer1_Limit_occ</t>
  </si>
  <si>
    <t>V2_Layer1_Limit_agg</t>
  </si>
  <si>
    <t>V2_Layer1_Attachment_Point</t>
  </si>
  <si>
    <t>V2_Layer1_Expected_Loss_Premium</t>
  </si>
  <si>
    <t>V2_Layer1_Volatility_Loading</t>
  </si>
  <si>
    <t>V2_Layer1_Risk_Premium</t>
  </si>
  <si>
    <t>V2_Layer1_Technical_Premium</t>
  </si>
  <si>
    <t>V2_Layer1_Offered_Premium</t>
  </si>
  <si>
    <t>V2_Layer1_Premium_Rate</t>
  </si>
  <si>
    <t>V2_Layer1_Uncertainty_Level</t>
  </si>
  <si>
    <t>V2_Layer1_Brokerage</t>
  </si>
  <si>
    <t>V2_Layer1_Lead_Fee</t>
  </si>
  <si>
    <t>V2_Layer1_Audit_Cost</t>
  </si>
  <si>
    <t>V2_Layer1_Overrider</t>
  </si>
  <si>
    <t>V2_Layer1_Statutory_Charges</t>
  </si>
  <si>
    <t>V2_Layer1_Other_Costs</t>
  </si>
  <si>
    <t>V2_Layer1_Type_of_Participation</t>
  </si>
  <si>
    <t>V2_Layer1_HDI_Share</t>
  </si>
  <si>
    <t>V2_Layer2_Limit_occ</t>
  </si>
  <si>
    <t>V2_Layer2_Limit_agg</t>
  </si>
  <si>
    <t>V2_Layer2_Attachment_Point</t>
  </si>
  <si>
    <t>V2_Layer2_Expected_Loss_Premium</t>
  </si>
  <si>
    <t>V2_Layer2_Volatility_Loading</t>
  </si>
  <si>
    <t>V2_Layer2_Risk_Premium</t>
  </si>
  <si>
    <t>V2_Layer2_Technical_Premium</t>
  </si>
  <si>
    <t>V2_Layer2_Offered_Premium</t>
  </si>
  <si>
    <t>V2_Layer2_Premium_Rate</t>
  </si>
  <si>
    <t>V2_Layer2_Uncertainty_Level</t>
  </si>
  <si>
    <t>V2_Layer2_Brokerage</t>
  </si>
  <si>
    <t>V2_Layer2_Lead_Fee</t>
  </si>
  <si>
    <t>V2_Layer2_Audit_Cost</t>
  </si>
  <si>
    <t>V2_Layer2_Overrider</t>
  </si>
  <si>
    <t>V2_Layer2_Statutory_Charges</t>
  </si>
  <si>
    <t>V2_Layer2_Other_Costs</t>
  </si>
  <si>
    <t>V2_Layer2_Type_of_Participation</t>
  </si>
  <si>
    <t>V2_Layer2_HDI_Share</t>
  </si>
  <si>
    <t>V2_Layer3_Limit_occ</t>
  </si>
  <si>
    <t>V2_Layer3_Limit_agg</t>
  </si>
  <si>
    <t>V2_Layer3_Attachment_Point</t>
  </si>
  <si>
    <t>V2_Layer3_Expected_Loss_Premium</t>
  </si>
  <si>
    <t>V2_Layer3_Volatility_Loading</t>
  </si>
  <si>
    <t>V2_Layer3_Risk_Premium</t>
  </si>
  <si>
    <t>V2_Layer3_Technical_Premium</t>
  </si>
  <si>
    <t>V2_Layer3_Offered_Premium</t>
  </si>
  <si>
    <t>V2_Layer3_Premium_Rate</t>
  </si>
  <si>
    <t>V2_Layer3_Uncertainty_Level</t>
  </si>
  <si>
    <t>V2_Layer3_Brokerage</t>
  </si>
  <si>
    <t>V2_Layer3_Lead_Fee</t>
  </si>
  <si>
    <t>V2_Layer3_Audit_Cost</t>
  </si>
  <si>
    <t>V2_Layer3_Overrider</t>
  </si>
  <si>
    <t>V2_Layer3_Statutory_Charges</t>
  </si>
  <si>
    <t>V2_Layer3_Other_Costs</t>
  </si>
  <si>
    <t>V2_Layer3_Type_of_Participation</t>
  </si>
  <si>
    <t>V2_Layer3_HDI_Share</t>
  </si>
  <si>
    <t>V2_Layer4_Limit_occ</t>
  </si>
  <si>
    <t>V2_Layer4_Limit_agg</t>
  </si>
  <si>
    <t>V2_Layer4_Attachment_Point</t>
  </si>
  <si>
    <t>V2_Layer4_Expected_Loss_Premium</t>
  </si>
  <si>
    <t>V2_Layer4_Volatility_Loading</t>
  </si>
  <si>
    <t>V2_Layer4_Risk_Premium</t>
  </si>
  <si>
    <t>V2_Layer4_Technical_Premium</t>
  </si>
  <si>
    <t>V2_Layer4_Offered_Premium</t>
  </si>
  <si>
    <t>V2_Layer4_Premium_Rate</t>
  </si>
  <si>
    <t>V2_Layer4_Uncertainty_Level</t>
  </si>
  <si>
    <t>V2_Layer4_Brokerage</t>
  </si>
  <si>
    <t>V2_Layer4_Lead_Fee</t>
  </si>
  <si>
    <t>V2_Layer4_Audit_Cost</t>
  </si>
  <si>
    <t>V2_Layer4_Overrider</t>
  </si>
  <si>
    <t>V2_Layer4_Statutory_Charges</t>
  </si>
  <si>
    <t>V2_Layer4_Other_Costs</t>
  </si>
  <si>
    <t>V2_Layer4_Type_of_Participation</t>
  </si>
  <si>
    <t>V2_Layer4_HDI_Share</t>
  </si>
  <si>
    <t>V2_Layer5_Limit_occ</t>
  </si>
  <si>
    <t>V2_Layer5_Limit_agg</t>
  </si>
  <si>
    <t>V2_Layer5_Attachment_Point</t>
  </si>
  <si>
    <t>V2_Layer5_Expected_Loss_Premium</t>
  </si>
  <si>
    <t>V2_Layer5_Volatility_Loading</t>
  </si>
  <si>
    <t>V2_Layer5_Risk_Premium</t>
  </si>
  <si>
    <t>V2_Layer5_Technical_Premium</t>
  </si>
  <si>
    <t>V2_Layer5_Offered_Premium</t>
  </si>
  <si>
    <t>V2_Layer5_Premium_Rate</t>
  </si>
  <si>
    <t>V2_Layer5_Uncertainty_Level</t>
  </si>
  <si>
    <t>V2_Layer5_Brokerage</t>
  </si>
  <si>
    <t>V2_Layer5_Lead_Fee</t>
  </si>
  <si>
    <t>V2_Layer5_Audit_Cost</t>
  </si>
  <si>
    <t>V2_Layer5_Overrider</t>
  </si>
  <si>
    <t>V2_Layer5_Statutory_Charges</t>
  </si>
  <si>
    <t>V2_Layer5_Other_Costs</t>
  </si>
  <si>
    <t>V2_Layer5_Type_of_Participation</t>
  </si>
  <si>
    <t>V2_Layer5_HDI_Share</t>
  </si>
  <si>
    <t>V2_Layer6_Limit_occ</t>
  </si>
  <si>
    <t>V2_Layer6_Limit_agg</t>
  </si>
  <si>
    <t>V2_Layer6_Attachment_Point</t>
  </si>
  <si>
    <t>V2_Layer6_Expected_Loss_Premium</t>
  </si>
  <si>
    <t>V2_Layer6_Volatility_Loading</t>
  </si>
  <si>
    <t>V2_Layer6_Risk_Premium</t>
  </si>
  <si>
    <t>V2_Layer6_Technical_Premium</t>
  </si>
  <si>
    <t>V2_Layer6_Offered_Premium</t>
  </si>
  <si>
    <t>V2_Layer6_Premium_Rate</t>
  </si>
  <si>
    <t>V2_Layer6_Uncertainty_Level</t>
  </si>
  <si>
    <t>V2_Layer6_Brokerage</t>
  </si>
  <si>
    <t>V2_Layer6_Lead_Fee</t>
  </si>
  <si>
    <t>V2_Layer6_Audit_Cost</t>
  </si>
  <si>
    <t>V2_Layer6_Overrider</t>
  </si>
  <si>
    <t>V2_Layer6_Statutory_Charges</t>
  </si>
  <si>
    <t>V2_Layer6_Other_Costs</t>
  </si>
  <si>
    <t>V2_Layer6_Type_of_Participation</t>
  </si>
  <si>
    <t>V2_Layer6_HDI_Share</t>
  </si>
  <si>
    <t>V2_Layer7_Limit_occ</t>
  </si>
  <si>
    <t>V2_Layer7_Limit_agg</t>
  </si>
  <si>
    <t>V2_Layer7_Attachment_Point</t>
  </si>
  <si>
    <t>V2_Layer7_Expected_Loss_Premium</t>
  </si>
  <si>
    <t>V2_Layer7_Volatility_Loading</t>
  </si>
  <si>
    <t>V2_Layer7_Risk_Premium</t>
  </si>
  <si>
    <t>V2_Layer7_Technical_Premium</t>
  </si>
  <si>
    <t>V2_Layer7_Offered_Premium</t>
  </si>
  <si>
    <t>V2_Layer7_Premium_Rate</t>
  </si>
  <si>
    <t>V2_Layer7_Uncertainty_Level</t>
  </si>
  <si>
    <t>V2_Layer7_Brokerage</t>
  </si>
  <si>
    <t>V2_Layer7_Lead_Fee</t>
  </si>
  <si>
    <t>V2_Layer7_Audit_Cost</t>
  </si>
  <si>
    <t>V2_Layer7_Overrider</t>
  </si>
  <si>
    <t>V2_Layer7_Statutory_Charges</t>
  </si>
  <si>
    <t>V2_Layer7_Other_Costs</t>
  </si>
  <si>
    <t>V2_Layer7_Type_of_Participation</t>
  </si>
  <si>
    <t>V2_Layer7_HDI_Share</t>
  </si>
  <si>
    <t>V2_Layer8_Limit_occ</t>
  </si>
  <si>
    <t>V2_Layer8_Limit_agg</t>
  </si>
  <si>
    <t>V2_Layer8_Attachment_Point</t>
  </si>
  <si>
    <t>V2_Layer8_Expected_Loss_Premium</t>
  </si>
  <si>
    <t>V2_Layer8_Volatility_Loading</t>
  </si>
  <si>
    <t>V2_Layer8_Risk_Premium</t>
  </si>
  <si>
    <t>V2_Layer8_Technical_Premium</t>
  </si>
  <si>
    <t>V2_Layer8_Offered_Premium</t>
  </si>
  <si>
    <t>V2_Layer8_Premium_Rate</t>
  </si>
  <si>
    <t>V2_Layer8_Uncertainty_Level</t>
  </si>
  <si>
    <t>V2_Layer8_Brokerage</t>
  </si>
  <si>
    <t>V2_Layer8_Lead_Fee</t>
  </si>
  <si>
    <t>V2_Layer8_Audit_Cost</t>
  </si>
  <si>
    <t>V2_Layer8_Overrider</t>
  </si>
  <si>
    <t>V2_Layer8_Statutory_Charges</t>
  </si>
  <si>
    <t>V2_Layer8_Other_Costs</t>
  </si>
  <si>
    <t>V2_Layer8_Type_of_Participation</t>
  </si>
  <si>
    <t>V2_Layer8_HDI_Share</t>
  </si>
  <si>
    <t>V2_Layer9_Limit_occ</t>
  </si>
  <si>
    <t>V2_Layer9_Limit_agg</t>
  </si>
  <si>
    <t>V2_Layer9_Attachment_Point</t>
  </si>
  <si>
    <t>V2_Layer9_Expected_Loss_Premium</t>
  </si>
  <si>
    <t>V2_Layer9_Volatility_Loading</t>
  </si>
  <si>
    <t>V2_Layer9_Risk_Premium</t>
  </si>
  <si>
    <t>V2_Layer9_Technical_Premium</t>
  </si>
  <si>
    <t>V2_Layer9_Offered_Premium</t>
  </si>
  <si>
    <t>V2_Layer9_Premium_Rate</t>
  </si>
  <si>
    <t>V2_Layer9_Uncertainty_Level</t>
  </si>
  <si>
    <t>V2_Layer9_Brokerage</t>
  </si>
  <si>
    <t>V2_Layer9_Lead_Fee</t>
  </si>
  <si>
    <t>V2_Layer9_Audit_Cost</t>
  </si>
  <si>
    <t>V2_Layer9_Overrider</t>
  </si>
  <si>
    <t>V2_Layer9_Statutory_Charges</t>
  </si>
  <si>
    <t>V2_Layer9_Other_Costs</t>
  </si>
  <si>
    <t>V2_Layer9_Type_of_Participation</t>
  </si>
  <si>
    <t>V2_Layer9_HDI_Share</t>
  </si>
  <si>
    <t>V2_Layer10_Limit_occ</t>
  </si>
  <si>
    <t>V2_Layer10_Limit_agg</t>
  </si>
  <si>
    <t>V2_Layer10_Attachment_Point</t>
  </si>
  <si>
    <t>V2_Layer10_Expected_Loss_Premium</t>
  </si>
  <si>
    <t>V2_Layer10_Volatility_Loading</t>
  </si>
  <si>
    <t>V2_Layer10_Risk_Premium</t>
  </si>
  <si>
    <t>V2_Layer10_Technical_Premium</t>
  </si>
  <si>
    <t>V2_Layer10_Offered_Premium</t>
  </si>
  <si>
    <t>V2_Layer10_Premium_Rate</t>
  </si>
  <si>
    <t>V2_Layer10_Uncertainty_Level</t>
  </si>
  <si>
    <t>V2_Layer10_Brokerage</t>
  </si>
  <si>
    <t>V2_Layer10_Lead_Fee</t>
  </si>
  <si>
    <t>V2_Layer10_Audit_Cost</t>
  </si>
  <si>
    <t>V2_Layer10_Overrider</t>
  </si>
  <si>
    <t>V2_Layer10_Statutory_Charges</t>
  </si>
  <si>
    <t>V2_Layer10_Other_Costs</t>
  </si>
  <si>
    <t>V2_Layer10_Type_of_Participation</t>
  </si>
  <si>
    <t>V2_Layer10_HDI_Share</t>
  </si>
  <si>
    <t>V3_Primary_Limit_occ</t>
  </si>
  <si>
    <t>V3_Primary_Limit_agg</t>
  </si>
  <si>
    <t>V3_Primary_Deductible_occ</t>
  </si>
  <si>
    <t>V3_Primary_Deductible_agg</t>
  </si>
  <si>
    <t>V3_Primary_Deductible_temp</t>
  </si>
  <si>
    <t>V3_Primary_Expected_Loss_Premium</t>
  </si>
  <si>
    <t>V3_Primary_Volatility_Loading</t>
  </si>
  <si>
    <t>V3_Primary_Risk_Premium</t>
  </si>
  <si>
    <t>V3_Primary_Technical_Premium</t>
  </si>
  <si>
    <t>V3_Primary_Offered_Premium</t>
  </si>
  <si>
    <t>V3_Primary_Premium_Rate</t>
  </si>
  <si>
    <t>V3_Primary_Uncertainty_Level</t>
  </si>
  <si>
    <t>V3_Primary_Brokerage</t>
  </si>
  <si>
    <t>V3_Primary_Lead_Fee</t>
  </si>
  <si>
    <t>V3_Primary_Audit_Cost</t>
  </si>
  <si>
    <t>V3_Primary_Overrider</t>
  </si>
  <si>
    <t>V3_Primary_Statutory_Charges</t>
  </si>
  <si>
    <t>V3_Primary_Other_Costs</t>
  </si>
  <si>
    <t>V3_Primary_Type_of_Participation</t>
  </si>
  <si>
    <t>V3_Primary_HDI_Share</t>
  </si>
  <si>
    <t>V3_Layer1_Limit_occ</t>
  </si>
  <si>
    <t>V3_Layer1_Limit_agg</t>
  </si>
  <si>
    <t>V3_Layer1_Attachment_Point</t>
  </si>
  <si>
    <t>V3_Layer1_Expected_Loss_Premium</t>
  </si>
  <si>
    <t>V3_Layer1_Volatility_Loading</t>
  </si>
  <si>
    <t>V3_Layer1_Risk_Premium</t>
  </si>
  <si>
    <t>V3_Layer1_Technical_Premium</t>
  </si>
  <si>
    <t>V3_Layer1_Offered_Premium</t>
  </si>
  <si>
    <t>V3_Layer1_Premium_Rate</t>
  </si>
  <si>
    <t>V3_Layer1_Uncertainty_Level</t>
  </si>
  <si>
    <t>V3_Layer1_Brokerage</t>
  </si>
  <si>
    <t>V3_Layer1_Lead_Fee</t>
  </si>
  <si>
    <t>V3_Layer1_Audit_Cost</t>
  </si>
  <si>
    <t>V3_Layer1_Overrider</t>
  </si>
  <si>
    <t>V3_Layer1_Statutory_Charges</t>
  </si>
  <si>
    <t>V3_Layer1_Other_Costs</t>
  </si>
  <si>
    <t>V3_Layer1_Type_of_Participation</t>
  </si>
  <si>
    <t>V3_Layer1_HDI_Share</t>
  </si>
  <si>
    <t>V3_Layer2_Limit_occ</t>
  </si>
  <si>
    <t>V3_Layer2_Limit_agg</t>
  </si>
  <si>
    <t>V3_Layer2_Attachment_Point</t>
  </si>
  <si>
    <t>V3_Layer2_Expected_Loss_Premium</t>
  </si>
  <si>
    <t>V3_Layer2_Volatility_Loading</t>
  </si>
  <si>
    <t>V3_Layer2_Risk_Premium</t>
  </si>
  <si>
    <t>V3_Layer2_Technical_Premium</t>
  </si>
  <si>
    <t>V3_Layer2_Offered_Premium</t>
  </si>
  <si>
    <t>V3_Layer2_Premium_Rate</t>
  </si>
  <si>
    <t>V3_Layer2_Uncertainty_Level</t>
  </si>
  <si>
    <t>V3_Layer2_Brokerage</t>
  </si>
  <si>
    <t>V3_Layer2_Lead_Fee</t>
  </si>
  <si>
    <t>V3_Layer2_Audit_Cost</t>
  </si>
  <si>
    <t>V3_Layer2_Overrider</t>
  </si>
  <si>
    <t>V3_Layer2_Statutory_Charges</t>
  </si>
  <si>
    <t>V3_Layer2_Other_Costs</t>
  </si>
  <si>
    <t>V3_Layer2_Type_of_Participation</t>
  </si>
  <si>
    <t>V3_Layer2_HDI_Share</t>
  </si>
  <si>
    <t>V3_Layer3_Limit_occ</t>
  </si>
  <si>
    <t>V3_Layer3_Limit_agg</t>
  </si>
  <si>
    <t>V3_Layer3_Attachment_Point</t>
  </si>
  <si>
    <t>V3_Layer3_Expected_Loss_Premium</t>
  </si>
  <si>
    <t>V3_Layer3_Volatility_Loading</t>
  </si>
  <si>
    <t>V3_Layer3_Risk_Premium</t>
  </si>
  <si>
    <t>V3_Layer3_Technical_Premium</t>
  </si>
  <si>
    <t>V3_Layer3_Offered_Premium</t>
  </si>
  <si>
    <t>V3_Layer3_Premium_Rate</t>
  </si>
  <si>
    <t>V3_Layer3_Uncertainty_Level</t>
  </si>
  <si>
    <t>V3_Layer3_Brokerage</t>
  </si>
  <si>
    <t>V3_Layer3_Lead_Fee</t>
  </si>
  <si>
    <t>V3_Layer3_Audit_Cost</t>
  </si>
  <si>
    <t>V3_Layer3_Overrider</t>
  </si>
  <si>
    <t>V3_Layer3_Statutory_Charges</t>
  </si>
  <si>
    <t>V3_Layer3_Other_Costs</t>
  </si>
  <si>
    <t>V3_Layer3_Type_of_Participation</t>
  </si>
  <si>
    <t>V3_Layer3_HDI_Share</t>
  </si>
  <si>
    <t>V3_Layer4_Limit_occ</t>
  </si>
  <si>
    <t>V3_Layer4_Limit_agg</t>
  </si>
  <si>
    <t>V3_Layer4_Attachment_Point</t>
  </si>
  <si>
    <t>V3_Layer4_Expected_Loss_Premium</t>
  </si>
  <si>
    <t>V3_Layer4_Volatility_Loading</t>
  </si>
  <si>
    <t>V3_Layer4_Risk_Premium</t>
  </si>
  <si>
    <t>V3_Layer4_Technical_Premium</t>
  </si>
  <si>
    <t>V3_Layer4_Offered_Premium</t>
  </si>
  <si>
    <t>V3_Layer4_Premium_Rate</t>
  </si>
  <si>
    <t>V3_Layer4_Uncertainty_Level</t>
  </si>
  <si>
    <t>V3_Layer4_Brokerage</t>
  </si>
  <si>
    <t>V3_Layer4_Lead_Fee</t>
  </si>
  <si>
    <t>V3_Layer4_Audit_Cost</t>
  </si>
  <si>
    <t>V3_Layer4_Overrider</t>
  </si>
  <si>
    <t>V3_Layer4_Statutory_Charges</t>
  </si>
  <si>
    <t>V3_Layer4_Other_Costs</t>
  </si>
  <si>
    <t>V3_Layer4_Type_of_Participation</t>
  </si>
  <si>
    <t>V3_Layer4_HDI_Share</t>
  </si>
  <si>
    <t>V3_Layer5_Limit_occ</t>
  </si>
  <si>
    <t>V3_Layer5_Limit_agg</t>
  </si>
  <si>
    <t>V3_Layer5_Attachment_Point</t>
  </si>
  <si>
    <t>V3_Layer5_Expected_Loss_Premium</t>
  </si>
  <si>
    <t>V3_Layer5_Volatility_Loading</t>
  </si>
  <si>
    <t>V3_Layer5_Risk_Premium</t>
  </si>
  <si>
    <t>V3_Layer5_Technical_Premium</t>
  </si>
  <si>
    <t>V3_Layer5_Offered_Premium</t>
  </si>
  <si>
    <t>V3_Layer5_Premium_Rate</t>
  </si>
  <si>
    <t>V3_Layer5_Uncertainty_Level</t>
  </si>
  <si>
    <t>V3_Layer5_Brokerage</t>
  </si>
  <si>
    <t>V3_Layer5_Lead_Fee</t>
  </si>
  <si>
    <t>V3_Layer5_Audit_Cost</t>
  </si>
  <si>
    <t>V3_Layer5_Overrider</t>
  </si>
  <si>
    <t>V3_Layer5_Statutory_Charges</t>
  </si>
  <si>
    <t>V3_Layer5_Other_Costs</t>
  </si>
  <si>
    <t>V3_Layer5_Type_of_Participation</t>
  </si>
  <si>
    <t>V3_Layer5_HDI_Share</t>
  </si>
  <si>
    <t>V3_Layer6_Limit_occ</t>
  </si>
  <si>
    <t>V3_Layer6_Limit_agg</t>
  </si>
  <si>
    <t>V3_Layer6_Attachment_Point</t>
  </si>
  <si>
    <t>V3_Layer6_Expected_Loss_Premium</t>
  </si>
  <si>
    <t>V3_Layer6_Volatility_Loading</t>
  </si>
  <si>
    <t>V3_Layer6_Risk_Premium</t>
  </si>
  <si>
    <t>V3_Layer6_Technical_Premium</t>
  </si>
  <si>
    <t>V3_Layer6_Offered_Premium</t>
  </si>
  <si>
    <t>V3_Layer6_Premium_Rate</t>
  </si>
  <si>
    <t>V3_Layer6_Uncertainty_Level</t>
  </si>
  <si>
    <t>V3_Layer6_Brokerage</t>
  </si>
  <si>
    <t>V3_Layer6_Lead_Fee</t>
  </si>
  <si>
    <t>V3_Layer6_Audit_Cost</t>
  </si>
  <si>
    <t>V3_Layer6_Overrider</t>
  </si>
  <si>
    <t>V3_Layer6_Statutory_Charges</t>
  </si>
  <si>
    <t>V3_Layer6_Other_Costs</t>
  </si>
  <si>
    <t>V3_Layer6_Type_of_Participation</t>
  </si>
  <si>
    <t>V3_Layer6_HDI_Share</t>
  </si>
  <si>
    <t>V3_Layer7_Limit_occ</t>
  </si>
  <si>
    <t>V3_Layer7_Limit_agg</t>
  </si>
  <si>
    <t>V3_Layer7_Attachment_Point</t>
  </si>
  <si>
    <t>V3_Layer7_Expected_Loss_Premium</t>
  </si>
  <si>
    <t>V3_Layer7_Volatility_Loading</t>
  </si>
  <si>
    <t>V3_Layer7_Risk_Premium</t>
  </si>
  <si>
    <t>V3_Layer7_Technical_Premium</t>
  </si>
  <si>
    <t>V3_Layer7_Offered_Premium</t>
  </si>
  <si>
    <t>V3_Layer7_Premium_Rate</t>
  </si>
  <si>
    <t>V3_Layer7_Uncertainty_Level</t>
  </si>
  <si>
    <t>V3_Layer7_Brokerage</t>
  </si>
  <si>
    <t>V3_Layer7_Lead_Fee</t>
  </si>
  <si>
    <t>V3_Layer7_Audit_Cost</t>
  </si>
  <si>
    <t>V3_Layer7_Overrider</t>
  </si>
  <si>
    <t>V3_Layer7_Statutory_Charges</t>
  </si>
  <si>
    <t>V3_Layer7_Other_Costs</t>
  </si>
  <si>
    <t>V3_Layer7_Type_of_Participation</t>
  </si>
  <si>
    <t>V3_Layer7_HDI_Share</t>
  </si>
  <si>
    <t>V3_Layer8_Limit_occ</t>
  </si>
  <si>
    <t>V3_Layer8_Limit_agg</t>
  </si>
  <si>
    <t>V3_Layer8_Attachment_Point</t>
  </si>
  <si>
    <t>V3_Layer8_Expected_Loss_Premium</t>
  </si>
  <si>
    <t>V3_Layer8_Volatility_Loading</t>
  </si>
  <si>
    <t>V3_Layer8_Risk_Premium</t>
  </si>
  <si>
    <t>V3_Layer8_Technical_Premium</t>
  </si>
  <si>
    <t>V3_Layer8_Offered_Premium</t>
  </si>
  <si>
    <t>V3_Layer8_Premium_Rate</t>
  </si>
  <si>
    <t>V3_Layer8_Uncertainty_Level</t>
  </si>
  <si>
    <t>V3_Layer8_Brokerage</t>
  </si>
  <si>
    <t>V3_Layer8_Lead_Fee</t>
  </si>
  <si>
    <t>V3_Layer8_Audit_Cost</t>
  </si>
  <si>
    <t>V3_Layer8_Overrider</t>
  </si>
  <si>
    <t>V3_Layer8_Statutory_Charges</t>
  </si>
  <si>
    <t>V3_Layer8_Other_Costs</t>
  </si>
  <si>
    <t>V3_Layer8_Type_of_Participation</t>
  </si>
  <si>
    <t>V3_Layer8_HDI_Share</t>
  </si>
  <si>
    <t>V3_Layer9_Limit_occ</t>
  </si>
  <si>
    <t>V3_Layer9_Limit_agg</t>
  </si>
  <si>
    <t>V3_Layer9_Attachment_Point</t>
  </si>
  <si>
    <t>V3_Layer9_Expected_Loss_Premium</t>
  </si>
  <si>
    <t>V3_Layer9_Volatility_Loading</t>
  </si>
  <si>
    <t>V3_Layer9_Risk_Premium</t>
  </si>
  <si>
    <t>V3_Layer9_Technical_Premium</t>
  </si>
  <si>
    <t>V3_Layer9_Offered_Premium</t>
  </si>
  <si>
    <t>V3_Layer9_Premium_Rate</t>
  </si>
  <si>
    <t>V3_Layer9_Uncertainty_Level</t>
  </si>
  <si>
    <t>V3_Layer9_Brokerage</t>
  </si>
  <si>
    <t>V3_Layer9_Lead_Fee</t>
  </si>
  <si>
    <t>V3_Layer9_Audit_Cost</t>
  </si>
  <si>
    <t>V3_Layer9_Overrider</t>
  </si>
  <si>
    <t>V3_Layer9_Statutory_Charges</t>
  </si>
  <si>
    <t>V3_Layer9_Other_Costs</t>
  </si>
  <si>
    <t>V3_Layer9_Type_of_Participation</t>
  </si>
  <si>
    <t>V3_Layer9_HDI_Share</t>
  </si>
  <si>
    <t>V3_Layer10_Limit_occ</t>
  </si>
  <si>
    <t>V3_Layer10_Limit_agg</t>
  </si>
  <si>
    <t>V3_Layer10_Attachment_Point</t>
  </si>
  <si>
    <t>V3_Layer10_Expected_Loss_Premium</t>
  </si>
  <si>
    <t>V3_Layer10_Volatility_Loading</t>
  </si>
  <si>
    <t>V3_Layer10_Risk_Premium</t>
  </si>
  <si>
    <t>V3_Layer10_Technical_Premium</t>
  </si>
  <si>
    <t>V3_Layer10_Offered_Premium</t>
  </si>
  <si>
    <t>V3_Layer10_Premium_Rate</t>
  </si>
  <si>
    <t>V3_Layer10_Uncertainty_Level</t>
  </si>
  <si>
    <t>V3_Layer10_Brokerage</t>
  </si>
  <si>
    <t>V3_Layer10_Lead_Fee</t>
  </si>
  <si>
    <t>V3_Layer10_Audit_Cost</t>
  </si>
  <si>
    <t>V3_Layer10_Overrider</t>
  </si>
  <si>
    <t>V3_Layer10_Statutory_Charges</t>
  </si>
  <si>
    <t>V3_Layer10_Other_Costs</t>
  </si>
  <si>
    <t>V3_Layer10_Type_of_Participation</t>
  </si>
  <si>
    <t>V3_Layer10_HDI_Share</t>
  </si>
  <si>
    <t>V4_Primary_Limit_occ</t>
  </si>
  <si>
    <t>V4_Primary_Limit_agg</t>
  </si>
  <si>
    <t>V4_Primary_Deductible_occ</t>
  </si>
  <si>
    <t>V4_Primary_Deductible_agg</t>
  </si>
  <si>
    <t>V4_Primary_Deductible_temp</t>
  </si>
  <si>
    <t>V4_Primary_Expected_Loss_Premium</t>
  </si>
  <si>
    <t>V4_Primary_Volatility_Loading</t>
  </si>
  <si>
    <t>V4_Primary_Risk_Premium</t>
  </si>
  <si>
    <t>V4_Primary_Technical_Premium</t>
  </si>
  <si>
    <t>V4_Primary_Offered_Premium</t>
  </si>
  <si>
    <t>V4_Primary_Premium_Rate</t>
  </si>
  <si>
    <t>V4_Primary_Uncertainty_Level</t>
  </si>
  <si>
    <t>V4_Primary_Brokerage</t>
  </si>
  <si>
    <t>V4_Primary_Lead_Fee</t>
  </si>
  <si>
    <t>V4_Primary_Audit_Cost</t>
  </si>
  <si>
    <t>V4_Primary_Overrider</t>
  </si>
  <si>
    <t>V4_Primary_Statutory_Charges</t>
  </si>
  <si>
    <t>V4_Primary_Other_Costs</t>
  </si>
  <si>
    <t>V4_Primary_Type_of_Participation</t>
  </si>
  <si>
    <t>V4_Primary_HDI_Share</t>
  </si>
  <si>
    <t>V4_Layer1_Limit_occ</t>
  </si>
  <si>
    <t>V4_Layer1_Limit_agg</t>
  </si>
  <si>
    <t>V4_Layer1_Attachment_Point</t>
  </si>
  <si>
    <t>V4_Layer1_Expected_Loss_Premium</t>
  </si>
  <si>
    <t>V4_Layer1_Volatility_Loading</t>
  </si>
  <si>
    <t>V4_Layer1_Risk_Premium</t>
  </si>
  <si>
    <t>V4_Layer1_Technical_Premium</t>
  </si>
  <si>
    <t>V4_Layer1_Offered_Premium</t>
  </si>
  <si>
    <t>V4_Layer1_Premium_Rate</t>
  </si>
  <si>
    <t>V4_Layer1_Uncertainty_Level</t>
  </si>
  <si>
    <t>V4_Layer1_Brokerage</t>
  </si>
  <si>
    <t>V4_Layer1_Lead_Fee</t>
  </si>
  <si>
    <t>V4_Layer1_Audit_Cost</t>
  </si>
  <si>
    <t>V4_Layer1_Overrider</t>
  </si>
  <si>
    <t>V4_Layer1_Statutory_Charges</t>
  </si>
  <si>
    <t>V4_Layer1_Other_Costs</t>
  </si>
  <si>
    <t>V4_Layer1_Type_of_Participation</t>
  </si>
  <si>
    <t>V4_Layer1_HDI_Share</t>
  </si>
  <si>
    <t>V4_Layer2_Limit_occ</t>
  </si>
  <si>
    <t>V4_Layer2_Limit_agg</t>
  </si>
  <si>
    <t>V4_Layer2_Attachment_Point</t>
  </si>
  <si>
    <t>V4_Layer2_Expected_Loss_Premium</t>
  </si>
  <si>
    <t>V4_Layer2_Volatility_Loading</t>
  </si>
  <si>
    <t>V4_Layer2_Risk_Premium</t>
  </si>
  <si>
    <t>V4_Layer2_Technical_Premium</t>
  </si>
  <si>
    <t>V4_Layer2_Offered_Premium</t>
  </si>
  <si>
    <t>V4_Layer2_Premium_Rate</t>
  </si>
  <si>
    <t>V4_Layer2_Uncertainty_Level</t>
  </si>
  <si>
    <t>V4_Layer2_Brokerage</t>
  </si>
  <si>
    <t>V4_Layer2_Lead_Fee</t>
  </si>
  <si>
    <t>V4_Layer2_Audit_Cost</t>
  </si>
  <si>
    <t>V4_Layer2_Overrider</t>
  </si>
  <si>
    <t>V4_Layer2_Statutory_Charges</t>
  </si>
  <si>
    <t>V4_Layer2_Other_Costs</t>
  </si>
  <si>
    <t>V4_Layer2_Type_of_Participation</t>
  </si>
  <si>
    <t>V4_Layer2_HDI_Share</t>
  </si>
  <si>
    <t>V4_Layer3_Limit_occ</t>
  </si>
  <si>
    <t>V4_Layer3_Limit_agg</t>
  </si>
  <si>
    <t>V4_Layer3_Attachment_Point</t>
  </si>
  <si>
    <t>V4_Layer3_Expected_Loss_Premium</t>
  </si>
  <si>
    <t>V4_Layer3_Volatility_Loading</t>
  </si>
  <si>
    <t>V4_Layer3_Risk_Premium</t>
  </si>
  <si>
    <t>V4_Layer3_Technical_Premium</t>
  </si>
  <si>
    <t>V4_Layer3_Offered_Premium</t>
  </si>
  <si>
    <t>V4_Layer3_Premium_Rate</t>
  </si>
  <si>
    <t>V4_Layer3_Uncertainty_Level</t>
  </si>
  <si>
    <t>V4_Layer3_Brokerage</t>
  </si>
  <si>
    <t>V4_Layer3_Lead_Fee</t>
  </si>
  <si>
    <t>V4_Layer3_Audit_Cost</t>
  </si>
  <si>
    <t>V4_Layer3_Overrider</t>
  </si>
  <si>
    <t>V4_Layer3_Statutory_Charges</t>
  </si>
  <si>
    <t>V4_Layer3_Other_Costs</t>
  </si>
  <si>
    <t>V4_Layer3_Type_of_Participation</t>
  </si>
  <si>
    <t>V4_Layer3_HDI_Share</t>
  </si>
  <si>
    <t>V4_Layer4_Limit_occ</t>
  </si>
  <si>
    <t>V4_Layer4_Limit_agg</t>
  </si>
  <si>
    <t>V4_Layer4_Attachment_Point</t>
  </si>
  <si>
    <t>V4_Layer4_Expected_Loss_Premium</t>
  </si>
  <si>
    <t>V4_Layer4_Volatility_Loading</t>
  </si>
  <si>
    <t>V4_Layer4_Risk_Premium</t>
  </si>
  <si>
    <t>V4_Layer4_Technical_Premium</t>
  </si>
  <si>
    <t>V4_Layer4_Offered_Premium</t>
  </si>
  <si>
    <t>V4_Layer4_Premium_Rate</t>
  </si>
  <si>
    <t>V4_Layer4_Uncertainty_Level</t>
  </si>
  <si>
    <t>V4_Layer4_Brokerage</t>
  </si>
  <si>
    <t>V4_Layer4_Lead_Fee</t>
  </si>
  <si>
    <t>V4_Layer4_Audit_Cost</t>
  </si>
  <si>
    <t>V4_Layer4_Overrider</t>
  </si>
  <si>
    <t>V4_Layer4_Statutory_Charges</t>
  </si>
  <si>
    <t>V4_Layer4_Other_Costs</t>
  </si>
  <si>
    <t>V4_Layer4_Type_of_Participation</t>
  </si>
  <si>
    <t>V4_Layer4_HDI_Share</t>
  </si>
  <si>
    <t>V4_Layer5_Limit_occ</t>
  </si>
  <si>
    <t>V4_Layer5_Limit_agg</t>
  </si>
  <si>
    <t>V4_Layer5_Attachment_Point</t>
  </si>
  <si>
    <t>V4_Layer5_Expected_Loss_Premium</t>
  </si>
  <si>
    <t>V4_Layer5_Volatility_Loading</t>
  </si>
  <si>
    <t>V4_Layer5_Risk_Premium</t>
  </si>
  <si>
    <t>V4_Layer5_Technical_Premium</t>
  </si>
  <si>
    <t>V4_Layer5_Offered_Premium</t>
  </si>
  <si>
    <t>V4_Layer5_Premium_Rate</t>
  </si>
  <si>
    <t>V4_Layer5_Uncertainty_Level</t>
  </si>
  <si>
    <t>V4_Layer5_Brokerage</t>
  </si>
  <si>
    <t>V4_Layer5_Lead_Fee</t>
  </si>
  <si>
    <t>V4_Layer5_Audit_Cost</t>
  </si>
  <si>
    <t>V4_Layer5_Overrider</t>
  </si>
  <si>
    <t>V4_Layer5_Statutory_Charges</t>
  </si>
  <si>
    <t>V4_Layer5_Other_Costs</t>
  </si>
  <si>
    <t>V4_Layer5_Type_of_Participation</t>
  </si>
  <si>
    <t>V4_Layer5_HDI_Share</t>
  </si>
  <si>
    <t>V4_Layer6_Limit_occ</t>
  </si>
  <si>
    <t>V4_Layer6_Limit_agg</t>
  </si>
  <si>
    <t>V4_Layer6_Attachment_Point</t>
  </si>
  <si>
    <t>V4_Layer6_Expected_Loss_Premium</t>
  </si>
  <si>
    <t>V4_Layer6_Volatility_Loading</t>
  </si>
  <si>
    <t>V4_Layer6_Risk_Premium</t>
  </si>
  <si>
    <t>V4_Layer6_Technical_Premium</t>
  </si>
  <si>
    <t>V4_Layer6_Offered_Premium</t>
  </si>
  <si>
    <t>V4_Layer6_Premium_Rate</t>
  </si>
  <si>
    <t>V4_Layer6_Uncertainty_Level</t>
  </si>
  <si>
    <t>V4_Layer6_Brokerage</t>
  </si>
  <si>
    <t>V4_Layer6_Lead_Fee</t>
  </si>
  <si>
    <t>V4_Layer6_Audit_Cost</t>
  </si>
  <si>
    <t>V4_Layer6_Overrider</t>
  </si>
  <si>
    <t>V4_Layer6_Statutory_Charges</t>
  </si>
  <si>
    <t>V4_Layer6_Other_Costs</t>
  </si>
  <si>
    <t>V4_Layer6_Type_of_Participation</t>
  </si>
  <si>
    <t>V4_Layer6_HDI_Share</t>
  </si>
  <si>
    <t>V4_Layer7_Limit_occ</t>
  </si>
  <si>
    <t>V4_Layer7_Limit_agg</t>
  </si>
  <si>
    <t>V4_Layer7_Attachment_Point</t>
  </si>
  <si>
    <t>V4_Layer7_Expected_Loss_Premium</t>
  </si>
  <si>
    <t>V4_Layer7_Volatility_Loading</t>
  </si>
  <si>
    <t>V4_Layer7_Risk_Premium</t>
  </si>
  <si>
    <t>V4_Layer7_Technical_Premium</t>
  </si>
  <si>
    <t>V4_Layer7_Offered_Premium</t>
  </si>
  <si>
    <t>V4_Layer7_Premium_Rate</t>
  </si>
  <si>
    <t>V4_Layer7_Uncertainty_Level</t>
  </si>
  <si>
    <t>V4_Layer7_Brokerage</t>
  </si>
  <si>
    <t>V4_Layer7_Lead_Fee</t>
  </si>
  <si>
    <t>V4_Layer7_Audit_Cost</t>
  </si>
  <si>
    <t>V4_Layer7_Overrider</t>
  </si>
  <si>
    <t>V4_Layer7_Statutory_Charges</t>
  </si>
  <si>
    <t>V4_Layer7_Other_Costs</t>
  </si>
  <si>
    <t>V4_Layer7_Type_of_Participation</t>
  </si>
  <si>
    <t>V4_Layer7_HDI_Share</t>
  </si>
  <si>
    <t>V4_Layer8_Limit_occ</t>
  </si>
  <si>
    <t>V4_Layer8_Limit_agg</t>
  </si>
  <si>
    <t>V4_Layer8_Attachment_Point</t>
  </si>
  <si>
    <t>V4_Layer8_Expected_Loss_Premium</t>
  </si>
  <si>
    <t>V4_Layer8_Volatility_Loading</t>
  </si>
  <si>
    <t>V4_Layer8_Risk_Premium</t>
  </si>
  <si>
    <t>V4_Layer8_Technical_Premium</t>
  </si>
  <si>
    <t>V4_Layer8_Offered_Premium</t>
  </si>
  <si>
    <t>V4_Layer8_Premium_Rate</t>
  </si>
  <si>
    <t>V4_Layer8_Uncertainty_Level</t>
  </si>
  <si>
    <t>V4_Layer8_Brokerage</t>
  </si>
  <si>
    <t>V4_Layer8_Lead_Fee</t>
  </si>
  <si>
    <t>V4_Layer8_Audit_Cost</t>
  </si>
  <si>
    <t>V4_Layer8_Overrider</t>
  </si>
  <si>
    <t>V4_Layer8_Statutory_Charges</t>
  </si>
  <si>
    <t>V4_Layer8_Other_Costs</t>
  </si>
  <si>
    <t>V4_Layer8_Type_of_Participation</t>
  </si>
  <si>
    <t>V4_Layer8_HDI_Share</t>
  </si>
  <si>
    <t>V4_Layer9_Limit_occ</t>
  </si>
  <si>
    <t>V4_Layer9_Limit_agg</t>
  </si>
  <si>
    <t>V4_Layer9_Attachment_Point</t>
  </si>
  <si>
    <t>V4_Layer9_Expected_Loss_Premium</t>
  </si>
  <si>
    <t>V4_Layer9_Volatility_Loading</t>
  </si>
  <si>
    <t>V4_Layer9_Risk_Premium</t>
  </si>
  <si>
    <t>V4_Layer9_Technical_Premium</t>
  </si>
  <si>
    <t>V4_Layer9_Offered_Premium</t>
  </si>
  <si>
    <t>V4_Layer9_Premium_Rate</t>
  </si>
  <si>
    <t>V4_Layer9_Uncertainty_Level</t>
  </si>
  <si>
    <t>V4_Layer9_Brokerage</t>
  </si>
  <si>
    <t>V4_Layer9_Lead_Fee</t>
  </si>
  <si>
    <t>V4_Layer9_Audit_Cost</t>
  </si>
  <si>
    <t>V4_Layer9_Overrider</t>
  </si>
  <si>
    <t>V4_Layer9_Statutory_Charges</t>
  </si>
  <si>
    <t>V4_Layer9_Other_Costs</t>
  </si>
  <si>
    <t>V4_Layer9_Type_of_Participation</t>
  </si>
  <si>
    <t>V4_Layer9_HDI_Share</t>
  </si>
  <si>
    <t>V4_Layer10_Limit_occ</t>
  </si>
  <si>
    <t>V4_Layer10_Limit_agg</t>
  </si>
  <si>
    <t>V4_Layer10_Attachment_Point</t>
  </si>
  <si>
    <t>V4_Layer10_Expected_Loss_Premium</t>
  </si>
  <si>
    <t>V4_Layer10_Volatility_Loading</t>
  </si>
  <si>
    <t>V4_Layer10_Risk_Premium</t>
  </si>
  <si>
    <t>V4_Layer10_Technical_Premium</t>
  </si>
  <si>
    <t>V4_Layer10_Offered_Premium</t>
  </si>
  <si>
    <t>V4_Layer10_Premium_Rate</t>
  </si>
  <si>
    <t>V4_Layer10_Uncertainty_Level</t>
  </si>
  <si>
    <t>V4_Layer10_Brokerage</t>
  </si>
  <si>
    <t>V4_Layer10_Lead_Fee</t>
  </si>
  <si>
    <t>V4_Layer10_Audit_Cost</t>
  </si>
  <si>
    <t>V4_Layer10_Overrider</t>
  </si>
  <si>
    <t>V4_Layer10_Statutory_Charges</t>
  </si>
  <si>
    <t>V4_Layer10_Other_Costs</t>
  </si>
  <si>
    <t>V4_Layer10_Type_of_Participation</t>
  </si>
  <si>
    <t>V4_Layer10_HDI_Share</t>
  </si>
  <si>
    <t>V5_Primary_Limit_occ</t>
  </si>
  <si>
    <t>V5_Primary_Limit_agg</t>
  </si>
  <si>
    <t>V5_Primary_Deductible_occ</t>
  </si>
  <si>
    <t>V5_Primary_Deductible_agg</t>
  </si>
  <si>
    <t>V5_Primary_Deductible_temp</t>
  </si>
  <si>
    <t>V5_Primary_Expected_Loss_Premium</t>
  </si>
  <si>
    <t>V5_Primary_Volatility_Loading</t>
  </si>
  <si>
    <t>V5_Primary_Risk_Premium</t>
  </si>
  <si>
    <t>V5_Primary_Technical_Premium</t>
  </si>
  <si>
    <t>V5_Primary_Offered_Premium</t>
  </si>
  <si>
    <t>V5_Primary_Premium_Rate</t>
  </si>
  <si>
    <t>V5_Primary_Uncertainty_Level</t>
  </si>
  <si>
    <t>V5_Primary_Brokerage</t>
  </si>
  <si>
    <t>V5_Primary_Lead_Fee</t>
  </si>
  <si>
    <t>V5_Primary_Audit_Cost</t>
  </si>
  <si>
    <t>V5_Primary_Overrider</t>
  </si>
  <si>
    <t>V5_Primary_Statutory_Charges</t>
  </si>
  <si>
    <t>V5_Primary_Other_Costs</t>
  </si>
  <si>
    <t>V5_Primary_Type_of_Participation</t>
  </si>
  <si>
    <t>V5_Primary_HDI_Share</t>
  </si>
  <si>
    <t>V5_Layer1_Limit_occ</t>
  </si>
  <si>
    <t>V5_Layer1_Limit_agg</t>
  </si>
  <si>
    <t>V5_Layer1_Attachment_Point</t>
  </si>
  <si>
    <t>V5_Layer1_Expected_Loss_Premium</t>
  </si>
  <si>
    <t>V5_Layer1_Volatility_Loading</t>
  </si>
  <si>
    <t>V5_Layer1_Risk_Premium</t>
  </si>
  <si>
    <t>V5_Layer1_Technical_Premium</t>
  </si>
  <si>
    <t>V5_Layer1_Offered_Premium</t>
  </si>
  <si>
    <t>V5_Layer1_Premium_Rate</t>
  </si>
  <si>
    <t>V5_Layer1_Uncertainty_Level</t>
  </si>
  <si>
    <t>V5_Layer1_Brokerage</t>
  </si>
  <si>
    <t>V5_Layer1_Lead_Fee</t>
  </si>
  <si>
    <t>V5_Layer1_Audit_Cost</t>
  </si>
  <si>
    <t>V5_Layer1_Overrider</t>
  </si>
  <si>
    <t>V5_Layer1_Statutory_Charges</t>
  </si>
  <si>
    <t>V5_Layer1_Other_Costs</t>
  </si>
  <si>
    <t>V5_Layer1_Type_of_Participation</t>
  </si>
  <si>
    <t>V5_Layer1_HDI_Share</t>
  </si>
  <si>
    <t>V5_Layer2_Limit_occ</t>
  </si>
  <si>
    <t>V5_Layer2_Limit_agg</t>
  </si>
  <si>
    <t>V5_Layer2_Attachment_Point</t>
  </si>
  <si>
    <t>V5_Layer2_Expected_Loss_Premium</t>
  </si>
  <si>
    <t>V5_Layer2_Volatility_Loading</t>
  </si>
  <si>
    <t>V5_Layer2_Risk_Premium</t>
  </si>
  <si>
    <t>V5_Layer2_Technical_Premium</t>
  </si>
  <si>
    <t>V5_Layer2_Offered_Premium</t>
  </si>
  <si>
    <t>V5_Layer2_Premium_Rate</t>
  </si>
  <si>
    <t>V5_Layer2_Uncertainty_Level</t>
  </si>
  <si>
    <t>V5_Layer2_Brokerage</t>
  </si>
  <si>
    <t>V5_Layer2_Lead_Fee</t>
  </si>
  <si>
    <t>V5_Layer2_Audit_Cost</t>
  </si>
  <si>
    <t>V5_Layer2_Overrider</t>
  </si>
  <si>
    <t>V5_Layer2_Statutory_Charges</t>
  </si>
  <si>
    <t>V5_Layer2_Other_Costs</t>
  </si>
  <si>
    <t>V5_Layer2_Type_of_Participation</t>
  </si>
  <si>
    <t>V5_Layer2_HDI_Share</t>
  </si>
  <si>
    <t>V5_Layer3_Limit_occ</t>
  </si>
  <si>
    <t>V5_Layer3_Limit_agg</t>
  </si>
  <si>
    <t>V5_Layer3_Attachment_Point</t>
  </si>
  <si>
    <t>V5_Layer3_Expected_Loss_Premium</t>
  </si>
  <si>
    <t>V5_Layer3_Volatility_Loading</t>
  </si>
  <si>
    <t>V5_Layer3_Risk_Premium</t>
  </si>
  <si>
    <t>V5_Layer3_Technical_Premium</t>
  </si>
  <si>
    <t>V5_Layer3_Offered_Premium</t>
  </si>
  <si>
    <t>V5_Layer3_Premium_Rate</t>
  </si>
  <si>
    <t>V5_Layer3_Uncertainty_Level</t>
  </si>
  <si>
    <t>V5_Layer3_Brokerage</t>
  </si>
  <si>
    <t>V5_Layer3_Lead_Fee</t>
  </si>
  <si>
    <t>V5_Layer3_Audit_Cost</t>
  </si>
  <si>
    <t>V5_Layer3_Overrider</t>
  </si>
  <si>
    <t>V5_Layer3_Statutory_Charges</t>
  </si>
  <si>
    <t>V5_Layer3_Other_Costs</t>
  </si>
  <si>
    <t>V5_Layer3_Type_of_Participation</t>
  </si>
  <si>
    <t>V5_Layer3_HDI_Share</t>
  </si>
  <si>
    <t>V5_Layer4_Limit_occ</t>
  </si>
  <si>
    <t>V5_Layer4_Limit_agg</t>
  </si>
  <si>
    <t>V5_Layer4_Attachment_Point</t>
  </si>
  <si>
    <t>V5_Layer4_Expected_Loss_Premium</t>
  </si>
  <si>
    <t>V5_Layer4_Volatility_Loading</t>
  </si>
  <si>
    <t>V5_Layer4_Risk_Premium</t>
  </si>
  <si>
    <t>V5_Layer4_Technical_Premium</t>
  </si>
  <si>
    <t>V5_Layer4_Offered_Premium</t>
  </si>
  <si>
    <t>V5_Layer4_Premium_Rate</t>
  </si>
  <si>
    <t>V5_Layer4_Uncertainty_Level</t>
  </si>
  <si>
    <t>V5_Layer4_Brokerage</t>
  </si>
  <si>
    <t>V5_Layer4_Lead_Fee</t>
  </si>
  <si>
    <t>V5_Layer4_Audit_Cost</t>
  </si>
  <si>
    <t>V5_Layer4_Overrider</t>
  </si>
  <si>
    <t>V5_Layer4_Statutory_Charges</t>
  </si>
  <si>
    <t>V5_Layer4_Other_Costs</t>
  </si>
  <si>
    <t>V5_Layer4_Type_of_Participation</t>
  </si>
  <si>
    <t>V5_Layer4_HDI_Share</t>
  </si>
  <si>
    <t>V5_Layer5_Limit_occ</t>
  </si>
  <si>
    <t>V5_Layer5_Limit_agg</t>
  </si>
  <si>
    <t>V5_Layer5_Attachment_Point</t>
  </si>
  <si>
    <t>V5_Layer5_Expected_Loss_Premium</t>
  </si>
  <si>
    <t>V5_Layer5_Volatility_Loading</t>
  </si>
  <si>
    <t>V5_Layer5_Risk_Premium</t>
  </si>
  <si>
    <t>V5_Layer5_Technical_Premium</t>
  </si>
  <si>
    <t>V5_Layer5_Offered_Premium</t>
  </si>
  <si>
    <t>V5_Layer5_Premium_Rate</t>
  </si>
  <si>
    <t>V5_Layer5_Uncertainty_Level</t>
  </si>
  <si>
    <t>V5_Layer5_Brokerage</t>
  </si>
  <si>
    <t>V5_Layer5_Lead_Fee</t>
  </si>
  <si>
    <t>V5_Layer5_Audit_Cost</t>
  </si>
  <si>
    <t>V5_Layer5_Overrider</t>
  </si>
  <si>
    <t>V5_Layer5_Statutory_Charges</t>
  </si>
  <si>
    <t>V5_Layer5_Other_Costs</t>
  </si>
  <si>
    <t>V5_Layer5_Type_of_Participation</t>
  </si>
  <si>
    <t>V5_Layer5_HDI_Share</t>
  </si>
  <si>
    <t>V5_Layer6_Limit_occ</t>
  </si>
  <si>
    <t>V5_Layer6_Limit_agg</t>
  </si>
  <si>
    <t>V5_Layer6_Attachment_Point</t>
  </si>
  <si>
    <t>V5_Layer6_Expected_Loss_Premium</t>
  </si>
  <si>
    <t>V5_Layer6_Volatility_Loading</t>
  </si>
  <si>
    <t>V5_Layer6_Risk_Premium</t>
  </si>
  <si>
    <t>V5_Layer6_Technical_Premium</t>
  </si>
  <si>
    <t>V5_Layer6_Offered_Premium</t>
  </si>
  <si>
    <t>V5_Layer6_Premium_Rate</t>
  </si>
  <si>
    <t>V5_Layer6_Uncertainty_Level</t>
  </si>
  <si>
    <t>V5_Layer6_Brokerage</t>
  </si>
  <si>
    <t>V5_Layer6_Lead_Fee</t>
  </si>
  <si>
    <t>V5_Layer6_Audit_Cost</t>
  </si>
  <si>
    <t>V5_Layer6_Overrider</t>
  </si>
  <si>
    <t>V5_Layer6_Statutory_Charges</t>
  </si>
  <si>
    <t>V5_Layer6_Other_Costs</t>
  </si>
  <si>
    <t>V5_Layer6_Type_of_Participation</t>
  </si>
  <si>
    <t>V5_Layer6_HDI_Share</t>
  </si>
  <si>
    <t>V5_Layer7_Limit_occ</t>
  </si>
  <si>
    <t>V5_Layer7_Limit_agg</t>
  </si>
  <si>
    <t>V5_Layer7_Attachment_Point</t>
  </si>
  <si>
    <t>V5_Layer7_Expected_Loss_Premium</t>
  </si>
  <si>
    <t>V5_Layer7_Volatility_Loading</t>
  </si>
  <si>
    <t>V5_Layer7_Risk_Premium</t>
  </si>
  <si>
    <t>V5_Layer7_Technical_Premium</t>
  </si>
  <si>
    <t>V5_Layer7_Offered_Premium</t>
  </si>
  <si>
    <t>V5_Layer7_Premium_Rate</t>
  </si>
  <si>
    <t>V5_Layer7_Uncertainty_Level</t>
  </si>
  <si>
    <t>V5_Layer7_Brokerage</t>
  </si>
  <si>
    <t>V5_Layer7_Lead_Fee</t>
  </si>
  <si>
    <t>V5_Layer7_Audit_Cost</t>
  </si>
  <si>
    <t>V5_Layer7_Overrider</t>
  </si>
  <si>
    <t>V5_Layer7_Statutory_Charges</t>
  </si>
  <si>
    <t>V5_Layer7_Other_Costs</t>
  </si>
  <si>
    <t>V5_Layer7_Type_of_Participation</t>
  </si>
  <si>
    <t>V5_Layer7_HDI_Share</t>
  </si>
  <si>
    <t>V5_Layer8_Limit_occ</t>
  </si>
  <si>
    <t>V5_Layer8_Limit_agg</t>
  </si>
  <si>
    <t>V5_Layer8_Attachment_Point</t>
  </si>
  <si>
    <t>V5_Layer8_Expected_Loss_Premium</t>
  </si>
  <si>
    <t>V5_Layer8_Volatility_Loading</t>
  </si>
  <si>
    <t>V5_Layer8_Risk_Premium</t>
  </si>
  <si>
    <t>V5_Layer8_Technical_Premium</t>
  </si>
  <si>
    <t>V5_Layer8_Offered_Premium</t>
  </si>
  <si>
    <t>V5_Layer8_Premium_Rate</t>
  </si>
  <si>
    <t>V5_Layer8_Uncertainty_Level</t>
  </si>
  <si>
    <t>V5_Layer8_Brokerage</t>
  </si>
  <si>
    <t>V5_Layer8_Lead_Fee</t>
  </si>
  <si>
    <t>V5_Layer8_Audit_Cost</t>
  </si>
  <si>
    <t>V5_Layer8_Overrider</t>
  </si>
  <si>
    <t>V5_Layer8_Statutory_Charges</t>
  </si>
  <si>
    <t>V5_Layer8_Other_Costs</t>
  </si>
  <si>
    <t>V5_Layer8_Type_of_Participation</t>
  </si>
  <si>
    <t>V5_Layer8_HDI_Share</t>
  </si>
  <si>
    <t>V5_Layer9_Limit_occ</t>
  </si>
  <si>
    <t>V5_Layer9_Limit_agg</t>
  </si>
  <si>
    <t>V5_Layer9_Attachment_Point</t>
  </si>
  <si>
    <t>V5_Layer9_Expected_Loss_Premium</t>
  </si>
  <si>
    <t>V5_Layer9_Volatility_Loading</t>
  </si>
  <si>
    <t>V5_Layer9_Risk_Premium</t>
  </si>
  <si>
    <t>V5_Layer9_Technical_Premium</t>
  </si>
  <si>
    <t>V5_Layer9_Offered_Premium</t>
  </si>
  <si>
    <t>V5_Layer9_Premium_Rate</t>
  </si>
  <si>
    <t>V5_Layer9_Uncertainty_Level</t>
  </si>
  <si>
    <t>V5_Layer9_Brokerage</t>
  </si>
  <si>
    <t>V5_Layer9_Lead_Fee</t>
  </si>
  <si>
    <t>V5_Layer9_Audit_Cost</t>
  </si>
  <si>
    <t>V5_Layer9_Overrider</t>
  </si>
  <si>
    <t>V5_Layer9_Statutory_Charges</t>
  </si>
  <si>
    <t>V5_Layer9_Other_Costs</t>
  </si>
  <si>
    <t>V5_Layer9_Type_of_Participation</t>
  </si>
  <si>
    <t>V5_Layer9_HDI_Share</t>
  </si>
  <si>
    <t>V5_Layer10_Limit_occ</t>
  </si>
  <si>
    <t>V5_Layer10_Limit_agg</t>
  </si>
  <si>
    <t>V5_Layer10_Attachment_Point</t>
  </si>
  <si>
    <t>V5_Layer10_Expected_Loss_Premium</t>
  </si>
  <si>
    <t>V5_Layer10_Volatility_Loading</t>
  </si>
  <si>
    <t>V5_Layer10_Risk_Premium</t>
  </si>
  <si>
    <t>V5_Layer10_Technical_Premium</t>
  </si>
  <si>
    <t>V5_Layer10_Offered_Premium</t>
  </si>
  <si>
    <t>V5_Layer10_Premium_Rate</t>
  </si>
  <si>
    <t>V5_Layer10_Uncertainty_Level</t>
  </si>
  <si>
    <t>V5_Layer10_Brokerage</t>
  </si>
  <si>
    <t>V5_Layer10_Lead_Fee</t>
  </si>
  <si>
    <t>V5_Layer10_Audit_Cost</t>
  </si>
  <si>
    <t>V5_Layer10_Overrider</t>
  </si>
  <si>
    <t>V5_Layer10_Statutory_Charges</t>
  </si>
  <si>
    <t>V5_Layer10_Other_Costs</t>
  </si>
  <si>
    <t>V5_Layer10_Type_of_Participation</t>
  </si>
  <si>
    <t>V5_Layer10_HDI_Share</t>
  </si>
  <si>
    <t>V6_Primary_Limit_occ</t>
  </si>
  <si>
    <t>V6_Primary_Limit_agg</t>
  </si>
  <si>
    <t>V6_Primary_Deductible_occ</t>
  </si>
  <si>
    <t>V6_Primary_Deductible_agg</t>
  </si>
  <si>
    <t>V6_Primary_Deductible_temp</t>
  </si>
  <si>
    <t>V6_Primary_Expected_Loss_Premium</t>
  </si>
  <si>
    <t>V6_Primary_Volatility_Loading</t>
  </si>
  <si>
    <t>V6_Primary_Risk_Premium</t>
  </si>
  <si>
    <t>V6_Primary_Technical_Premium</t>
  </si>
  <si>
    <t>V6_Primary_Offered_Premium</t>
  </si>
  <si>
    <t>V6_Primary_Premium_Rate</t>
  </si>
  <si>
    <t>V6_Primary_Uncertainty_Level</t>
  </si>
  <si>
    <t>V6_Primary_Brokerage</t>
  </si>
  <si>
    <t>V6_Primary_Lead_Fee</t>
  </si>
  <si>
    <t>V6_Primary_Audit_Cost</t>
  </si>
  <si>
    <t>V6_Primary_Overrider</t>
  </si>
  <si>
    <t>V6_Primary_Statutory_Charges</t>
  </si>
  <si>
    <t>V6_Primary_Other_Costs</t>
  </si>
  <si>
    <t>V6_Primary_Type_of_Participation</t>
  </si>
  <si>
    <t>V6_Primary_HDI_Share</t>
  </si>
  <si>
    <t>V6_Layer1_Limit_occ</t>
  </si>
  <si>
    <t>V6_Layer1_Limit_agg</t>
  </si>
  <si>
    <t>V6_Layer1_Attachment_Point</t>
  </si>
  <si>
    <t>V6_Layer1_Expected_Loss_Premium</t>
  </si>
  <si>
    <t>V6_Layer1_Volatility_Loading</t>
  </si>
  <si>
    <t>V6_Layer1_Risk_Premium</t>
  </si>
  <si>
    <t>V6_Layer1_Technical_Premium</t>
  </si>
  <si>
    <t>V6_Layer1_Offered_Premium</t>
  </si>
  <si>
    <t>V6_Layer1_Premium_Rate</t>
  </si>
  <si>
    <t>V6_Layer1_Uncertainty_Level</t>
  </si>
  <si>
    <t>V6_Layer1_Brokerage</t>
  </si>
  <si>
    <t>V6_Layer1_Lead_Fee</t>
  </si>
  <si>
    <t>V6_Layer1_Audit_Cost</t>
  </si>
  <si>
    <t>V6_Layer1_Overrider</t>
  </si>
  <si>
    <t>V6_Layer1_Statutory_Charges</t>
  </si>
  <si>
    <t>V6_Layer1_Other_Costs</t>
  </si>
  <si>
    <t>V6_Layer1_Type_of_Participation</t>
  </si>
  <si>
    <t>V6_Layer1_HDI_Share</t>
  </si>
  <si>
    <t>V6_Layer2_Limit_occ</t>
  </si>
  <si>
    <t>V6_Layer2_Limit_agg</t>
  </si>
  <si>
    <t>V6_Layer2_Attachment_Point</t>
  </si>
  <si>
    <t>V6_Layer2_Expected_Loss_Premium</t>
  </si>
  <si>
    <t>V6_Layer2_Volatility_Loading</t>
  </si>
  <si>
    <t>V6_Layer2_Risk_Premium</t>
  </si>
  <si>
    <t>V6_Layer2_Technical_Premium</t>
  </si>
  <si>
    <t>V6_Layer2_Offered_Premium</t>
  </si>
  <si>
    <t>V6_Layer2_Premium_Rate</t>
  </si>
  <si>
    <t>V6_Layer2_Uncertainty_Level</t>
  </si>
  <si>
    <t>V6_Layer2_Brokerage</t>
  </si>
  <si>
    <t>V6_Layer2_Lead_Fee</t>
  </si>
  <si>
    <t>V6_Layer2_Audit_Cost</t>
  </si>
  <si>
    <t>V6_Layer2_Overrider</t>
  </si>
  <si>
    <t>V6_Layer2_Statutory_Charges</t>
  </si>
  <si>
    <t>V6_Layer2_Other_Costs</t>
  </si>
  <si>
    <t>V6_Layer2_Type_of_Participation</t>
  </si>
  <si>
    <t>V6_Layer2_HDI_Share</t>
  </si>
  <si>
    <t>V6_Layer3_Limit_occ</t>
  </si>
  <si>
    <t>V6_Layer3_Limit_agg</t>
  </si>
  <si>
    <t>V6_Layer3_Attachment_Point</t>
  </si>
  <si>
    <t>V6_Layer3_Expected_Loss_Premium</t>
  </si>
  <si>
    <t>V6_Layer3_Volatility_Loading</t>
  </si>
  <si>
    <t>V6_Layer3_Risk_Premium</t>
  </si>
  <si>
    <t>V6_Layer3_Technical_Premium</t>
  </si>
  <si>
    <t>V6_Layer3_Offered_Premium</t>
  </si>
  <si>
    <t>V6_Layer3_Premium_Rate</t>
  </si>
  <si>
    <t>V6_Layer3_Uncertainty_Level</t>
  </si>
  <si>
    <t>V6_Layer3_Brokerage</t>
  </si>
  <si>
    <t>V6_Layer3_Lead_Fee</t>
  </si>
  <si>
    <t>V6_Layer3_Audit_Cost</t>
  </si>
  <si>
    <t>V6_Layer3_Overrider</t>
  </si>
  <si>
    <t>V6_Layer3_Statutory_Charges</t>
  </si>
  <si>
    <t>V6_Layer3_Other_Costs</t>
  </si>
  <si>
    <t>V6_Layer3_Type_of_Participation</t>
  </si>
  <si>
    <t>V6_Layer3_HDI_Share</t>
  </si>
  <si>
    <t>V6_Layer4_Limit_occ</t>
  </si>
  <si>
    <t>V6_Layer4_Limit_agg</t>
  </si>
  <si>
    <t>V6_Layer4_Attachment_Point</t>
  </si>
  <si>
    <t>V6_Layer4_Expected_Loss_Premium</t>
  </si>
  <si>
    <t>V6_Layer4_Volatility_Loading</t>
  </si>
  <si>
    <t>V6_Layer4_Risk_Premium</t>
  </si>
  <si>
    <t>V6_Layer4_Technical_Premium</t>
  </si>
  <si>
    <t>V6_Layer4_Offered_Premium</t>
  </si>
  <si>
    <t>V6_Layer4_Premium_Rate</t>
  </si>
  <si>
    <t>V6_Layer4_Uncertainty_Level</t>
  </si>
  <si>
    <t>V6_Layer4_Brokerage</t>
  </si>
  <si>
    <t>V6_Layer4_Lead_Fee</t>
  </si>
  <si>
    <t>V6_Layer4_Audit_Cost</t>
  </si>
  <si>
    <t>V6_Layer4_Overrider</t>
  </si>
  <si>
    <t>V6_Layer4_Statutory_Charges</t>
  </si>
  <si>
    <t>V6_Layer4_Other_Costs</t>
  </si>
  <si>
    <t>V6_Layer4_Type_of_Participation</t>
  </si>
  <si>
    <t>V6_Layer4_HDI_Share</t>
  </si>
  <si>
    <t>V6_Layer5_Limit_occ</t>
  </si>
  <si>
    <t>V6_Layer5_Limit_agg</t>
  </si>
  <si>
    <t>V6_Layer5_Attachment_Point</t>
  </si>
  <si>
    <t>V6_Layer5_Expected_Loss_Premium</t>
  </si>
  <si>
    <t>V6_Layer5_Volatility_Loading</t>
  </si>
  <si>
    <t>V6_Layer5_Risk_Premium</t>
  </si>
  <si>
    <t>V6_Layer5_Technical_Premium</t>
  </si>
  <si>
    <t>V6_Layer5_Offered_Premium</t>
  </si>
  <si>
    <t>V6_Layer5_Premium_Rate</t>
  </si>
  <si>
    <t>V6_Layer5_Uncertainty_Level</t>
  </si>
  <si>
    <t>V6_Layer5_Brokerage</t>
  </si>
  <si>
    <t>V6_Layer5_Lead_Fee</t>
  </si>
  <si>
    <t>V6_Layer5_Audit_Cost</t>
  </si>
  <si>
    <t>V6_Layer5_Overrider</t>
  </si>
  <si>
    <t>V6_Layer5_Statutory_Charges</t>
  </si>
  <si>
    <t>V6_Layer5_Other_Costs</t>
  </si>
  <si>
    <t>V6_Layer5_Type_of_Participation</t>
  </si>
  <si>
    <t>V6_Layer5_HDI_Share</t>
  </si>
  <si>
    <t>V6_Layer6_Limit_occ</t>
  </si>
  <si>
    <t>V6_Layer6_Limit_agg</t>
  </si>
  <si>
    <t>V6_Layer6_Attachment_Point</t>
  </si>
  <si>
    <t>V6_Layer6_Expected_Loss_Premium</t>
  </si>
  <si>
    <t>V6_Layer6_Volatility_Loading</t>
  </si>
  <si>
    <t>V6_Layer6_Risk_Premium</t>
  </si>
  <si>
    <t>V6_Layer6_Technical_Premium</t>
  </si>
  <si>
    <t>V6_Layer6_Offered_Premium</t>
  </si>
  <si>
    <t>V6_Layer6_Premium_Rate</t>
  </si>
  <si>
    <t>V6_Layer6_Uncertainty_Level</t>
  </si>
  <si>
    <t>V6_Layer6_Brokerage</t>
  </si>
  <si>
    <t>V6_Layer6_Lead_Fee</t>
  </si>
  <si>
    <t>V6_Layer6_Audit_Cost</t>
  </si>
  <si>
    <t>V6_Layer6_Overrider</t>
  </si>
  <si>
    <t>V6_Layer6_Statutory_Charges</t>
  </si>
  <si>
    <t>V6_Layer6_Other_Costs</t>
  </si>
  <si>
    <t>V6_Layer6_Type_of_Participation</t>
  </si>
  <si>
    <t>V6_Layer6_HDI_Share</t>
  </si>
  <si>
    <t>V6_Layer7_Limit_occ</t>
  </si>
  <si>
    <t>V6_Layer7_Limit_agg</t>
  </si>
  <si>
    <t>V6_Layer7_Attachment_Point</t>
  </si>
  <si>
    <t>V6_Layer7_Expected_Loss_Premium</t>
  </si>
  <si>
    <t>V6_Layer7_Volatility_Loading</t>
  </si>
  <si>
    <t>V6_Layer7_Risk_Premium</t>
  </si>
  <si>
    <t>V6_Layer7_Technical_Premium</t>
  </si>
  <si>
    <t>V6_Layer7_Offered_Premium</t>
  </si>
  <si>
    <t>V6_Layer7_Premium_Rate</t>
  </si>
  <si>
    <t>V6_Layer7_Uncertainty_Level</t>
  </si>
  <si>
    <t>V6_Layer7_Brokerage</t>
  </si>
  <si>
    <t>V6_Layer7_Lead_Fee</t>
  </si>
  <si>
    <t>V6_Layer7_Audit_Cost</t>
  </si>
  <si>
    <t>V6_Layer7_Overrider</t>
  </si>
  <si>
    <t>V6_Layer7_Statutory_Charges</t>
  </si>
  <si>
    <t>V6_Layer7_Other_Costs</t>
  </si>
  <si>
    <t>V6_Layer7_Type_of_Participation</t>
  </si>
  <si>
    <t>V6_Layer7_HDI_Share</t>
  </si>
  <si>
    <t>V6_Layer8_Limit_occ</t>
  </si>
  <si>
    <t>V6_Layer8_Limit_agg</t>
  </si>
  <si>
    <t>V6_Layer8_Attachment_Point</t>
  </si>
  <si>
    <t>V6_Layer8_Expected_Loss_Premium</t>
  </si>
  <si>
    <t>V6_Layer8_Volatility_Loading</t>
  </si>
  <si>
    <t>V6_Layer8_Risk_Premium</t>
  </si>
  <si>
    <t>V6_Layer8_Technical_Premium</t>
  </si>
  <si>
    <t>V6_Layer8_Offered_Premium</t>
  </si>
  <si>
    <t>V6_Layer8_Premium_Rate</t>
  </si>
  <si>
    <t>V6_Layer8_Uncertainty_Level</t>
  </si>
  <si>
    <t>V6_Layer8_Brokerage</t>
  </si>
  <si>
    <t>V6_Layer8_Lead_Fee</t>
  </si>
  <si>
    <t>V6_Layer8_Audit_Cost</t>
  </si>
  <si>
    <t>V6_Layer8_Overrider</t>
  </si>
  <si>
    <t>V6_Layer8_Statutory_Charges</t>
  </si>
  <si>
    <t>V6_Layer8_Other_Costs</t>
  </si>
  <si>
    <t>V6_Layer8_Type_of_Participation</t>
  </si>
  <si>
    <t>V6_Layer8_HDI_Share</t>
  </si>
  <si>
    <t>V6_Layer9_Limit_occ</t>
  </si>
  <si>
    <t>V6_Layer9_Limit_agg</t>
  </si>
  <si>
    <t>V6_Layer9_Attachment_Point</t>
  </si>
  <si>
    <t>V6_Layer9_Expected_Loss_Premium</t>
  </si>
  <si>
    <t>V6_Layer9_Volatility_Loading</t>
  </si>
  <si>
    <t>V6_Layer9_Risk_Premium</t>
  </si>
  <si>
    <t>V6_Layer9_Technical_Premium</t>
  </si>
  <si>
    <t>V6_Layer9_Offered_Premium</t>
  </si>
  <si>
    <t>V6_Layer9_Premium_Rate</t>
  </si>
  <si>
    <t>V6_Layer9_Uncertainty_Level</t>
  </si>
  <si>
    <t>V6_Layer9_Brokerage</t>
  </si>
  <si>
    <t>V6_Layer9_Lead_Fee</t>
  </si>
  <si>
    <t>V6_Layer9_Audit_Cost</t>
  </si>
  <si>
    <t>V6_Layer9_Overrider</t>
  </si>
  <si>
    <t>V6_Layer9_Statutory_Charges</t>
  </si>
  <si>
    <t>V6_Layer9_Other_Costs</t>
  </si>
  <si>
    <t>V6_Layer9_Type_of_Participation</t>
  </si>
  <si>
    <t>V6_Layer9_HDI_Share</t>
  </si>
  <si>
    <t>V6_Layer10_Limit_occ</t>
  </si>
  <si>
    <t>V6_Layer10_Limit_agg</t>
  </si>
  <si>
    <t>V6_Layer10_Attachment_Point</t>
  </si>
  <si>
    <t>V6_Layer10_Expected_Loss_Premium</t>
  </si>
  <si>
    <t>V6_Layer10_Volatility_Loading</t>
  </si>
  <si>
    <t>V6_Layer10_Risk_Premium</t>
  </si>
  <si>
    <t>V6_Layer10_Technical_Premium</t>
  </si>
  <si>
    <t>V6_Layer10_Offered_Premium</t>
  </si>
  <si>
    <t>V6_Layer10_Premium_Rate</t>
  </si>
  <si>
    <t>V6_Layer10_Uncertainty_Level</t>
  </si>
  <si>
    <t>V6_Layer10_Brokerage</t>
  </si>
  <si>
    <t>V6_Layer10_Lead_Fee</t>
  </si>
  <si>
    <t>V6_Layer10_Audit_Cost</t>
  </si>
  <si>
    <t>V6_Layer10_Overrider</t>
  </si>
  <si>
    <t>V6_Layer10_Statutory_Charges</t>
  </si>
  <si>
    <t>V6_Layer10_Other_Costs</t>
  </si>
  <si>
    <t>V6_Layer10_Type_of_Participation</t>
  </si>
  <si>
    <t>V6_Layer10_HDI_Share</t>
  </si>
  <si>
    <t>V7_Primary_Limit_occ</t>
  </si>
  <si>
    <t>V7_Primary_Limit_agg</t>
  </si>
  <si>
    <t>V7_Primary_Deductible_occ</t>
  </si>
  <si>
    <t>V7_Primary_Deductible_agg</t>
  </si>
  <si>
    <t>V7_Primary_Deductible_temp</t>
  </si>
  <si>
    <t>V7_Primary_Expected_Loss_Premium</t>
  </si>
  <si>
    <t>V7_Primary_Volatility_Loading</t>
  </si>
  <si>
    <t>V7_Primary_Risk_Premium</t>
  </si>
  <si>
    <t>V7_Primary_Technical_Premium</t>
  </si>
  <si>
    <t>V7_Primary_Offered_Premium</t>
  </si>
  <si>
    <t>V7_Primary_Premium_Rate</t>
  </si>
  <si>
    <t>V7_Primary_Uncertainty_Level</t>
  </si>
  <si>
    <t>V7_Primary_Brokerage</t>
  </si>
  <si>
    <t>V7_Primary_Lead_Fee</t>
  </si>
  <si>
    <t>V7_Primary_Audit_Cost</t>
  </si>
  <si>
    <t>V7_Primary_Overrider</t>
  </si>
  <si>
    <t>V7_Primary_Statutory_Charges</t>
  </si>
  <si>
    <t>V7_Primary_Other_Costs</t>
  </si>
  <si>
    <t>V7_Primary_Type_of_Participation</t>
  </si>
  <si>
    <t>V7_Primary_HDI_Share</t>
  </si>
  <si>
    <t>V7_Layer1_Limit_occ</t>
  </si>
  <si>
    <t>V7_Layer1_Limit_agg</t>
  </si>
  <si>
    <t>V7_Layer1_Attachment_Point</t>
  </si>
  <si>
    <t>V7_Layer1_Expected_Loss_Premium</t>
  </si>
  <si>
    <t>V7_Layer1_Volatility_Loading</t>
  </si>
  <si>
    <t>V7_Layer1_Risk_Premium</t>
  </si>
  <si>
    <t>V7_Layer1_Technical_Premium</t>
  </si>
  <si>
    <t>V7_Layer1_Offered_Premium</t>
  </si>
  <si>
    <t>V7_Layer1_Premium_Rate</t>
  </si>
  <si>
    <t>V7_Layer1_Uncertainty_Level</t>
  </si>
  <si>
    <t>V7_Layer1_Brokerage</t>
  </si>
  <si>
    <t>V7_Layer1_Lead_Fee</t>
  </si>
  <si>
    <t>V7_Layer1_Audit_Cost</t>
  </si>
  <si>
    <t>V7_Layer1_Overrider</t>
  </si>
  <si>
    <t>V7_Layer1_Statutory_Charges</t>
  </si>
  <si>
    <t>V7_Layer1_Other_Costs</t>
  </si>
  <si>
    <t>V7_Layer1_Type_of_Participation</t>
  </si>
  <si>
    <t>V7_Layer1_HDI_Share</t>
  </si>
  <si>
    <t>V7_Layer2_Limit_occ</t>
  </si>
  <si>
    <t>V7_Layer2_Limit_agg</t>
  </si>
  <si>
    <t>V7_Layer2_Attachment_Point</t>
  </si>
  <si>
    <t>V7_Layer2_Expected_Loss_Premium</t>
  </si>
  <si>
    <t>V7_Layer2_Volatility_Loading</t>
  </si>
  <si>
    <t>V7_Layer2_Risk_Premium</t>
  </si>
  <si>
    <t>V7_Layer2_Technical_Premium</t>
  </si>
  <si>
    <t>V7_Layer2_Offered_Premium</t>
  </si>
  <si>
    <t>V7_Layer2_Premium_Rate</t>
  </si>
  <si>
    <t>V7_Layer2_Uncertainty_Level</t>
  </si>
  <si>
    <t>V7_Layer2_Brokerage</t>
  </si>
  <si>
    <t>V7_Layer2_Lead_Fee</t>
  </si>
  <si>
    <t>V7_Layer2_Audit_Cost</t>
  </si>
  <si>
    <t>V7_Layer2_Overrider</t>
  </si>
  <si>
    <t>V7_Layer2_Statutory_Charges</t>
  </si>
  <si>
    <t>V7_Layer2_Other_Costs</t>
  </si>
  <si>
    <t>V7_Layer2_Type_of_Participation</t>
  </si>
  <si>
    <t>V7_Layer2_HDI_Share</t>
  </si>
  <si>
    <t>V7_Layer3_Limit_occ</t>
  </si>
  <si>
    <t>V7_Layer3_Limit_agg</t>
  </si>
  <si>
    <t>V7_Layer3_Attachment_Point</t>
  </si>
  <si>
    <t>V7_Layer3_Expected_Loss_Premium</t>
  </si>
  <si>
    <t>V7_Layer3_Volatility_Loading</t>
  </si>
  <si>
    <t>V7_Layer3_Risk_Premium</t>
  </si>
  <si>
    <t>V7_Layer3_Technical_Premium</t>
  </si>
  <si>
    <t>V7_Layer3_Offered_Premium</t>
  </si>
  <si>
    <t>V7_Layer3_Premium_Rate</t>
  </si>
  <si>
    <t>V7_Layer3_Uncertainty_Level</t>
  </si>
  <si>
    <t>V7_Layer3_Brokerage</t>
  </si>
  <si>
    <t>V7_Layer3_Lead_Fee</t>
  </si>
  <si>
    <t>V7_Layer3_Audit_Cost</t>
  </si>
  <si>
    <t>V7_Layer3_Overrider</t>
  </si>
  <si>
    <t>V7_Layer3_Statutory_Charges</t>
  </si>
  <si>
    <t>V7_Layer3_Other_Costs</t>
  </si>
  <si>
    <t>V7_Layer3_Type_of_Participation</t>
  </si>
  <si>
    <t>V7_Layer3_HDI_Share</t>
  </si>
  <si>
    <t>V7_Layer4_Limit_occ</t>
  </si>
  <si>
    <t>V7_Layer4_Limit_agg</t>
  </si>
  <si>
    <t>V7_Layer4_Attachment_Point</t>
  </si>
  <si>
    <t>V7_Layer4_Expected_Loss_Premium</t>
  </si>
  <si>
    <t>V7_Layer4_Volatility_Loading</t>
  </si>
  <si>
    <t>V7_Layer4_Risk_Premium</t>
  </si>
  <si>
    <t>V7_Layer4_Technical_Premium</t>
  </si>
  <si>
    <t>V7_Layer4_Offered_Premium</t>
  </si>
  <si>
    <t>V7_Layer4_Premium_Rate</t>
  </si>
  <si>
    <t>V7_Layer4_Uncertainty_Level</t>
  </si>
  <si>
    <t>V7_Layer4_Brokerage</t>
  </si>
  <si>
    <t>V7_Layer4_Lead_Fee</t>
  </si>
  <si>
    <t>V7_Layer4_Audit_Cost</t>
  </si>
  <si>
    <t>V7_Layer4_Overrider</t>
  </si>
  <si>
    <t>V7_Layer4_Statutory_Charges</t>
  </si>
  <si>
    <t>V7_Layer4_Other_Costs</t>
  </si>
  <si>
    <t>V7_Layer4_Type_of_Participation</t>
  </si>
  <si>
    <t>V7_Layer4_HDI_Share</t>
  </si>
  <si>
    <t>V7_Layer5_Limit_occ</t>
  </si>
  <si>
    <t>V7_Layer5_Limit_agg</t>
  </si>
  <si>
    <t>V7_Layer5_Attachment_Point</t>
  </si>
  <si>
    <t>V7_Layer5_Expected_Loss_Premium</t>
  </si>
  <si>
    <t>V7_Layer5_Volatility_Loading</t>
  </si>
  <si>
    <t>V7_Layer5_Risk_Premium</t>
  </si>
  <si>
    <t>V7_Layer5_Technical_Premium</t>
  </si>
  <si>
    <t>V7_Layer5_Offered_Premium</t>
  </si>
  <si>
    <t>V7_Layer5_Premium_Rate</t>
  </si>
  <si>
    <t>V7_Layer5_Uncertainty_Level</t>
  </si>
  <si>
    <t>V7_Layer5_Brokerage</t>
  </si>
  <si>
    <t>V7_Layer5_Lead_Fee</t>
  </si>
  <si>
    <t>V7_Layer5_Audit_Cost</t>
  </si>
  <si>
    <t>V7_Layer5_Overrider</t>
  </si>
  <si>
    <t>V7_Layer5_Statutory_Charges</t>
  </si>
  <si>
    <t>V7_Layer5_Other_Costs</t>
  </si>
  <si>
    <t>V7_Layer5_Type_of_Participation</t>
  </si>
  <si>
    <t>V7_Layer5_HDI_Share</t>
  </si>
  <si>
    <t>V7_Layer6_Limit_occ</t>
  </si>
  <si>
    <t>V7_Layer6_Limit_agg</t>
  </si>
  <si>
    <t>V7_Layer6_Attachment_Point</t>
  </si>
  <si>
    <t>V7_Layer6_Expected_Loss_Premium</t>
  </si>
  <si>
    <t>V7_Layer6_Volatility_Loading</t>
  </si>
  <si>
    <t>V7_Layer6_Risk_Premium</t>
  </si>
  <si>
    <t>V7_Layer6_Technical_Premium</t>
  </si>
  <si>
    <t>V7_Layer6_Offered_Premium</t>
  </si>
  <si>
    <t>V7_Layer6_Premium_Rate</t>
  </si>
  <si>
    <t>V7_Layer6_Uncertainty_Level</t>
  </si>
  <si>
    <t>V7_Layer6_Brokerage</t>
  </si>
  <si>
    <t>V7_Layer6_Lead_Fee</t>
  </si>
  <si>
    <t>V7_Layer6_Audit_Cost</t>
  </si>
  <si>
    <t>V7_Layer6_Overrider</t>
  </si>
  <si>
    <t>V7_Layer6_Statutory_Charges</t>
  </si>
  <si>
    <t>V7_Layer6_Other_Costs</t>
  </si>
  <si>
    <t>V7_Layer6_Type_of_Participation</t>
  </si>
  <si>
    <t>V7_Layer6_HDI_Share</t>
  </si>
  <si>
    <t>V7_Layer7_Limit_occ</t>
  </si>
  <si>
    <t>V7_Layer7_Limit_agg</t>
  </si>
  <si>
    <t>V7_Layer7_Attachment_Point</t>
  </si>
  <si>
    <t>V7_Layer7_Expected_Loss_Premium</t>
  </si>
  <si>
    <t>V7_Layer7_Volatility_Loading</t>
  </si>
  <si>
    <t>V7_Layer7_Risk_Premium</t>
  </si>
  <si>
    <t>V7_Layer7_Technical_Premium</t>
  </si>
  <si>
    <t>V7_Layer7_Offered_Premium</t>
  </si>
  <si>
    <t>V7_Layer7_Premium_Rate</t>
  </si>
  <si>
    <t>V7_Layer7_Uncertainty_Level</t>
  </si>
  <si>
    <t>V7_Layer7_Brokerage</t>
  </si>
  <si>
    <t>V7_Layer7_Lead_Fee</t>
  </si>
  <si>
    <t>V7_Layer7_Audit_Cost</t>
  </si>
  <si>
    <t>V7_Layer7_Overrider</t>
  </si>
  <si>
    <t>V7_Layer7_Statutory_Charges</t>
  </si>
  <si>
    <t>V7_Layer7_Other_Costs</t>
  </si>
  <si>
    <t>V7_Layer7_Type_of_Participation</t>
  </si>
  <si>
    <t>V7_Layer7_HDI_Share</t>
  </si>
  <si>
    <t>V7_Layer8_Limit_occ</t>
  </si>
  <si>
    <t>V7_Layer8_Limit_agg</t>
  </si>
  <si>
    <t>V7_Layer8_Attachment_Point</t>
  </si>
  <si>
    <t>V7_Layer8_Expected_Loss_Premium</t>
  </si>
  <si>
    <t>V7_Layer8_Volatility_Loading</t>
  </si>
  <si>
    <t>V7_Layer8_Risk_Premium</t>
  </si>
  <si>
    <t>V7_Layer8_Technical_Premium</t>
  </si>
  <si>
    <t>V7_Layer8_Offered_Premium</t>
  </si>
  <si>
    <t>V7_Layer8_Premium_Rate</t>
  </si>
  <si>
    <t>V7_Layer8_Uncertainty_Level</t>
  </si>
  <si>
    <t>V7_Layer8_Brokerage</t>
  </si>
  <si>
    <t>V7_Layer8_Lead_Fee</t>
  </si>
  <si>
    <t>V7_Layer8_Audit_Cost</t>
  </si>
  <si>
    <t>V7_Layer8_Overrider</t>
  </si>
  <si>
    <t>V7_Layer8_Statutory_Charges</t>
  </si>
  <si>
    <t>V7_Layer8_Other_Costs</t>
  </si>
  <si>
    <t>V7_Layer8_Type_of_Participation</t>
  </si>
  <si>
    <t>V7_Layer8_HDI_Share</t>
  </si>
  <si>
    <t>V7_Layer9_Limit_occ</t>
  </si>
  <si>
    <t>V7_Layer9_Limit_agg</t>
  </si>
  <si>
    <t>V7_Layer9_Attachment_Point</t>
  </si>
  <si>
    <t>V7_Layer9_Expected_Loss_Premium</t>
  </si>
  <si>
    <t>V7_Layer9_Volatility_Loading</t>
  </si>
  <si>
    <t>V7_Layer9_Risk_Premium</t>
  </si>
  <si>
    <t>V7_Layer9_Technical_Premium</t>
  </si>
  <si>
    <t>V7_Layer9_Offered_Premium</t>
  </si>
  <si>
    <t>V7_Layer9_Premium_Rate</t>
  </si>
  <si>
    <t>V7_Layer9_Uncertainty_Level</t>
  </si>
  <si>
    <t>V7_Layer9_Brokerage</t>
  </si>
  <si>
    <t>V7_Layer9_Lead_Fee</t>
  </si>
  <si>
    <t>V7_Layer9_Audit_Cost</t>
  </si>
  <si>
    <t>V7_Layer9_Overrider</t>
  </si>
  <si>
    <t>V7_Layer9_Statutory_Charges</t>
  </si>
  <si>
    <t>V7_Layer9_Other_Costs</t>
  </si>
  <si>
    <t>V7_Layer9_Type_of_Participation</t>
  </si>
  <si>
    <t>V7_Layer9_HDI_Share</t>
  </si>
  <si>
    <t>V7_Layer10_Limit_occ</t>
  </si>
  <si>
    <t>V7_Layer10_Limit_agg</t>
  </si>
  <si>
    <t>V7_Layer10_Attachment_Point</t>
  </si>
  <si>
    <t>V7_Layer10_Expected_Loss_Premium</t>
  </si>
  <si>
    <t>V7_Layer10_Volatility_Loading</t>
  </si>
  <si>
    <t>V7_Layer10_Risk_Premium</t>
  </si>
  <si>
    <t>V7_Layer10_Technical_Premium</t>
  </si>
  <si>
    <t>V7_Layer10_Offered_Premium</t>
  </si>
  <si>
    <t>V7_Layer10_Premium_Rate</t>
  </si>
  <si>
    <t>V7_Layer10_Uncertainty_Level</t>
  </si>
  <si>
    <t>V7_Layer10_Brokerage</t>
  </si>
  <si>
    <t>V7_Layer10_Lead_Fee</t>
  </si>
  <si>
    <t>V7_Layer10_Audit_Cost</t>
  </si>
  <si>
    <t>V7_Layer10_Overrider</t>
  </si>
  <si>
    <t>V7_Layer10_Statutory_Charges</t>
  </si>
  <si>
    <t>V7_Layer10_Other_Costs</t>
  </si>
  <si>
    <t>V7_Layer10_Type_of_Participation</t>
  </si>
  <si>
    <t>V7_Layer10_HDI_Share</t>
  </si>
  <si>
    <t>V8_Primary_Limit_occ</t>
  </si>
  <si>
    <t>V8_Primary_Limit_agg</t>
  </si>
  <si>
    <t>V8_Primary_Deductible_occ</t>
  </si>
  <si>
    <t>V8_Primary_Deductible_agg</t>
  </si>
  <si>
    <t>V8_Primary_Deductible_temp</t>
  </si>
  <si>
    <t>V8_Primary_Expected_Loss_Premium</t>
  </si>
  <si>
    <t>V8_Primary_Volatility_Loading</t>
  </si>
  <si>
    <t>V8_Primary_Risk_Premium</t>
  </si>
  <si>
    <t>V8_Primary_Technical_Premium</t>
  </si>
  <si>
    <t>V8_Primary_Offered_Premium</t>
  </si>
  <si>
    <t>V8_Primary_Premium_Rate</t>
  </si>
  <si>
    <t>V8_Primary_Uncertainty_Level</t>
  </si>
  <si>
    <t>V8_Primary_Brokerage</t>
  </si>
  <si>
    <t>V8_Primary_Lead_Fee</t>
  </si>
  <si>
    <t>V8_Primary_Audit_Cost</t>
  </si>
  <si>
    <t>V8_Primary_Overrider</t>
  </si>
  <si>
    <t>V8_Primary_Statutory_Charges</t>
  </si>
  <si>
    <t>V8_Primary_Other_Costs</t>
  </si>
  <si>
    <t>V8_Primary_Type_of_Participation</t>
  </si>
  <si>
    <t>V8_Primary_HDI_Share</t>
  </si>
  <si>
    <t>V8_Layer1_Limit_occ</t>
  </si>
  <si>
    <t>V8_Layer1_Limit_agg</t>
  </si>
  <si>
    <t>V8_Layer1_Attachment_Point</t>
  </si>
  <si>
    <t>V8_Layer1_Expected_Loss_Premium</t>
  </si>
  <si>
    <t>V8_Layer1_Volatility_Loading</t>
  </si>
  <si>
    <t>V8_Layer1_Risk_Premium</t>
  </si>
  <si>
    <t>V8_Layer1_Technical_Premium</t>
  </si>
  <si>
    <t>V8_Layer1_Offered_Premium</t>
  </si>
  <si>
    <t>V8_Layer1_Premium_Rate</t>
  </si>
  <si>
    <t>V8_Layer1_Uncertainty_Level</t>
  </si>
  <si>
    <t>V8_Layer1_Brokerage</t>
  </si>
  <si>
    <t>V8_Layer1_Lead_Fee</t>
  </si>
  <si>
    <t>V8_Layer1_Audit_Cost</t>
  </si>
  <si>
    <t>V8_Layer1_Overrider</t>
  </si>
  <si>
    <t>V8_Layer1_Statutory_Charges</t>
  </si>
  <si>
    <t>V8_Layer1_Other_Costs</t>
  </si>
  <si>
    <t>V8_Layer1_Type_of_Participation</t>
  </si>
  <si>
    <t>V8_Layer1_HDI_Share</t>
  </si>
  <si>
    <t>V8_Layer2_Limit_occ</t>
  </si>
  <si>
    <t>V8_Layer2_Limit_agg</t>
  </si>
  <si>
    <t>V8_Layer2_Attachment_Point</t>
  </si>
  <si>
    <t>V8_Layer2_Expected_Loss_Premium</t>
  </si>
  <si>
    <t>V8_Layer2_Volatility_Loading</t>
  </si>
  <si>
    <t>V8_Layer2_Risk_Premium</t>
  </si>
  <si>
    <t>V8_Layer2_Technical_Premium</t>
  </si>
  <si>
    <t>V8_Layer2_Offered_Premium</t>
  </si>
  <si>
    <t>V8_Layer2_Premium_Rate</t>
  </si>
  <si>
    <t>V8_Layer2_Uncertainty_Level</t>
  </si>
  <si>
    <t>V8_Layer2_Brokerage</t>
  </si>
  <si>
    <t>V8_Layer2_Lead_Fee</t>
  </si>
  <si>
    <t>V8_Layer2_Audit_Cost</t>
  </si>
  <si>
    <t>V8_Layer2_Overrider</t>
  </si>
  <si>
    <t>V8_Layer2_Statutory_Charges</t>
  </si>
  <si>
    <t>V8_Layer2_Other_Costs</t>
  </si>
  <si>
    <t>V8_Layer2_Type_of_Participation</t>
  </si>
  <si>
    <t>V8_Layer2_HDI_Share</t>
  </si>
  <si>
    <t>V8_Layer3_Limit_occ</t>
  </si>
  <si>
    <t>V8_Layer3_Limit_agg</t>
  </si>
  <si>
    <t>V8_Layer3_Attachment_Point</t>
  </si>
  <si>
    <t>V8_Layer3_Expected_Loss_Premium</t>
  </si>
  <si>
    <t>V8_Layer3_Volatility_Loading</t>
  </si>
  <si>
    <t>V8_Layer3_Risk_Premium</t>
  </si>
  <si>
    <t>V8_Layer3_Technical_Premium</t>
  </si>
  <si>
    <t>V8_Layer3_Offered_Premium</t>
  </si>
  <si>
    <t>V8_Layer3_Premium_Rate</t>
  </si>
  <si>
    <t>V8_Layer3_Uncertainty_Level</t>
  </si>
  <si>
    <t>V8_Layer3_Brokerage</t>
  </si>
  <si>
    <t>V8_Layer3_Lead_Fee</t>
  </si>
  <si>
    <t>V8_Layer3_Audit_Cost</t>
  </si>
  <si>
    <t>V8_Layer3_Overrider</t>
  </si>
  <si>
    <t>V8_Layer3_Statutory_Charges</t>
  </si>
  <si>
    <t>V8_Layer3_Other_Costs</t>
  </si>
  <si>
    <t>V8_Layer3_Type_of_Participation</t>
  </si>
  <si>
    <t>V8_Layer3_HDI_Share</t>
  </si>
  <si>
    <t>V8_Layer4_Limit_occ</t>
  </si>
  <si>
    <t>V8_Layer4_Limit_agg</t>
  </si>
  <si>
    <t>V8_Layer4_Attachment_Point</t>
  </si>
  <si>
    <t>V8_Layer4_Expected_Loss_Premium</t>
  </si>
  <si>
    <t>V8_Layer4_Volatility_Loading</t>
  </si>
  <si>
    <t>V8_Layer4_Risk_Premium</t>
  </si>
  <si>
    <t>V8_Layer4_Technical_Premium</t>
  </si>
  <si>
    <t>V8_Layer4_Offered_Premium</t>
  </si>
  <si>
    <t>V8_Layer4_Premium_Rate</t>
  </si>
  <si>
    <t>V8_Layer4_Uncertainty_Level</t>
  </si>
  <si>
    <t>V8_Layer4_Brokerage</t>
  </si>
  <si>
    <t>V8_Layer4_Lead_Fee</t>
  </si>
  <si>
    <t>V8_Layer4_Audit_Cost</t>
  </si>
  <si>
    <t>V8_Layer4_Overrider</t>
  </si>
  <si>
    <t>V8_Layer4_Statutory_Charges</t>
  </si>
  <si>
    <t>V8_Layer4_Other_Costs</t>
  </si>
  <si>
    <t>V8_Layer4_Type_of_Participation</t>
  </si>
  <si>
    <t>V8_Layer4_HDI_Share</t>
  </si>
  <si>
    <t>V8_Layer5_Limit_occ</t>
  </si>
  <si>
    <t>V8_Layer5_Limit_agg</t>
  </si>
  <si>
    <t>V8_Layer5_Attachment_Point</t>
  </si>
  <si>
    <t>V8_Layer5_Expected_Loss_Premium</t>
  </si>
  <si>
    <t>V8_Layer5_Volatility_Loading</t>
  </si>
  <si>
    <t>V8_Layer5_Risk_Premium</t>
  </si>
  <si>
    <t>V8_Layer5_Technical_Premium</t>
  </si>
  <si>
    <t>V8_Layer5_Offered_Premium</t>
  </si>
  <si>
    <t>V8_Layer5_Premium_Rate</t>
  </si>
  <si>
    <t>V8_Layer5_Uncertainty_Level</t>
  </si>
  <si>
    <t>V8_Layer5_Brokerage</t>
  </si>
  <si>
    <t>V8_Layer5_Lead_Fee</t>
  </si>
  <si>
    <t>V8_Layer5_Audit_Cost</t>
  </si>
  <si>
    <t>V8_Layer5_Overrider</t>
  </si>
  <si>
    <t>V8_Layer5_Statutory_Charges</t>
  </si>
  <si>
    <t>V8_Layer5_Other_Costs</t>
  </si>
  <si>
    <t>V8_Layer5_Type_of_Participation</t>
  </si>
  <si>
    <t>V8_Layer5_HDI_Share</t>
  </si>
  <si>
    <t>V8_Layer6_Limit_occ</t>
  </si>
  <si>
    <t>V8_Layer6_Limit_agg</t>
  </si>
  <si>
    <t>V8_Layer6_Attachment_Point</t>
  </si>
  <si>
    <t>V8_Layer6_Expected_Loss_Premium</t>
  </si>
  <si>
    <t>V8_Layer6_Volatility_Loading</t>
  </si>
  <si>
    <t>V8_Layer6_Risk_Premium</t>
  </si>
  <si>
    <t>V8_Layer6_Technical_Premium</t>
  </si>
  <si>
    <t>V8_Layer6_Offered_Premium</t>
  </si>
  <si>
    <t>V8_Layer6_Premium_Rate</t>
  </si>
  <si>
    <t>V8_Layer6_Uncertainty_Level</t>
  </si>
  <si>
    <t>V8_Layer6_Brokerage</t>
  </si>
  <si>
    <t>V8_Layer6_Lead_Fee</t>
  </si>
  <si>
    <t>V8_Layer6_Audit_Cost</t>
  </si>
  <si>
    <t>V8_Layer6_Overrider</t>
  </si>
  <si>
    <t>V8_Layer6_Statutory_Charges</t>
  </si>
  <si>
    <t>V8_Layer6_Other_Costs</t>
  </si>
  <si>
    <t>V8_Layer6_Type_of_Participation</t>
  </si>
  <si>
    <t>V8_Layer6_HDI_Share</t>
  </si>
  <si>
    <t>V8_Layer7_Limit_occ</t>
  </si>
  <si>
    <t>V8_Layer7_Limit_agg</t>
  </si>
  <si>
    <t>V8_Layer7_Attachment_Point</t>
  </si>
  <si>
    <t>V8_Layer7_Expected_Loss_Premium</t>
  </si>
  <si>
    <t>V8_Layer7_Volatility_Loading</t>
  </si>
  <si>
    <t>V8_Layer7_Risk_Premium</t>
  </si>
  <si>
    <t>V8_Layer7_Technical_Premium</t>
  </si>
  <si>
    <t>V8_Layer7_Offered_Premium</t>
  </si>
  <si>
    <t>V8_Layer7_Premium_Rate</t>
  </si>
  <si>
    <t>V8_Layer7_Uncertainty_Level</t>
  </si>
  <si>
    <t>V8_Layer7_Brokerage</t>
  </si>
  <si>
    <t>V8_Layer7_Lead_Fee</t>
  </si>
  <si>
    <t>V8_Layer7_Audit_Cost</t>
  </si>
  <si>
    <t>V8_Layer7_Overrider</t>
  </si>
  <si>
    <t>V8_Layer7_Statutory_Charges</t>
  </si>
  <si>
    <t>V8_Layer7_Other_Costs</t>
  </si>
  <si>
    <t>V8_Layer7_Type_of_Participation</t>
  </si>
  <si>
    <t>V8_Layer7_HDI_Share</t>
  </si>
  <si>
    <t>V8_Layer8_Limit_occ</t>
  </si>
  <si>
    <t>V8_Layer8_Limit_agg</t>
  </si>
  <si>
    <t>V8_Layer8_Attachment_Point</t>
  </si>
  <si>
    <t>V8_Layer8_Expected_Loss_Premium</t>
  </si>
  <si>
    <t>V8_Layer8_Volatility_Loading</t>
  </si>
  <si>
    <t>V8_Layer8_Risk_Premium</t>
  </si>
  <si>
    <t>V8_Layer8_Technical_Premium</t>
  </si>
  <si>
    <t>V8_Layer8_Offered_Premium</t>
  </si>
  <si>
    <t>V8_Layer8_Premium_Rate</t>
  </si>
  <si>
    <t>V8_Layer8_Uncertainty_Level</t>
  </si>
  <si>
    <t>V8_Layer8_Brokerage</t>
  </si>
  <si>
    <t>V8_Layer8_Lead_Fee</t>
  </si>
  <si>
    <t>V8_Layer8_Audit_Cost</t>
  </si>
  <si>
    <t>V8_Layer8_Overrider</t>
  </si>
  <si>
    <t>V8_Layer8_Statutory_Charges</t>
  </si>
  <si>
    <t>V8_Layer8_Other_Costs</t>
  </si>
  <si>
    <t>V8_Layer8_Type_of_Participation</t>
  </si>
  <si>
    <t>V8_Layer8_HDI_Share</t>
  </si>
  <si>
    <t>V8_Layer9_Limit_occ</t>
  </si>
  <si>
    <t>V8_Layer9_Limit_agg</t>
  </si>
  <si>
    <t>V8_Layer9_Attachment_Point</t>
  </si>
  <si>
    <t>V8_Layer9_Expected_Loss_Premium</t>
  </si>
  <si>
    <t>V8_Layer9_Volatility_Loading</t>
  </si>
  <si>
    <t>V8_Layer9_Risk_Premium</t>
  </si>
  <si>
    <t>V8_Layer9_Technical_Premium</t>
  </si>
  <si>
    <t>V8_Layer9_Offered_Premium</t>
  </si>
  <si>
    <t>V8_Layer9_Premium_Rate</t>
  </si>
  <si>
    <t>V8_Layer9_Uncertainty_Level</t>
  </si>
  <si>
    <t>V8_Layer9_Brokerage</t>
  </si>
  <si>
    <t>V8_Layer9_Lead_Fee</t>
  </si>
  <si>
    <t>V8_Layer9_Audit_Cost</t>
  </si>
  <si>
    <t>V8_Layer9_Overrider</t>
  </si>
  <si>
    <t>V8_Layer9_Statutory_Charges</t>
  </si>
  <si>
    <t>V8_Layer9_Other_Costs</t>
  </si>
  <si>
    <t>V8_Layer9_Type_of_Participation</t>
  </si>
  <si>
    <t>V8_Layer9_HDI_Share</t>
  </si>
  <si>
    <t>V8_Layer10_Limit_occ</t>
  </si>
  <si>
    <t>V8_Layer10_Limit_agg</t>
  </si>
  <si>
    <t>V8_Layer10_Attachment_Point</t>
  </si>
  <si>
    <t>V8_Layer10_Expected_Loss_Premium</t>
  </si>
  <si>
    <t>V8_Layer10_Volatility_Loading</t>
  </si>
  <si>
    <t>V8_Layer10_Risk_Premium</t>
  </si>
  <si>
    <t>V8_Layer10_Technical_Premium</t>
  </si>
  <si>
    <t>V8_Layer10_Offered_Premium</t>
  </si>
  <si>
    <t>V8_Layer10_Premium_Rate</t>
  </si>
  <si>
    <t>V8_Layer10_Uncertainty_Level</t>
  </si>
  <si>
    <t>V8_Layer10_Brokerage</t>
  </si>
  <si>
    <t>V8_Layer10_Lead_Fee</t>
  </si>
  <si>
    <t>V8_Layer10_Audit_Cost</t>
  </si>
  <si>
    <t>V8_Layer10_Overrider</t>
  </si>
  <si>
    <t>V8_Layer10_Statutory_Charges</t>
  </si>
  <si>
    <t>V8_Layer10_Other_Costs</t>
  </si>
  <si>
    <t>V8_Layer10_Type_of_Participation</t>
  </si>
  <si>
    <t>V8_Layer10_HDI_Share</t>
  </si>
  <si>
    <t>V9_Primary_Limit_occ</t>
  </si>
  <si>
    <t>V9_Primary_Limit_agg</t>
  </si>
  <si>
    <t>V9_Primary_Deductible_occ</t>
  </si>
  <si>
    <t>V9_Primary_Deductible_agg</t>
  </si>
  <si>
    <t>V9_Primary_Deductible_temp</t>
  </si>
  <si>
    <t>V9_Primary_Expected_Loss_Premium</t>
  </si>
  <si>
    <t>V9_Primary_Volatility_Loading</t>
  </si>
  <si>
    <t>V9_Primary_Risk_Premium</t>
  </si>
  <si>
    <t>V9_Primary_Technical_Premium</t>
  </si>
  <si>
    <t>V9_Primary_Offered_Premium</t>
  </si>
  <si>
    <t>V9_Primary_Premium_Rate</t>
  </si>
  <si>
    <t>V9_Primary_Uncertainty_Level</t>
  </si>
  <si>
    <t>V9_Primary_Brokerage</t>
  </si>
  <si>
    <t>V9_Primary_Lead_Fee</t>
  </si>
  <si>
    <t>V9_Primary_Audit_Cost</t>
  </si>
  <si>
    <t>V9_Primary_Overrider</t>
  </si>
  <si>
    <t>V9_Primary_Statutory_Charges</t>
  </si>
  <si>
    <t>V9_Primary_Other_Costs</t>
  </si>
  <si>
    <t>V9_Primary_Type_of_Participation</t>
  </si>
  <si>
    <t>V9_Primary_HDI_Share</t>
  </si>
  <si>
    <t>V9_Layer1_Limit_occ</t>
  </si>
  <si>
    <t>V9_Layer1_Limit_agg</t>
  </si>
  <si>
    <t>V9_Layer1_Attachment_Point</t>
  </si>
  <si>
    <t>V9_Layer1_Expected_Loss_Premium</t>
  </si>
  <si>
    <t>V9_Layer1_Volatility_Loading</t>
  </si>
  <si>
    <t>V9_Layer1_Risk_Premium</t>
  </si>
  <si>
    <t>V9_Layer1_Technical_Premium</t>
  </si>
  <si>
    <t>V9_Layer1_Offered_Premium</t>
  </si>
  <si>
    <t>V9_Layer1_Premium_Rate</t>
  </si>
  <si>
    <t>V9_Layer1_Uncertainty_Level</t>
  </si>
  <si>
    <t>V9_Layer1_Brokerage</t>
  </si>
  <si>
    <t>V9_Layer1_Lead_Fee</t>
  </si>
  <si>
    <t>V9_Layer1_Audit_Cost</t>
  </si>
  <si>
    <t>V9_Layer1_Overrider</t>
  </si>
  <si>
    <t>V9_Layer1_Statutory_Charges</t>
  </si>
  <si>
    <t>V9_Layer1_Other_Costs</t>
  </si>
  <si>
    <t>V9_Layer1_Type_of_Participation</t>
  </si>
  <si>
    <t>V9_Layer1_HDI_Share</t>
  </si>
  <si>
    <t>V9_Layer2_Limit_occ</t>
  </si>
  <si>
    <t>V9_Layer2_Limit_agg</t>
  </si>
  <si>
    <t>V9_Layer2_Attachment_Point</t>
  </si>
  <si>
    <t>V9_Layer2_Expected_Loss_Premium</t>
  </si>
  <si>
    <t>V9_Layer2_Volatility_Loading</t>
  </si>
  <si>
    <t>V9_Layer2_Risk_Premium</t>
  </si>
  <si>
    <t>V9_Layer2_Technical_Premium</t>
  </si>
  <si>
    <t>V9_Layer2_Offered_Premium</t>
  </si>
  <si>
    <t>V9_Layer2_Premium_Rate</t>
  </si>
  <si>
    <t>V9_Layer2_Uncertainty_Level</t>
  </si>
  <si>
    <t>V9_Layer2_Brokerage</t>
  </si>
  <si>
    <t>V9_Layer2_Lead_Fee</t>
  </si>
  <si>
    <t>V9_Layer2_Audit_Cost</t>
  </si>
  <si>
    <t>V9_Layer2_Overrider</t>
  </si>
  <si>
    <t>V9_Layer2_Statutory_Charges</t>
  </si>
  <si>
    <t>V9_Layer2_Other_Costs</t>
  </si>
  <si>
    <t>V9_Layer2_Type_of_Participation</t>
  </si>
  <si>
    <t>V9_Layer2_HDI_Share</t>
  </si>
  <si>
    <t>V9_Layer3_Limit_occ</t>
  </si>
  <si>
    <t>V9_Layer3_Limit_agg</t>
  </si>
  <si>
    <t>V9_Layer3_Attachment_Point</t>
  </si>
  <si>
    <t>V9_Layer3_Expected_Loss_Premium</t>
  </si>
  <si>
    <t>V9_Layer3_Volatility_Loading</t>
  </si>
  <si>
    <t>V9_Layer3_Risk_Premium</t>
  </si>
  <si>
    <t>V9_Layer3_Technical_Premium</t>
  </si>
  <si>
    <t>V9_Layer3_Offered_Premium</t>
  </si>
  <si>
    <t>V9_Layer3_Premium_Rate</t>
  </si>
  <si>
    <t>V9_Layer3_Uncertainty_Level</t>
  </si>
  <si>
    <t>V9_Layer3_Brokerage</t>
  </si>
  <si>
    <t>V9_Layer3_Lead_Fee</t>
  </si>
  <si>
    <t>V9_Layer3_Audit_Cost</t>
  </si>
  <si>
    <t>V9_Layer3_Overrider</t>
  </si>
  <si>
    <t>V9_Layer3_Statutory_Charges</t>
  </si>
  <si>
    <t>V9_Layer3_Other_Costs</t>
  </si>
  <si>
    <t>V9_Layer3_Type_of_Participation</t>
  </si>
  <si>
    <t>V9_Layer3_HDI_Share</t>
  </si>
  <si>
    <t>V9_Layer4_Limit_occ</t>
  </si>
  <si>
    <t>V9_Layer4_Limit_agg</t>
  </si>
  <si>
    <t>V9_Layer4_Attachment_Point</t>
  </si>
  <si>
    <t>V9_Layer4_Expected_Loss_Premium</t>
  </si>
  <si>
    <t>V9_Layer4_Volatility_Loading</t>
  </si>
  <si>
    <t>V9_Layer4_Risk_Premium</t>
  </si>
  <si>
    <t>V9_Layer4_Technical_Premium</t>
  </si>
  <si>
    <t>V9_Layer4_Offered_Premium</t>
  </si>
  <si>
    <t>V9_Layer4_Premium_Rate</t>
  </si>
  <si>
    <t>V9_Layer4_Uncertainty_Level</t>
  </si>
  <si>
    <t>V9_Layer4_Brokerage</t>
  </si>
  <si>
    <t>V9_Layer4_Lead_Fee</t>
  </si>
  <si>
    <t>V9_Layer4_Audit_Cost</t>
  </si>
  <si>
    <t>V9_Layer4_Overrider</t>
  </si>
  <si>
    <t>V9_Layer4_Statutory_Charges</t>
  </si>
  <si>
    <t>V9_Layer4_Other_Costs</t>
  </si>
  <si>
    <t>V9_Layer4_Type_of_Participation</t>
  </si>
  <si>
    <t>V9_Layer4_HDI_Share</t>
  </si>
  <si>
    <t>V9_Layer5_Limit_occ</t>
  </si>
  <si>
    <t>V9_Layer5_Limit_agg</t>
  </si>
  <si>
    <t>V9_Layer5_Attachment_Point</t>
  </si>
  <si>
    <t>V9_Layer5_Expected_Loss_Premium</t>
  </si>
  <si>
    <t>V9_Layer5_Volatility_Loading</t>
  </si>
  <si>
    <t>V9_Layer5_Risk_Premium</t>
  </si>
  <si>
    <t>V9_Layer5_Technical_Premium</t>
  </si>
  <si>
    <t>V9_Layer5_Offered_Premium</t>
  </si>
  <si>
    <t>V9_Layer5_Premium_Rate</t>
  </si>
  <si>
    <t>V9_Layer5_Uncertainty_Level</t>
  </si>
  <si>
    <t>V9_Layer5_Brokerage</t>
  </si>
  <si>
    <t>V9_Layer5_Lead_Fee</t>
  </si>
  <si>
    <t>V9_Layer5_Audit_Cost</t>
  </si>
  <si>
    <t>V9_Layer5_Overrider</t>
  </si>
  <si>
    <t>V9_Layer5_Statutory_Charges</t>
  </si>
  <si>
    <t>V9_Layer5_Other_Costs</t>
  </si>
  <si>
    <t>V9_Layer5_Type_of_Participation</t>
  </si>
  <si>
    <t>V9_Layer5_HDI_Share</t>
  </si>
  <si>
    <t>V9_Layer6_Limit_occ</t>
  </si>
  <si>
    <t>V9_Layer6_Limit_agg</t>
  </si>
  <si>
    <t>V9_Layer6_Attachment_Point</t>
  </si>
  <si>
    <t>V9_Layer6_Expected_Loss_Premium</t>
  </si>
  <si>
    <t>V9_Layer6_Volatility_Loading</t>
  </si>
  <si>
    <t>V9_Layer6_Risk_Premium</t>
  </si>
  <si>
    <t>V9_Layer6_Technical_Premium</t>
  </si>
  <si>
    <t>V9_Layer6_Offered_Premium</t>
  </si>
  <si>
    <t>V9_Layer6_Premium_Rate</t>
  </si>
  <si>
    <t>V9_Layer6_Uncertainty_Level</t>
  </si>
  <si>
    <t>V9_Layer6_Brokerage</t>
  </si>
  <si>
    <t>V9_Layer6_Lead_Fee</t>
  </si>
  <si>
    <t>V9_Layer6_Audit_Cost</t>
  </si>
  <si>
    <t>V9_Layer6_Overrider</t>
  </si>
  <si>
    <t>V9_Layer6_Statutory_Charges</t>
  </si>
  <si>
    <t>V9_Layer6_Other_Costs</t>
  </si>
  <si>
    <t>V9_Layer6_Type_of_Participation</t>
  </si>
  <si>
    <t>V9_Layer6_HDI_Share</t>
  </si>
  <si>
    <t>V9_Layer7_Limit_occ</t>
  </si>
  <si>
    <t>V9_Layer7_Limit_agg</t>
  </si>
  <si>
    <t>V9_Layer7_Attachment_Point</t>
  </si>
  <si>
    <t>V9_Layer7_Expected_Loss_Premium</t>
  </si>
  <si>
    <t>V9_Layer7_Volatility_Loading</t>
  </si>
  <si>
    <t>V9_Layer7_Risk_Premium</t>
  </si>
  <si>
    <t>V9_Layer7_Technical_Premium</t>
  </si>
  <si>
    <t>V9_Layer7_Offered_Premium</t>
  </si>
  <si>
    <t>V9_Layer7_Premium_Rate</t>
  </si>
  <si>
    <t>V9_Layer7_Uncertainty_Level</t>
  </si>
  <si>
    <t>V9_Layer7_Brokerage</t>
  </si>
  <si>
    <t>V9_Layer7_Lead_Fee</t>
  </si>
  <si>
    <t>V9_Layer7_Audit_Cost</t>
  </si>
  <si>
    <t>V9_Layer7_Overrider</t>
  </si>
  <si>
    <t>V9_Layer7_Statutory_Charges</t>
  </si>
  <si>
    <t>V9_Layer7_Other_Costs</t>
  </si>
  <si>
    <t>V9_Layer7_Type_of_Participation</t>
  </si>
  <si>
    <t>V9_Layer7_HDI_Share</t>
  </si>
  <si>
    <t>V9_Layer8_Limit_occ</t>
  </si>
  <si>
    <t>V9_Layer8_Limit_agg</t>
  </si>
  <si>
    <t>V9_Layer8_Attachment_Point</t>
  </si>
  <si>
    <t>V9_Layer8_Expected_Loss_Premium</t>
  </si>
  <si>
    <t>V9_Layer8_Volatility_Loading</t>
  </si>
  <si>
    <t>V9_Layer8_Risk_Premium</t>
  </si>
  <si>
    <t>V9_Layer8_Technical_Premium</t>
  </si>
  <si>
    <t>V9_Layer8_Offered_Premium</t>
  </si>
  <si>
    <t>V9_Layer8_Premium_Rate</t>
  </si>
  <si>
    <t>V9_Layer8_Uncertainty_Level</t>
  </si>
  <si>
    <t>V9_Layer8_Brokerage</t>
  </si>
  <si>
    <t>V9_Layer8_Lead_Fee</t>
  </si>
  <si>
    <t>V9_Layer8_Audit_Cost</t>
  </si>
  <si>
    <t>V9_Layer8_Overrider</t>
  </si>
  <si>
    <t>V9_Layer8_Statutory_Charges</t>
  </si>
  <si>
    <t>V9_Layer8_Other_Costs</t>
  </si>
  <si>
    <t>V9_Layer8_Type_of_Participation</t>
  </si>
  <si>
    <t>V9_Layer8_HDI_Share</t>
  </si>
  <si>
    <t>V9_Layer9_Limit_occ</t>
  </si>
  <si>
    <t>V9_Layer9_Limit_agg</t>
  </si>
  <si>
    <t>V9_Layer9_Attachment_Point</t>
  </si>
  <si>
    <t>V9_Layer9_Expected_Loss_Premium</t>
  </si>
  <si>
    <t>V9_Layer9_Volatility_Loading</t>
  </si>
  <si>
    <t>V9_Layer9_Risk_Premium</t>
  </si>
  <si>
    <t>V9_Layer9_Technical_Premium</t>
  </si>
  <si>
    <t>V9_Layer9_Offered_Premium</t>
  </si>
  <si>
    <t>V9_Layer9_Premium_Rate</t>
  </si>
  <si>
    <t>V9_Layer9_Uncertainty_Level</t>
  </si>
  <si>
    <t>V9_Layer9_Brokerage</t>
  </si>
  <si>
    <t>V9_Layer9_Lead_Fee</t>
  </si>
  <si>
    <t>V9_Layer9_Audit_Cost</t>
  </si>
  <si>
    <t>V9_Layer9_Overrider</t>
  </si>
  <si>
    <t>V9_Layer9_Statutory_Charges</t>
  </si>
  <si>
    <t>V9_Layer9_Other_Costs</t>
  </si>
  <si>
    <t>V9_Layer9_Type_of_Participation</t>
  </si>
  <si>
    <t>V9_Layer9_HDI_Share</t>
  </si>
  <si>
    <t>V9_Layer10_Limit_occ</t>
  </si>
  <si>
    <t>V9_Layer10_Limit_agg</t>
  </si>
  <si>
    <t>V9_Layer10_Attachment_Point</t>
  </si>
  <si>
    <t>V9_Layer10_Expected_Loss_Premium</t>
  </si>
  <si>
    <t>V9_Layer10_Volatility_Loading</t>
  </si>
  <si>
    <t>V9_Layer10_Risk_Premium</t>
  </si>
  <si>
    <t>V9_Layer10_Technical_Premium</t>
  </si>
  <si>
    <t>V9_Layer10_Offered_Premium</t>
  </si>
  <si>
    <t>V9_Layer10_Premium_Rate</t>
  </si>
  <si>
    <t>V9_Layer10_Uncertainty_Level</t>
  </si>
  <si>
    <t>V9_Layer10_Brokerage</t>
  </si>
  <si>
    <t>V9_Layer10_Lead_Fee</t>
  </si>
  <si>
    <t>V9_Layer10_Audit_Cost</t>
  </si>
  <si>
    <t>V9_Layer10_Overrider</t>
  </si>
  <si>
    <t>V9_Layer10_Statutory_Charges</t>
  </si>
  <si>
    <t>V9_Layer10_Other_Costs</t>
  </si>
  <si>
    <t>V9_Layer10_Type_of_Participation</t>
  </si>
  <si>
    <t>V9_Layer10_HDI_Share</t>
  </si>
  <si>
    <t>\selected_typeofparticipation</t>
  </si>
  <si>
    <t>Input!J3</t>
  </si>
  <si>
    <t>Used</t>
  </si>
  <si>
    <t>Producing_Office</t>
  </si>
  <si>
    <t>Allowed_Regional_Office</t>
  </si>
  <si>
    <t>Berlin; Hamburg; Hannover</t>
  </si>
  <si>
    <t>Mainz; Stuttgart</t>
  </si>
  <si>
    <t>Regional_Office_PreSplit</t>
  </si>
  <si>
    <t>Regional_Office_PostSplit</t>
  </si>
  <si>
    <t>Brisbane; Melbourne; Perth; Sydney</t>
  </si>
  <si>
    <t>Antwerp; Brussels</t>
  </si>
  <si>
    <t>Lille; Lyon; Paris</t>
  </si>
  <si>
    <t>Leipzig; Munich; Nuremberg</t>
  </si>
  <si>
    <t>Dortmund; Duesseldorf; Essen</t>
  </si>
  <si>
    <t>Genoa; Milan</t>
  </si>
  <si>
    <t>Mexico City; Guadalajara; Monterrey</t>
  </si>
  <si>
    <t>Barcelona; Madrid</t>
  </si>
  <si>
    <t>Zurich; Lausanne; Bern</t>
  </si>
  <si>
    <t>United Kingdom</t>
  </si>
  <si>
    <t>Birmingham; Glasgow; London; Manchester</t>
  </si>
  <si>
    <t>Sub Lines</t>
  </si>
  <si>
    <t>lfdNr</t>
  </si>
  <si>
    <t>Lagername
(Name of Storage Place)</t>
  </si>
  <si>
    <t>Kundennummer
(Storage ID No. Insured)</t>
  </si>
  <si>
    <t>HDI Lagernummer
(Storage ID No. Insurer)</t>
  </si>
  <si>
    <t>Land 
(Country - ISO Code)</t>
  </si>
  <si>
    <t>Region, (State, Prefecture...)</t>
  </si>
  <si>
    <t>PLZ 
(ZIP Code)</t>
  </si>
  <si>
    <t xml:space="preserve">Risiko-Ort 
(City) </t>
  </si>
  <si>
    <t>Strasse 
(Street)</t>
  </si>
  <si>
    <t>HausNr. 
(No.)</t>
  </si>
  <si>
    <t>Währung
(Currency - ISO Code)</t>
  </si>
  <si>
    <t>Vertraglich vereinbartes Lagermaximum
(Limit of Liability)</t>
  </si>
  <si>
    <t>aktueller / durchschnittlicher Lagerwert
(Average Value of Storage)</t>
  </si>
  <si>
    <t>Breitengrad
(Latitude)</t>
  </si>
  <si>
    <t>Längengrad
(Longitutde)</t>
  </si>
  <si>
    <t>Koordinaten Qualität
(Coordinate Quality)</t>
  </si>
  <si>
    <t>---&gt; After filling out the the storage location list, please enter additional risk information on the right next to this table ---&gt;</t>
  </si>
  <si>
    <t>How many different Type of Goods do you want to enter?</t>
  </si>
  <si>
    <t>Nr</t>
  </si>
  <si>
    <t>Share (% of insured storage limit)</t>
  </si>
  <si>
    <t>Type of Deductible</t>
  </si>
  <si>
    <t>Deductible (in %)</t>
  </si>
  <si>
    <t>Deductible Min</t>
  </si>
  <si>
    <t>Deductible Max</t>
  </si>
  <si>
    <t>Percentage</t>
  </si>
  <si>
    <t>Type of Goods Nr</t>
  </si>
  <si>
    <t>Type of Goods Share</t>
  </si>
  <si>
    <t>Type of Goods Factor</t>
  </si>
  <si>
    <t>Miscellaneous</t>
  </si>
  <si>
    <t>Pharma</t>
  </si>
  <si>
    <t>Chemicals</t>
  </si>
  <si>
    <t>Refrigerated Food</t>
  </si>
  <si>
    <t>IT-Hardware</t>
  </si>
  <si>
    <t>Electronics</t>
  </si>
  <si>
    <t>Textile</t>
  </si>
  <si>
    <t>Leather</t>
  </si>
  <si>
    <t>Household Goods</t>
  </si>
  <si>
    <t>Raw Material</t>
  </si>
  <si>
    <t>Construction Goods</t>
  </si>
  <si>
    <t>Bulk Goods</t>
  </si>
  <si>
    <t>Paper</t>
  </si>
  <si>
    <t>Non-Refrigerated Food</t>
  </si>
  <si>
    <t>Machines</t>
  </si>
  <si>
    <t>Industrial Equipment</t>
  </si>
  <si>
    <t>Spare Parts</t>
  </si>
  <si>
    <t>Base Rate</t>
  </si>
  <si>
    <t>Type of Goods Name</t>
  </si>
  <si>
    <t>Current Total Share</t>
  </si>
  <si>
    <t>Overall Factor</t>
  </si>
  <si>
    <t>All-Or-Nothing</t>
  </si>
  <si>
    <t>Fixed Amount</t>
  </si>
  <si>
    <t>Deductible Types</t>
  </si>
  <si>
    <t>Storage Nr</t>
  </si>
  <si>
    <t>Alpha</t>
  </si>
  <si>
    <t>Chosen Deductible</t>
  </si>
  <si>
    <t>Deductible_Parameters</t>
  </si>
  <si>
    <t>Threshold_Factor</t>
  </si>
  <si>
    <t>Premium FGU</t>
  </si>
  <si>
    <t>ReturnPeriod_ThresholdLoss</t>
  </si>
  <si>
    <t>Pareto_Threshold</t>
  </si>
  <si>
    <t>Threshold &gt;= Ded, Alpha != 1</t>
  </si>
  <si>
    <t>Threshold &lt; Ded, Alpha != 1</t>
  </si>
  <si>
    <t>Threshold &gt;= Ded, Alpha = 1</t>
  </si>
  <si>
    <t>Threshold &lt; Ded, Alpha = 1</t>
  </si>
  <si>
    <t>Deductible &amp; Limit, Alpha != 1</t>
  </si>
  <si>
    <t>Chosen</t>
  </si>
  <si>
    <t>Gross With Frequency</t>
  </si>
  <si>
    <t>"Adjusted" Limit for Gross</t>
  </si>
  <si>
    <t>Total Gross</t>
  </si>
  <si>
    <t>MarineDB_HeaderRow</t>
  </si>
  <si>
    <t>lfdNr
(No.)</t>
  </si>
  <si>
    <t>Strasse
(Street)</t>
  </si>
  <si>
    <t>Hausnummer
(No.)</t>
  </si>
  <si>
    <t>GPSB</t>
  </si>
  <si>
    <t>GPSL</t>
  </si>
  <si>
    <t>Quality</t>
  </si>
  <si>
    <t>MarineDB_SheetName</t>
  </si>
  <si>
    <t>RisikoortInfo -  SOV</t>
  </si>
  <si>
    <t>StorageDataTypes</t>
  </si>
  <si>
    <t>MarineDB</t>
  </si>
  <si>
    <t>Total Gross ManMade</t>
  </si>
  <si>
    <t>Total Gross NatCat</t>
  </si>
  <si>
    <t>Year</t>
  </si>
  <si>
    <t>FGU</t>
  </si>
  <si>
    <t>Gross</t>
  </si>
  <si>
    <t>NatCat_YLT_#Years</t>
  </si>
  <si>
    <t>MarineDB_Columns_Origin</t>
  </si>
  <si>
    <t>MarineDB_Columns_InputColumn</t>
  </si>
  <si>
    <t>StorageData_ColumnCount</t>
  </si>
  <si>
    <t xml:space="preserve">Transit </t>
  </si>
  <si>
    <t>Storage_Limit_Input</t>
  </si>
  <si>
    <t>Storage_Limit_Currency</t>
  </si>
  <si>
    <t>XChange_to_EUR</t>
  </si>
  <si>
    <t>Storage_Limit_in_PolCur</t>
  </si>
  <si>
    <t>Relevant Currencies</t>
  </si>
  <si>
    <t>FX_Rate_To_EUR</t>
  </si>
  <si>
    <t>ARGOSImport_Columns</t>
  </si>
  <si>
    <t>ARGOSImport_Columns_InputColumn</t>
  </si>
  <si>
    <t>ARGOSImport_HeaderRow</t>
  </si>
  <si>
    <t>ARGOSImport_SheetName</t>
  </si>
  <si>
    <t>ARGOSImport</t>
  </si>
  <si>
    <t>ARGOSexportv3</t>
  </si>
  <si>
    <t>ARGOSexportv4</t>
  </si>
  <si>
    <t>ARGOSexportv3_Columns</t>
  </si>
  <si>
    <t>ARGOSexportv3_Columns_InputColumn</t>
  </si>
  <si>
    <t>ARGOSexportv3_HeaderRow</t>
  </si>
  <si>
    <t>ARGOSexportv3_SheetName</t>
  </si>
  <si>
    <t>DATA</t>
  </si>
  <si>
    <t>TERROR_ZIPS</t>
  </si>
  <si>
    <t>ARGOSexportv4_Columns</t>
  </si>
  <si>
    <t>ARGOSexportv4_Columns_InputColumn</t>
  </si>
  <si>
    <t>ARGOSexportv4_HeaderRow</t>
  </si>
  <si>
    <t>ARGOSexportv4_SheetName</t>
  </si>
  <si>
    <t>Extra Premium per local policy</t>
  </si>
  <si>
    <t>LoPo-ID</t>
  </si>
  <si>
    <t>Country (optional)</t>
  </si>
  <si>
    <t>% of total Turnover</t>
  </si>
  <si>
    <t>Master</t>
  </si>
  <si>
    <t>Premium:</t>
  </si>
  <si>
    <t>#LoPos:</t>
  </si>
  <si>
    <t>Min Premium for LoPos:</t>
  </si>
  <si>
    <t>Policies</t>
  </si>
  <si>
    <t>Premium based on Turnover</t>
  </si>
  <si>
    <t>Min Premium</t>
  </si>
  <si>
    <t>Difference to turnover based premium</t>
  </si>
  <si>
    <t>Input_parameters</t>
  </si>
  <si>
    <t>Turnover based premium with minimum premium</t>
  </si>
  <si>
    <t>Total Premium "needed"</t>
  </si>
  <si>
    <t>Allocated Premium</t>
  </si>
  <si>
    <t>Premium Reduction</t>
  </si>
  <si>
    <t>Turnover_Share</t>
  </si>
  <si>
    <t>Reaches minimum premium when "total premium needed" is reduced by this amount.</t>
  </si>
  <si>
    <t>Remaining share when policy reaches minimum premium</t>
  </si>
  <si>
    <t>Reduction sorted</t>
  </si>
  <si>
    <t>Actual Reduction from the respective interval</t>
  </si>
  <si>
    <t>Actual Reduction from start until the end of the interval</t>
  </si>
  <si>
    <t>Reduction needed</t>
  </si>
  <si>
    <t>Is in Interval</t>
  </si>
  <si>
    <t>Is % in interval</t>
  </si>
  <si>
    <t>equals reduction input of</t>
  </si>
  <si>
    <t>Reason</t>
  </si>
  <si>
    <t>Discount / Surcharge amount</t>
  </si>
  <si>
    <t>Sublimits</t>
  </si>
  <si>
    <t>Technical Adjustments Reasons</t>
  </si>
  <si>
    <t>Technical Adjustments</t>
  </si>
  <si>
    <t>Technical Adjustment reason</t>
  </si>
  <si>
    <t>Technical Adjustment amount</t>
  </si>
  <si>
    <t>Technical Adjustment Bound</t>
  </si>
  <si>
    <t>Technical Adjustment Amount</t>
  </si>
  <si>
    <t>Single Reason - Lower Bound</t>
  </si>
  <si>
    <t>Single Reason - Upper Bound</t>
  </si>
  <si>
    <t>Combined Reasons - Lower Bound</t>
  </si>
  <si>
    <t>Combined Reasons - Upper Bound</t>
  </si>
  <si>
    <t>Adjustments combined after boundary</t>
  </si>
  <si>
    <t>Adjustments combined before boundary</t>
  </si>
  <si>
    <t>Split not available yet</t>
  </si>
  <si>
    <t>LOCATION_NAME</t>
  </si>
  <si>
    <t>COMPANY_NAME</t>
  </si>
  <si>
    <t>VOLCANO</t>
  </si>
  <si>
    <t>VOLCANO_SCORE</t>
  </si>
  <si>
    <t>STORM_SURGE</t>
  </si>
  <si>
    <t>STORM_SURGE_SCORE</t>
  </si>
  <si>
    <t>LANDSLIDE</t>
  </si>
  <si>
    <t>LANDSLIDE_SCORE</t>
  </si>
  <si>
    <t>HAIL</t>
  </si>
  <si>
    <t>HAIL_SCORE</t>
  </si>
  <si>
    <t>VOLCANIC_ASH</t>
  </si>
  <si>
    <t>VOLCANIC_ASH_SCORE</t>
  </si>
  <si>
    <t>SNOW_LOAD</t>
  </si>
  <si>
    <t>SNOW_LOAD_SCORE</t>
  </si>
  <si>
    <t>WILDFIRE</t>
  </si>
  <si>
    <t>WILDFIRE_SCORE</t>
  </si>
  <si>
    <t>Natcat Score</t>
  </si>
  <si>
    <t># of NatCat Scores</t>
  </si>
  <si>
    <t># Storages</t>
  </si>
  <si>
    <t>TSI</t>
  </si>
  <si>
    <t>Large enough for NatCat surcharge?</t>
  </si>
  <si>
    <t>NatCat Score missing?</t>
  </si>
  <si>
    <t>Total Gross before Adjustments</t>
  </si>
  <si>
    <t>Gross after technical Adjustments</t>
  </si>
  <si>
    <t>Gross including NatCat Score</t>
  </si>
  <si>
    <t>NatCat Adjustment</t>
  </si>
  <si>
    <t>Sublimit</t>
  </si>
  <si>
    <t>Worldwide</t>
  </si>
  <si>
    <t xml:space="preserve">              Purchase / Shipment</t>
  </si>
  <si>
    <t>Geographical Scope detailed View?</t>
  </si>
  <si>
    <t>GeoScope National + Worldwide = 100%?</t>
  </si>
  <si>
    <t>Geographical Scope = 100%?</t>
  </si>
  <si>
    <t>Geographical Scope &lt;&gt; 100% Error Message</t>
  </si>
  <si>
    <t>GeoScope National + Worldwide &lt;&gt; 100% Error Message</t>
  </si>
  <si>
    <t>GeoScope National + Worldwide</t>
  </si>
  <si>
    <t>Show Error Message?</t>
  </si>
  <si>
    <t>Entries in Detailed GeoScope</t>
  </si>
  <si>
    <t>Is Double Entry?</t>
  </si>
  <si>
    <t>Double Entries Error Message</t>
  </si>
  <si>
    <t>Deductible: Fixed amount and/or percentage (with maximum limit)</t>
  </si>
  <si>
    <t>shipped value</t>
  </si>
  <si>
    <t>Priority</t>
  </si>
  <si>
    <t>Exposure</t>
  </si>
  <si>
    <t>Provided?</t>
  </si>
  <si>
    <t>Range Name</t>
  </si>
  <si>
    <t>\selected_turnover_total</t>
  </si>
  <si>
    <t>Any provided?</t>
  </si>
  <si>
    <t>Highest Priority provided?</t>
  </si>
  <si>
    <t>\selected_turnover_cargo</t>
  </si>
  <si>
    <t>\selected_turnover_shipped</t>
  </si>
  <si>
    <t>Exhibitions</t>
  </si>
  <si>
    <t xml:space="preserve">Consequential damage clause </t>
  </si>
  <si>
    <t>Financial loss clause</t>
  </si>
  <si>
    <t>War clause</t>
  </si>
  <si>
    <t>Luggage</t>
  </si>
  <si>
    <t>Cyber clause</t>
  </si>
  <si>
    <t>Pandemic clause</t>
  </si>
  <si>
    <t>Strike and riot</t>
  </si>
  <si>
    <t>Premium Walk</t>
  </si>
  <si>
    <t xml:space="preserve">Please enter the sum of incurred and outstanding claims reserves of the last 3 years (on 100% share) </t>
  </si>
  <si>
    <t>Factor decentral expenses</t>
  </si>
  <si>
    <t>LL Loading ALR-Model</t>
  </si>
  <si>
    <t>Components of the Premium based on ALR &lt;- For Thinksurance</t>
  </si>
  <si>
    <t>Expected Loss Exposure Pricing</t>
  </si>
  <si>
    <t>Entered 3-y Loss Amount</t>
  </si>
  <si>
    <t>3-y Loss amount average</t>
  </si>
  <si>
    <t>Maximum</t>
  </si>
  <si>
    <t>Premium Breakdown:</t>
  </si>
  <si>
    <t>Brokerage:</t>
  </si>
  <si>
    <t>Brokerage mode</t>
  </si>
  <si>
    <t>Brokerage value</t>
  </si>
  <si>
    <t>Highest Priority Exposure Policy Currency</t>
  </si>
  <si>
    <t>Highest Priority Exposure EUR</t>
  </si>
  <si>
    <t>Calculating without IP</t>
  </si>
  <si>
    <t>Calculating with IP</t>
  </si>
  <si>
    <t>Possible Premium Split</t>
  </si>
  <si>
    <t>Type of Transportation available?</t>
  </si>
  <si>
    <t>Turnover of local policy / country</t>
  </si>
  <si>
    <t>Shape</t>
  </si>
  <si>
    <t>Category</t>
  </si>
  <si>
    <t>CB_Exhibitions</t>
  </si>
  <si>
    <t>CB_ConsequentialDamage</t>
  </si>
  <si>
    <t>CB_FinancialLoss</t>
  </si>
  <si>
    <t>CB_War</t>
  </si>
  <si>
    <t>CB_Luggage</t>
  </si>
  <si>
    <t>CB_Cyber</t>
  </si>
  <si>
    <t>CB_Pandemic</t>
  </si>
  <si>
    <t>CB_StrikeAndRiot</t>
  </si>
  <si>
    <t>Country of headquarter</t>
  </si>
  <si>
    <t>\selected_additional_YesNo_Messen</t>
  </si>
  <si>
    <t>\selected_additional_YesNo_Gueterfolge</t>
  </si>
  <si>
    <t>\selected_additional_YesNo_Vermoegen</t>
  </si>
  <si>
    <t>\selected_additional_YesNo_Krieg</t>
  </si>
  <si>
    <t>\selected_additional_YesNo_Luggage</t>
  </si>
  <si>
    <t>\selected_additional_YesNo_Cyber</t>
  </si>
  <si>
    <t>\selected_additional_YesNo_Pandemic</t>
  </si>
  <si>
    <t>\selected_additional_YesNo_Streik</t>
  </si>
  <si>
    <t>Premium Breakdown Maximum:</t>
  </si>
  <si>
    <t>Premium Breakdown Exposure:</t>
  </si>
  <si>
    <t>Assumed historical loss ratio</t>
  </si>
  <si>
    <t>3-y Loss amount average inflation adjusted</t>
  </si>
  <si>
    <t>Inflation for loss amount</t>
  </si>
  <si>
    <r>
      <t xml:space="preserve">It is necessary that you enable macros in order to use this Cargo Tariff Quotation Tool.
Please click on "Enable Content".
</t>
    </r>
    <r>
      <rPr>
        <sz val="14"/>
        <color theme="1"/>
        <rFont val="Calibri"/>
        <family val="2"/>
        <scheme val="minor"/>
      </rPr>
      <t>If there is no yellow bar with the "Enable Content" button, then please go to “File -&gt; Options -&gt; Trust Center -&gt; Trust Center settings... -&gt; Macro Settings -&gt; Disable all macros with notification” and restart CaTa.
If you can't change the macro settings, make sure you have stored the file on your pc and opened it from there (e.g. not opened as an e-mail attachement).</t>
    </r>
  </si>
  <si>
    <t>Aussteuerung Loss Ratio</t>
  </si>
  <si>
    <t>Domestic</t>
  </si>
  <si>
    <t>Discount / Surcharge</t>
  </si>
  <si>
    <t>Total Technical Adjustment currently applied:</t>
  </si>
  <si>
    <t>Adj. Based on User Input</t>
  </si>
  <si>
    <t>Default Share Split</t>
  </si>
  <si>
    <t>Rail</t>
  </si>
  <si>
    <t>Rail (if different)</t>
  </si>
  <si>
    <t>Country FROM</t>
  </si>
  <si>
    <t>Country TO</t>
  </si>
  <si>
    <t>You will get the premium breakdown up to the Technical Premium in the UWWB.</t>
  </si>
  <si>
    <t>V61</t>
  </si>
  <si>
    <t>Loss information</t>
  </si>
  <si>
    <t>Example Clients</t>
  </si>
  <si>
    <t>MidMarket Client (CaTa Light) Yes/No?</t>
  </si>
  <si>
    <t>\selected_conditions_deductible_Air</t>
  </si>
  <si>
    <t>\selected_conditions_deductible_Land</t>
  </si>
  <si>
    <t>\selected_conditions_deductible_Rail</t>
  </si>
  <si>
    <t>\selected_conditions_deductible_Sea</t>
  </si>
  <si>
    <t>\selected_conditions_deductible_temperatureContr</t>
  </si>
  <si>
    <t>\selected_conditions_deductibleAggregat_Air</t>
  </si>
  <si>
    <t>\selected_conditions_deductibleAggregat_Land</t>
  </si>
  <si>
    <t>\selected_conditions_deductibleAggregat_Rail</t>
  </si>
  <si>
    <t>\selected_conditions_deductibleAggregat_Sea</t>
  </si>
  <si>
    <t>\selected_conditions_deductibleAggregat_temperatureContr</t>
  </si>
  <si>
    <t>\selected_conditions_deductibleMax_Air</t>
  </si>
  <si>
    <t>\selected_conditions_deductibleMax_Land</t>
  </si>
  <si>
    <t>\selected_conditions_deductibleMax_Rail</t>
  </si>
  <si>
    <t>\selected_conditions_deductibleMax_Sea</t>
  </si>
  <si>
    <t>\selected_conditions_deductibleMax_temperatureContr</t>
  </si>
  <si>
    <t>\selected_conditions_deductibleProp_Air</t>
  </si>
  <si>
    <t>\selected_conditions_deductibleProp_Land</t>
  </si>
  <si>
    <t>\selected_conditions_deductibleProp_Rail</t>
  </si>
  <si>
    <t>\selected_conditions_deductibleProp_Sea</t>
  </si>
  <si>
    <t>\selected_conditions_deductibleProp_temperatureContr</t>
  </si>
  <si>
    <t>\selected_conditions_limit_Air</t>
  </si>
  <si>
    <t>\selected_conditions_limit_Land</t>
  </si>
  <si>
    <t>\selected_conditions_limit_Rail</t>
  </si>
  <si>
    <t>\selected_conditions_limit_Sea</t>
  </si>
  <si>
    <t>\selected_conditions_limit_temperatureContr</t>
  </si>
  <si>
    <t>\selected_country1_Krieg</t>
  </si>
  <si>
    <t>\selected_country1_Streik</t>
  </si>
  <si>
    <t>\selected_currency</t>
  </si>
  <si>
    <t>\selected_deductible_transportationtype</t>
  </si>
  <si>
    <t>\selected_deductiblemax_transportationtype</t>
  </si>
  <si>
    <t>\selected_deductibleprop_transportationtype</t>
  </si>
  <si>
    <t>\selected_expectedprofit</t>
  </si>
  <si>
    <t>\selected_geoscope_international</t>
  </si>
  <si>
    <t>\selected_geoscope_national</t>
  </si>
  <si>
    <t>\selected_industry</t>
  </si>
  <si>
    <t>\selected_ip_numberLocalPolicies</t>
  </si>
  <si>
    <t>\selected_limit_transportationtype</t>
  </si>
  <si>
    <t>\selected_lossratio</t>
  </si>
  <si>
    <t>\selected_MidMarketNewBusiness</t>
  </si>
  <si>
    <t>\selected_partner</t>
  </si>
  <si>
    <t>\selected_partnerID</t>
  </si>
  <si>
    <t>\selected_riskcountry</t>
  </si>
  <si>
    <t>\selected_subsidiariesflag</t>
  </si>
  <si>
    <t>\selected_transportationtype_Land</t>
  </si>
  <si>
    <t>\selected_transportationtype_perc</t>
  </si>
  <si>
    <t>\selected_transportationtype_Sea</t>
  </si>
  <si>
    <t>\selected_typeofcover1</t>
  </si>
  <si>
    <t>\selected_typeofcover2</t>
  </si>
  <si>
    <t>\selected_typeofgoods_Class3</t>
  </si>
  <si>
    <t>\selected_typeofgoods_Class3_Split</t>
  </si>
  <si>
    <t>\selected_typeofgoods_SClass1</t>
  </si>
  <si>
    <t>\selected_typeofgoods_SClass2</t>
  </si>
  <si>
    <t>\selected_typeofgoods_SClass3</t>
  </si>
  <si>
    <t>\selected_typeofgoods_TClass1</t>
  </si>
  <si>
    <t>\selected_typeofgoods_TClass2</t>
  </si>
  <si>
    <t>\selected_typeofgoods_TClass3</t>
  </si>
  <si>
    <t>\selected_typeofgoods_ThClass2</t>
  </si>
  <si>
    <t>\selected_typeofgoods_ThClass3</t>
  </si>
  <si>
    <t>\showHide_GeoScope_Detail</t>
  </si>
  <si>
    <t>\showHide_MidMarket_1</t>
  </si>
  <si>
    <t>\showHide_MidMarket_2</t>
  </si>
  <si>
    <t>\showHide_MidMarket_3</t>
  </si>
  <si>
    <t>\showHide_TransportationType</t>
  </si>
  <si>
    <t>Input!_FilterDatabase</t>
  </si>
  <si>
    <t>Additional_YesNo</t>
  </si>
  <si>
    <t>Change_Stop</t>
  </si>
  <si>
    <t>Conditions_general</t>
  </si>
  <si>
    <t>GeoEnde</t>
  </si>
  <si>
    <t>geoscope_Error</t>
  </si>
  <si>
    <t>Geoscope_int_Checkc_Sp</t>
  </si>
  <si>
    <t>Geoscope_int_from_1</t>
  </si>
  <si>
    <t>Geoscope_int_from_2</t>
  </si>
  <si>
    <t>Geoscope_int_from_3</t>
  </si>
  <si>
    <t>Geoscope_int_from_4</t>
  </si>
  <si>
    <t>Geoscope_int_from_5</t>
  </si>
  <si>
    <t>Geoscope_int_from_Sp</t>
  </si>
  <si>
    <t>Geoscope_int_LoadDisc_1</t>
  </si>
  <si>
    <t>Geoscope_int_LoadDisc_2</t>
  </si>
  <si>
    <t>Geoscope_int_LoadDisc_3</t>
  </si>
  <si>
    <t>Geoscope_int_LoadDisc_4</t>
  </si>
  <si>
    <t>Geoscope_int_LoadDisc_5</t>
  </si>
  <si>
    <t>Geoscope_int_LoadDisc_Sp</t>
  </si>
  <si>
    <t>Geoscope_int_Split_1</t>
  </si>
  <si>
    <t>Geoscope_int_Split_2</t>
  </si>
  <si>
    <t>Geoscope_int_Split_3</t>
  </si>
  <si>
    <t>Geoscope_int_Split_4</t>
  </si>
  <si>
    <t>Geoscope_int_Split_5</t>
  </si>
  <si>
    <t>Geoscope_int_Split_Sp</t>
  </si>
  <si>
    <t>Geoscope_int_to_1</t>
  </si>
  <si>
    <t>Geoscope_int_to_2</t>
  </si>
  <si>
    <t>Geoscope_int_to_3</t>
  </si>
  <si>
    <t>Geoscope_int_to_4</t>
  </si>
  <si>
    <t>Geoscope_int_to_5</t>
  </si>
  <si>
    <t>Geoscope_int_to_Sp</t>
  </si>
  <si>
    <t>Geoscope_int_Wegerisiko_1</t>
  </si>
  <si>
    <t>Geoscope_int_Wegerisiko_2</t>
  </si>
  <si>
    <t>Geoscope_int_Wegerisiko_3</t>
  </si>
  <si>
    <t>Geoscope_int_Wegerisiko_4</t>
  </si>
  <si>
    <t>Geoscope_int_Wegerisiko_5</t>
  </si>
  <si>
    <t>Geoscope_int_Wegerisiko_Sp</t>
  </si>
  <si>
    <t>helper_strikeAndRiotStopper</t>
  </si>
  <si>
    <t>helper_technicalAdjustmentFirstAdjustment</t>
  </si>
  <si>
    <t>helper_technicalAdjustmentStopper</t>
  </si>
  <si>
    <t>helper_warStopper</t>
  </si>
  <si>
    <t>Input!Print_Area</t>
  </si>
  <si>
    <t>version_number</t>
  </si>
  <si>
    <t>Test Partner</t>
  </si>
  <si>
    <t>P-123-123-123-1</t>
  </si>
  <si>
    <t>V62</t>
  </si>
  <si>
    <t>Technial Adjustments Transit Reasons</t>
  </si>
  <si>
    <t>Annual aggregate limits</t>
  </si>
  <si>
    <t>Risk rating / qualitative assessment (HRC)</t>
  </si>
  <si>
    <t>Tariff adjustment (pilot)</t>
  </si>
  <si>
    <t>Average storage value</t>
  </si>
  <si>
    <t xml:space="preserve">Storage duration </t>
  </si>
  <si>
    <t>Turnover -&gt; Only used for Premium Rate</t>
  </si>
  <si>
    <t>ReturnPeriod_AvgValue</t>
  </si>
  <si>
    <t>Avg Value Quantile</t>
  </si>
  <si>
    <t>Storage_AvgValue_Input</t>
  </si>
  <si>
    <t>Storage_AvgValue_in_PolCur</t>
  </si>
  <si>
    <t>Large Loss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</si>
</sst>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quot;€&quot;* #,##0_);_(&quot;€&quot;* \(#,##0\);_(&quot;€&quot;* &quot;-&quot;_);_(@_)"/>
    <numFmt numFmtId="166" formatCode="_(* #,##0_);_(* \(#,##0\);_(* &quot;-&quot;_);_(@_)"/>
    <numFmt numFmtId="167" formatCode="_(&quot;€&quot;* #,##0.00_);_(&quot;€&quot;* \(#,##0.00\);_(&quot;€&quot;* &quot;-&quot;??_);_(@_)"/>
    <numFmt numFmtId="168" formatCode="0.0"/>
    <numFmt numFmtId="169" formatCode="#,##0\ _€"/>
    <numFmt numFmtId="170" formatCode="0.0000"/>
    <numFmt numFmtId="171" formatCode="#,##0.00_ ;\-#,##0.00\ "/>
    <numFmt numFmtId="172" formatCode="0.000%"/>
    <numFmt numFmtId="173" formatCode="0.0000000000"/>
    <numFmt numFmtId="174" formatCode="_-* #,##0\ _€_-;\-* #,##0\ _€_-;_-* &quot;-&quot;??\ _€_-;_-@_-"/>
    <numFmt numFmtId="175" formatCode="#,##0.0000000000"/>
    <numFmt numFmtId="176" formatCode="_-* #,##0.000\ _€_-;\-* #,##0.000\ _€_-;_-* &quot;-&quot;??\ _€_-;_-@_-"/>
    <numFmt numFmtId="177" formatCode="0.0%"/>
    <numFmt numFmtId="178" formatCode="#,##0_ ;[Red]\-#,##0\ "/>
    <numFmt numFmtId="179" formatCode="#,##0.0%;[Red]\-#,##0.0%"/>
    <numFmt numFmtId="180" formatCode="_-* #,##0.0000000\ _€_-;\-* #,##0.0000000\ _€_-;_-* &quot;-&quot;??\ _€_-;_-@_-"/>
    <numFmt numFmtId="181" formatCode="0.0000E+00"/>
    <numFmt numFmtId="182" formatCode="_-* #,##0.00000\ _€_-;\-* #,##0.00000\ _€_-;_-* &quot;-&quot;??\ _€_-;_-@_-"/>
  </numFmts>
  <fonts count="106" x14ac:knownFonts="1">
    <font>
      <sz val="11"/>
      <name val="Calibri"/>
      <family val="2"/>
      <scheme val="minor"/>
    </font>
    <font>
      <sz val="10"/>
      <color theme="1"/>
      <name val="Arial"/>
      <family val="2"/>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name val="Calibri"/>
      <family val="2"/>
      <scheme val="minor"/>
    </font>
    <font>
      <b/>
      <sz val="11"/>
      <name val="Calibri"/>
      <family val="2"/>
      <scheme val="minor"/>
    </font>
    <font>
      <b/>
      <sz val="11"/>
      <color rgb="FF00B050"/>
      <name val="Calibri"/>
      <family val="2"/>
      <scheme val="minor"/>
    </font>
    <font>
      <i/>
      <sz val="9"/>
      <color theme="1"/>
      <name val="Calibri"/>
      <family val="2"/>
      <scheme val="minor"/>
    </font>
    <font>
      <sz val="11"/>
      <color rgb="FF006100"/>
      <name val="Calibri"/>
      <family val="2"/>
      <scheme val="minor"/>
    </font>
    <font>
      <sz val="11"/>
      <color theme="1"/>
      <name val="Calibri"/>
      <family val="2"/>
    </font>
    <font>
      <u/>
      <sz val="11"/>
      <color theme="1"/>
      <name val="Calibri"/>
      <family val="2"/>
      <scheme val="minor"/>
    </font>
    <font>
      <sz val="8"/>
      <color indexed="81"/>
      <name val="Tahoma"/>
      <family val="2"/>
    </font>
    <font>
      <b/>
      <sz val="8"/>
      <color indexed="81"/>
      <name val="Tahoma"/>
      <family val="2"/>
    </font>
    <font>
      <sz val="18"/>
      <color theme="3"/>
      <name val="Cambria"/>
      <family val="2"/>
      <scheme val="major"/>
    </font>
    <font>
      <b/>
      <sz val="15"/>
      <color theme="3"/>
      <name val="Arial"/>
      <family val="2"/>
    </font>
    <font>
      <b/>
      <sz val="13"/>
      <color theme="3"/>
      <name val="Arial"/>
      <family val="2"/>
    </font>
    <font>
      <b/>
      <sz val="11"/>
      <color theme="3"/>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b/>
      <sz val="11"/>
      <color rgb="FF000000"/>
      <name val="Calibri"/>
      <family val="2"/>
      <scheme val="minor"/>
    </font>
    <font>
      <sz val="10"/>
      <name val="Calibri"/>
      <family val="2"/>
      <scheme val="minor"/>
    </font>
    <font>
      <sz val="9"/>
      <color indexed="81"/>
      <name val="Segoe UI"/>
      <family val="2"/>
    </font>
    <font>
      <sz val="11"/>
      <color rgb="FFCC00CC"/>
      <name val="Calibri"/>
      <family val="2"/>
      <scheme val="minor"/>
    </font>
    <font>
      <sz val="11"/>
      <name val="Calibri"/>
      <family val="2"/>
    </font>
    <font>
      <i/>
      <sz val="11"/>
      <name val="Calibri"/>
      <family val="2"/>
      <scheme val="minor"/>
    </font>
    <font>
      <i/>
      <sz val="11"/>
      <color rgb="FFFF0000"/>
      <name val="Calibri"/>
      <family val="2"/>
      <scheme val="minor"/>
    </font>
    <font>
      <b/>
      <sz val="12"/>
      <color theme="0"/>
      <name val="Calibri"/>
      <family val="2"/>
      <scheme val="minor"/>
    </font>
    <font>
      <sz val="8"/>
      <name val="Calibri"/>
      <family val="2"/>
      <scheme val="minor"/>
    </font>
    <font>
      <sz val="8"/>
      <color theme="1"/>
      <name val="Calibri"/>
      <family val="2"/>
    </font>
    <font>
      <b/>
      <sz val="11"/>
      <color rgb="FFFF0000"/>
      <name val="Calibri"/>
      <family val="2"/>
      <scheme val="minor"/>
    </font>
    <font>
      <sz val="11"/>
      <color rgb="FF000000"/>
      <name val="Calibri"/>
      <family val="2"/>
      <scheme val="minor"/>
    </font>
    <font>
      <b/>
      <sz val="10"/>
      <color rgb="FF0091FF"/>
      <name val="Calibri"/>
      <family val="2"/>
      <scheme val="minor"/>
    </font>
    <font>
      <b/>
      <sz val="10"/>
      <color rgb="FF0000FF"/>
      <name val="Calibri"/>
      <family val="2"/>
      <scheme val="minor"/>
    </font>
    <font>
      <b/>
      <sz val="18"/>
      <color rgb="FF008000"/>
      <name val="Calibri"/>
      <family val="2"/>
      <scheme val="minor"/>
    </font>
    <font>
      <sz val="10"/>
      <color rgb="FF00CCFF"/>
      <name val="Arial Black"/>
      <family val="2"/>
    </font>
    <font>
      <sz val="10"/>
      <color rgb="FF000000"/>
      <name val="Arial"/>
      <family val="2"/>
    </font>
    <font>
      <b/>
      <sz val="17"/>
      <color rgb="FF008000"/>
      <name val="Calibri"/>
      <family val="2"/>
      <scheme val="minor"/>
    </font>
    <font>
      <b/>
      <sz val="17"/>
      <color rgb="FF0091FF"/>
      <name val="Calibri"/>
      <family val="2"/>
      <scheme val="minor"/>
    </font>
    <font>
      <b/>
      <sz val="17"/>
      <color rgb="FFFF0000"/>
      <name val="Calibri"/>
      <family val="2"/>
    </font>
    <font>
      <sz val="9"/>
      <color rgb="FF000000"/>
      <name val="Calibri"/>
      <family val="2"/>
      <scheme val="minor"/>
    </font>
    <font>
      <b/>
      <sz val="12"/>
      <color rgb="FFFF0000"/>
      <name val="Calibri"/>
      <family val="2"/>
      <scheme val="minor"/>
    </font>
    <font>
      <i/>
      <sz val="10"/>
      <color rgb="FFFF0000"/>
      <name val="Calibri"/>
      <family val="2"/>
      <scheme val="minor"/>
    </font>
    <font>
      <sz val="10"/>
      <name val="Arial"/>
      <family val="2"/>
    </font>
    <font>
      <sz val="9"/>
      <name val="Calibri"/>
      <family val="2"/>
      <scheme val="minor"/>
    </font>
    <font>
      <sz val="9"/>
      <color theme="3" tint="-0.249977111117893"/>
      <name val="Calibri"/>
      <family val="2"/>
      <scheme val="minor"/>
    </font>
    <font>
      <sz val="9"/>
      <color rgb="FF00B050"/>
      <name val="Calibri"/>
      <family val="2"/>
      <scheme val="minor"/>
    </font>
    <font>
      <sz val="9"/>
      <color rgb="FFFF0000"/>
      <name val="Calibri"/>
      <family val="2"/>
      <scheme val="minor"/>
    </font>
    <font>
      <b/>
      <sz val="11.5"/>
      <color rgb="FFFF0000"/>
      <name val="Calibri"/>
      <family val="2"/>
      <scheme val="minor"/>
    </font>
    <font>
      <sz val="11.5"/>
      <name val="Calibri"/>
      <family val="2"/>
      <scheme val="minor"/>
    </font>
    <font>
      <b/>
      <sz val="9"/>
      <name val="Calibri"/>
      <family val="2"/>
      <scheme val="minor"/>
    </font>
    <font>
      <b/>
      <sz val="9"/>
      <color theme="1"/>
      <name val="Arial"/>
      <family val="2"/>
    </font>
    <font>
      <sz val="9"/>
      <color theme="1"/>
      <name val="Arial"/>
      <family val="2"/>
    </font>
    <font>
      <sz val="9"/>
      <color rgb="FF0000FF"/>
      <name val="Arial"/>
      <family val="2"/>
    </font>
    <font>
      <sz val="9"/>
      <color rgb="FFFFFF00"/>
      <name val="Calibri"/>
      <family val="2"/>
      <scheme val="minor"/>
    </font>
    <font>
      <b/>
      <sz val="9"/>
      <color theme="0"/>
      <name val="Calibri"/>
      <family val="2"/>
      <scheme val="minor"/>
    </font>
    <font>
      <b/>
      <sz val="9"/>
      <color rgb="FF000000"/>
      <name val="Calibri"/>
      <family val="2"/>
      <scheme val="minor"/>
    </font>
    <font>
      <b/>
      <sz val="9"/>
      <color theme="1"/>
      <name val="Calibri"/>
      <family val="2"/>
      <scheme val="minor"/>
    </font>
    <font>
      <sz val="9"/>
      <color theme="4" tint="0.79998168889431442"/>
      <name val="Calibri"/>
      <family val="2"/>
      <scheme val="minor"/>
    </font>
    <font>
      <b/>
      <sz val="9"/>
      <color rgb="FFFF0000"/>
      <name val="Calibri"/>
      <family val="2"/>
      <scheme val="minor"/>
    </font>
    <font>
      <u/>
      <sz val="9"/>
      <color rgb="FFFF0000"/>
      <name val="Calibri"/>
      <family val="2"/>
      <scheme val="minor"/>
    </font>
    <font>
      <sz val="9"/>
      <name val="Britannic Bold"/>
      <family val="2"/>
    </font>
    <font>
      <sz val="4"/>
      <color theme="0" tint="-0.249977111117893"/>
      <name val="Calibri"/>
      <family val="2"/>
      <scheme val="minor"/>
    </font>
    <font>
      <sz val="20"/>
      <name val="Calibri"/>
      <family val="2"/>
      <scheme val="minor"/>
    </font>
    <font>
      <b/>
      <sz val="12"/>
      <name val="Calibri"/>
      <family val="2"/>
      <scheme val="minor"/>
    </font>
    <font>
      <b/>
      <sz val="18"/>
      <name val="Calibri"/>
      <family val="2"/>
      <scheme val="minor"/>
    </font>
    <font>
      <b/>
      <sz val="24"/>
      <name val="Calibri"/>
      <family val="2"/>
      <scheme val="minor"/>
    </font>
    <font>
      <b/>
      <sz val="36"/>
      <name val="Calibri"/>
      <family val="2"/>
      <scheme val="minor"/>
    </font>
    <font>
      <b/>
      <sz val="11"/>
      <color rgb="FFFFFFFF"/>
      <name val="Calibri"/>
      <family val="2"/>
      <scheme val="minor"/>
    </font>
    <font>
      <b/>
      <sz val="9"/>
      <color rgb="FFFFFFFF"/>
      <name val="Calibri"/>
      <family val="2"/>
      <scheme val="minor"/>
    </font>
    <font>
      <sz val="9"/>
      <color rgb="FF0091FF"/>
      <name val="Calibri"/>
      <family val="2"/>
      <scheme val="minor"/>
    </font>
    <font>
      <sz val="10"/>
      <name val="Calibri"/>
      <family val="2"/>
    </font>
    <font>
      <sz val="9"/>
      <color theme="1"/>
      <name val="Calibri"/>
      <family val="2"/>
      <scheme val="minor"/>
    </font>
    <font>
      <b/>
      <sz val="14"/>
      <color rgb="FF0000FF"/>
      <name val="Calibri"/>
      <family val="2"/>
    </font>
    <font>
      <b/>
      <sz val="14"/>
      <color rgb="FF009900"/>
      <name val="Calibri"/>
      <family val="2"/>
    </font>
    <font>
      <b/>
      <sz val="14"/>
      <color rgb="FFFF0000"/>
      <name val="Calibri"/>
      <family val="2"/>
    </font>
    <font>
      <b/>
      <sz val="11"/>
      <color rgb="FFFF0000"/>
      <name val="Calibri"/>
      <family val="2"/>
    </font>
    <font>
      <sz val="11"/>
      <color rgb="FFFF0000"/>
      <name val="Calibri"/>
      <family val="2"/>
    </font>
    <font>
      <b/>
      <sz val="10"/>
      <color rgb="FF0000FF"/>
      <name val="Calibri"/>
      <family val="2"/>
    </font>
    <font>
      <b/>
      <sz val="9"/>
      <name val="Calibri"/>
      <family val="2"/>
    </font>
    <font>
      <sz val="9"/>
      <name val="Calibri"/>
      <family val="2"/>
    </font>
    <font>
      <b/>
      <sz val="9"/>
      <color rgb="FF0066FF"/>
      <name val="Calibri"/>
      <family val="2"/>
      <scheme val="minor"/>
    </font>
    <font>
      <b/>
      <sz val="9"/>
      <color rgb="FFFF0000"/>
      <name val="Calibri"/>
      <family val="2"/>
    </font>
    <font>
      <sz val="9"/>
      <color rgb="FF0066FF"/>
      <name val="Calibri"/>
      <family val="2"/>
      <scheme val="minor"/>
    </font>
    <font>
      <sz val="8"/>
      <name val="Arial"/>
      <family val="2"/>
    </font>
    <font>
      <sz val="10"/>
      <color indexed="81"/>
      <name val="Tahoma"/>
      <family val="2"/>
    </font>
    <font>
      <b/>
      <sz val="22"/>
      <name val="Calibri"/>
      <family val="2"/>
      <scheme val="minor"/>
    </font>
    <font>
      <sz val="24"/>
      <color rgb="FF000000"/>
      <name val="Calibri"/>
      <family val="2"/>
    </font>
    <font>
      <sz val="11"/>
      <color rgb="FF000000"/>
      <name val="Calibri"/>
      <family val="2"/>
    </font>
    <font>
      <sz val="8"/>
      <color rgb="FF000000"/>
      <name val="Segoe UI"/>
      <family val="2"/>
    </font>
    <font>
      <sz val="9"/>
      <color indexed="81"/>
      <name val="Tahoma"/>
      <family val="2"/>
    </font>
    <font>
      <b/>
      <sz val="9"/>
      <color indexed="81"/>
      <name val="Tahoma"/>
      <family val="2"/>
    </font>
    <font>
      <sz val="36"/>
      <color rgb="FFFF0000"/>
      <name val="Calibri"/>
      <family val="2"/>
      <scheme val="minor"/>
    </font>
    <font>
      <sz val="20"/>
      <color theme="1"/>
      <name val="Calibri"/>
      <family val="2"/>
      <scheme val="minor"/>
    </font>
    <font>
      <sz val="14"/>
      <color theme="1"/>
      <name val="Calibri"/>
      <family val="2"/>
      <scheme val="minor"/>
    </font>
    <font>
      <sz val="48"/>
      <name val="Calibri"/>
      <family val="2"/>
      <scheme val="minor"/>
    </font>
  </fonts>
  <fills count="9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EB"/>
        <bgColor indexed="64"/>
      </patternFill>
    </fill>
    <fill>
      <patternFill patternType="solid">
        <fgColor rgb="FFF0E6B4"/>
        <bgColor indexed="64"/>
      </patternFill>
    </fill>
    <fill>
      <patternFill patternType="solid">
        <fgColor rgb="FFF5FFD9"/>
        <bgColor indexed="64"/>
      </patternFill>
    </fill>
    <fill>
      <patternFill patternType="solid">
        <fgColor rgb="FFDCF5FF"/>
        <bgColor indexed="64"/>
      </patternFill>
    </fill>
    <fill>
      <patternFill patternType="solid">
        <fgColor rgb="FFCDFFFF"/>
        <bgColor indexed="64"/>
      </patternFill>
    </fill>
    <fill>
      <patternFill patternType="solid">
        <fgColor rgb="FFCDFFE1"/>
        <bgColor indexed="64"/>
      </patternFill>
    </fill>
    <fill>
      <patternFill patternType="solid">
        <fgColor rgb="FFDCE6F0"/>
        <bgColor indexed="64"/>
      </patternFill>
    </fill>
    <fill>
      <patternFill patternType="solid">
        <fgColor rgb="FFFFFF00"/>
        <bgColor indexed="64"/>
      </patternFill>
    </fill>
    <fill>
      <patternFill patternType="solid">
        <fgColor rgb="FF008000"/>
        <bgColor indexed="64"/>
      </patternFill>
    </fill>
    <fill>
      <patternFill patternType="solid">
        <fgColor rgb="FF92D050"/>
        <bgColor indexed="64"/>
      </patternFill>
    </fill>
    <fill>
      <gradientFill>
        <stop position="0">
          <color rgb="FFFFEBEB"/>
        </stop>
        <stop position="0.5">
          <color theme="8" tint="0.59999389629810485"/>
        </stop>
        <stop position="1">
          <color rgb="FFFFEBEB"/>
        </stop>
      </gradientFill>
    </fill>
    <fill>
      <patternFill patternType="solid">
        <fgColor rgb="FFFF0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AFAF"/>
        <bgColor indexed="64"/>
      </patternFill>
    </fill>
    <fill>
      <patternFill patternType="solid">
        <fgColor rgb="FF9FE5CA"/>
        <bgColor indexed="64"/>
      </patternFill>
    </fill>
    <fill>
      <patternFill patternType="solid">
        <fgColor rgb="FFFFFCCE"/>
        <bgColor indexed="64"/>
      </patternFill>
    </fill>
    <fill>
      <patternFill patternType="solid">
        <fgColor rgb="FFDEFFBD"/>
        <bgColor indexed="64"/>
      </patternFill>
    </fill>
    <fill>
      <patternFill patternType="solid">
        <fgColor theme="9" tint="0.79998168889431442"/>
        <bgColor indexed="64"/>
      </patternFill>
    </fill>
    <fill>
      <patternFill patternType="solid">
        <fgColor indexed="22"/>
      </patternFill>
    </fill>
    <fill>
      <patternFill patternType="solid">
        <fgColor theme="7" tint="0.79998168889431442"/>
        <bgColor indexed="64"/>
      </patternFill>
    </fill>
    <fill>
      <patternFill patternType="solid">
        <fgColor rgb="FF996633"/>
        <bgColor indexed="64"/>
      </patternFill>
    </fill>
    <fill>
      <patternFill patternType="solid">
        <fgColor rgb="FFCCFF33"/>
        <bgColor auto="1"/>
      </patternFill>
    </fill>
    <fill>
      <patternFill patternType="solid">
        <fgColor rgb="FF00FFFF"/>
        <bgColor auto="1"/>
      </patternFill>
    </fill>
    <fill>
      <patternFill patternType="solid">
        <fgColor theme="8" tint="-0.249977111117893"/>
        <bgColor indexed="64"/>
      </patternFill>
    </fill>
    <fill>
      <patternFill patternType="solid">
        <fgColor theme="8" tint="0.59999389629810485"/>
        <bgColor auto="1"/>
      </patternFill>
    </fill>
    <fill>
      <patternFill patternType="solid">
        <fgColor rgb="FF0070C0"/>
        <bgColor indexed="64"/>
      </patternFill>
    </fill>
    <fill>
      <patternFill patternType="solid">
        <fgColor indexed="65"/>
        <bgColor indexed="64"/>
      </patternFill>
    </fill>
    <fill>
      <patternFill patternType="solid">
        <fgColor rgb="FFFFEBEB"/>
        <bgColor rgb="FFFF0000"/>
      </patternFill>
    </fill>
    <fill>
      <patternFill patternType="solid">
        <fgColor rgb="FFF0E6B4"/>
        <bgColor rgb="FFFF0000"/>
      </patternFill>
    </fill>
    <fill>
      <patternFill patternType="solid">
        <fgColor rgb="FFFFAFAF"/>
        <bgColor rgb="FFFF0000"/>
      </patternFill>
    </fill>
    <fill>
      <patternFill patternType="solid">
        <fgColor rgb="FFDCE6F0"/>
        <bgColor rgb="FFFF0000"/>
      </patternFill>
    </fill>
    <fill>
      <patternFill patternType="solid">
        <fgColor rgb="FFFFEBEB"/>
        <bgColor rgb="FF0000FF"/>
      </patternFill>
    </fill>
    <fill>
      <patternFill patternType="solid">
        <fgColor rgb="FFFFAFAF"/>
        <bgColor rgb="FF0000FF"/>
      </patternFill>
    </fill>
    <fill>
      <patternFill patternType="solid">
        <fgColor indexed="65"/>
        <bgColor rgb="FFFF0000"/>
      </patternFill>
    </fill>
    <fill>
      <patternFill patternType="solid">
        <fgColor indexed="65"/>
        <bgColor rgb="FF0000FF"/>
      </patternFill>
    </fill>
    <fill>
      <patternFill patternType="solid">
        <fgColor rgb="FFDCF5FF"/>
        <bgColor rgb="FF66FFFF"/>
      </patternFill>
    </fill>
    <fill>
      <patternFill patternType="solid">
        <fgColor theme="5" tint="0.39997558519241921"/>
        <bgColor rgb="FF0000FF"/>
      </patternFill>
    </fill>
    <fill>
      <patternFill patternType="solid">
        <fgColor theme="2" tint="-9.9978637043366805E-2"/>
        <bgColor rgb="FF66FFFF"/>
      </patternFill>
    </fill>
    <fill>
      <patternFill patternType="solid">
        <fgColor theme="0"/>
        <bgColor rgb="FF0000FF"/>
      </patternFill>
    </fill>
    <fill>
      <patternFill patternType="solid">
        <fgColor theme="4" tint="0.79998168889431442"/>
        <bgColor indexed="64"/>
      </patternFill>
    </fill>
    <fill>
      <patternFill patternType="solid">
        <fgColor theme="4" tint="0.79998168889431442"/>
        <bgColor rgb="FFFF0000"/>
      </patternFill>
    </fill>
    <fill>
      <patternFill patternType="solid">
        <fgColor theme="6"/>
        <bgColor rgb="FF0000FF"/>
      </patternFill>
    </fill>
    <fill>
      <patternFill patternType="solid">
        <fgColor theme="5"/>
        <bgColor rgb="FF0000FF"/>
      </patternFill>
    </fill>
    <fill>
      <patternFill patternType="solid">
        <fgColor theme="1" tint="0.249977111117893"/>
        <bgColor indexed="64"/>
      </patternFill>
    </fill>
    <fill>
      <patternFill patternType="solid">
        <fgColor theme="5"/>
        <bgColor indexed="64"/>
      </patternFill>
    </fill>
    <fill>
      <patternFill patternType="solid">
        <fgColor theme="6"/>
        <bgColor indexed="64"/>
      </patternFill>
    </fill>
    <fill>
      <patternFill patternType="solid">
        <fgColor theme="8"/>
        <bgColor rgb="FFFF0000"/>
      </patternFill>
    </fill>
    <fill>
      <patternFill patternType="solid">
        <fgColor rgb="FF92D050"/>
        <bgColor rgb="FFFF0000"/>
      </patternFill>
    </fill>
    <fill>
      <patternFill patternType="solid">
        <fgColor rgb="FF006729"/>
        <bgColor indexed="64"/>
      </patternFill>
    </fill>
    <fill>
      <patternFill patternType="solid">
        <fgColor rgb="FFD7EFB6"/>
        <bgColor indexed="64"/>
      </patternFill>
    </fill>
    <fill>
      <patternFill patternType="solid">
        <fgColor rgb="FFCCECFF"/>
        <bgColor indexed="64"/>
      </patternFill>
    </fill>
    <fill>
      <patternFill patternType="solid">
        <fgColor rgb="FFFFE1E1"/>
        <bgColor indexed="64"/>
      </patternFill>
    </fill>
    <fill>
      <patternFill patternType="solid">
        <fgColor rgb="FFCAFE96"/>
        <bgColor indexed="64"/>
      </patternFill>
    </fill>
    <fill>
      <patternFill patternType="solid">
        <fgColor theme="8" tint="0.39997558519241921"/>
        <bgColor indexed="64"/>
      </patternFill>
    </fill>
    <fill>
      <patternFill patternType="solid">
        <fgColor indexed="24"/>
        <bgColor indexed="64"/>
      </patternFill>
    </fill>
    <fill>
      <patternFill patternType="solid">
        <fgColor indexed="22"/>
        <bgColor indexed="64"/>
      </patternFill>
    </fill>
    <fill>
      <patternFill patternType="solid">
        <fgColor theme="2"/>
        <bgColor indexed="64"/>
      </patternFill>
    </fill>
    <fill>
      <patternFill patternType="solid">
        <fgColor theme="5" tint="0.39997558519241921"/>
        <bgColor indexed="64"/>
      </patternFill>
    </fill>
  </fills>
  <borders count="20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FAFAF"/>
      </left>
      <right style="thin">
        <color rgb="FFAFAFAF"/>
      </right>
      <top style="thin">
        <color rgb="FFAFAFAF"/>
      </top>
      <bottom style="thin">
        <color rgb="FFAFAFAF"/>
      </bottom>
      <diagonal/>
    </border>
    <border>
      <left style="thin">
        <color rgb="FFAFAFAF"/>
      </left>
      <right/>
      <top/>
      <bottom/>
      <diagonal/>
    </border>
    <border>
      <left style="thin">
        <color rgb="FFAFAFAF"/>
      </left>
      <right/>
      <top style="thin">
        <color rgb="FFAFAFAF"/>
      </top>
      <bottom/>
      <diagonal/>
    </border>
    <border>
      <left style="thin">
        <color rgb="FFAFAFAF"/>
      </left>
      <right/>
      <top style="thin">
        <color rgb="FFAFAFAF"/>
      </top>
      <bottom style="thin">
        <color rgb="FFAFAFAF"/>
      </bottom>
      <diagonal/>
    </border>
    <border>
      <left style="thin">
        <color rgb="FFAFAFAF"/>
      </left>
      <right style="thin">
        <color indexed="64"/>
      </right>
      <top/>
      <bottom style="thin">
        <color rgb="FFAFAFAF"/>
      </bottom>
      <diagonal/>
    </border>
    <border>
      <left style="thin">
        <color rgb="FFAFAFAF"/>
      </left>
      <right style="thin">
        <color rgb="FFAFAFAF"/>
      </right>
      <top style="thin">
        <color rgb="FFAFAFAF"/>
      </top>
      <bottom/>
      <diagonal/>
    </border>
    <border>
      <left style="thin">
        <color rgb="FFAFAFAF"/>
      </left>
      <right style="thin">
        <color rgb="FFAFAFAF"/>
      </right>
      <top/>
      <bottom/>
      <diagonal/>
    </border>
    <border>
      <left style="thin">
        <color rgb="FFAFAFAF"/>
      </left>
      <right style="thin">
        <color rgb="FFAFAFAF"/>
      </right>
      <top/>
      <bottom style="thin">
        <color rgb="FFAFAFAF"/>
      </bottom>
      <diagonal/>
    </border>
    <border>
      <left style="thin">
        <color rgb="FFAFAFAF"/>
      </left>
      <right style="thin">
        <color rgb="FFAFAFAF"/>
      </right>
      <top style="thin">
        <color rgb="FFAFAFAF"/>
      </top>
      <bottom style="thin">
        <color indexed="64"/>
      </bottom>
      <diagonal/>
    </border>
    <border>
      <left style="thin">
        <color rgb="FFAFAFAF"/>
      </left>
      <right style="thin">
        <color rgb="FFAFAFAF"/>
      </right>
      <top style="thin">
        <color indexed="64"/>
      </top>
      <bottom style="thin">
        <color rgb="FFAFAFAF"/>
      </bottom>
      <diagonal/>
    </border>
    <border>
      <left style="thick">
        <color rgb="FF0091FF"/>
      </left>
      <right style="thick">
        <color rgb="FF0091FF"/>
      </right>
      <top style="thick">
        <color rgb="FF0091FF"/>
      </top>
      <bottom/>
      <diagonal/>
    </border>
    <border>
      <left style="thick">
        <color rgb="FF0091FF"/>
      </left>
      <right style="thick">
        <color rgb="FF0091FF"/>
      </right>
      <top style="thick">
        <color rgb="FF0091FF"/>
      </top>
      <bottom style="thin">
        <color rgb="FF0091FF"/>
      </bottom>
      <diagonal/>
    </border>
    <border>
      <left style="thick">
        <color rgb="FF0091FF"/>
      </left>
      <right style="thick">
        <color rgb="FF0091FF"/>
      </right>
      <top style="thin">
        <color rgb="FF0091FF"/>
      </top>
      <bottom style="thin">
        <color rgb="FF0091FF"/>
      </bottom>
      <diagonal/>
    </border>
    <border>
      <left style="thick">
        <color rgb="FF0091FF"/>
      </left>
      <right style="thick">
        <color rgb="FF0091FF"/>
      </right>
      <top style="thin">
        <color rgb="FF0091FF"/>
      </top>
      <bottom style="thick">
        <color rgb="FF0091FF"/>
      </bottom>
      <diagonal/>
    </border>
    <border>
      <left/>
      <right style="thin">
        <color rgb="FFAFAFAF"/>
      </right>
      <top/>
      <bottom/>
      <diagonal/>
    </border>
    <border>
      <left style="thin">
        <color rgb="FFAFAFAF"/>
      </left>
      <right style="thin">
        <color indexed="64"/>
      </right>
      <top style="thin">
        <color rgb="FFAFAFAF"/>
      </top>
      <bottom style="thin">
        <color rgb="FFAFAFAF"/>
      </bottom>
      <diagonal/>
    </border>
    <border>
      <left/>
      <right/>
      <top style="thin">
        <color rgb="FFAFAFAF"/>
      </top>
      <bottom/>
      <diagonal/>
    </border>
    <border>
      <left style="thick">
        <color rgb="FFCC00CC"/>
      </left>
      <right style="thin">
        <color indexed="64"/>
      </right>
      <top style="thick">
        <color rgb="FFCC00CC"/>
      </top>
      <bottom style="thin">
        <color indexed="64"/>
      </bottom>
      <diagonal/>
    </border>
    <border>
      <left style="thin">
        <color indexed="64"/>
      </left>
      <right style="thin">
        <color indexed="64"/>
      </right>
      <top style="thick">
        <color rgb="FFCC00CC"/>
      </top>
      <bottom style="thin">
        <color indexed="64"/>
      </bottom>
      <diagonal/>
    </border>
    <border>
      <left style="thin">
        <color indexed="64"/>
      </left>
      <right style="thick">
        <color rgb="FFCC00CC"/>
      </right>
      <top style="thick">
        <color rgb="FFCC00CC"/>
      </top>
      <bottom style="thin">
        <color indexed="64"/>
      </bottom>
      <diagonal/>
    </border>
    <border>
      <left style="thick">
        <color rgb="FFCC00CC"/>
      </left>
      <right style="thin">
        <color indexed="64"/>
      </right>
      <top style="thin">
        <color indexed="64"/>
      </top>
      <bottom style="thin">
        <color indexed="64"/>
      </bottom>
      <diagonal/>
    </border>
    <border>
      <left style="thin">
        <color indexed="64"/>
      </left>
      <right style="thick">
        <color rgb="FFCC00CC"/>
      </right>
      <top style="thin">
        <color indexed="64"/>
      </top>
      <bottom style="thin">
        <color indexed="64"/>
      </bottom>
      <diagonal/>
    </border>
    <border>
      <left style="thick">
        <color rgb="FFCC00CC"/>
      </left>
      <right style="thin">
        <color indexed="64"/>
      </right>
      <top style="thin">
        <color indexed="64"/>
      </top>
      <bottom style="thick">
        <color rgb="FFCC00CC"/>
      </bottom>
      <diagonal/>
    </border>
    <border>
      <left style="thin">
        <color indexed="64"/>
      </left>
      <right style="thin">
        <color indexed="64"/>
      </right>
      <top style="thin">
        <color indexed="64"/>
      </top>
      <bottom style="thick">
        <color rgb="FFCC00CC"/>
      </bottom>
      <diagonal/>
    </border>
    <border>
      <left style="thin">
        <color indexed="64"/>
      </left>
      <right style="thick">
        <color rgb="FFCC00CC"/>
      </right>
      <top style="thin">
        <color indexed="64"/>
      </top>
      <bottom style="thick">
        <color rgb="FFCC00CC"/>
      </bottom>
      <diagonal/>
    </border>
    <border>
      <left/>
      <right/>
      <top/>
      <bottom style="thin">
        <color rgb="FFAFAFAF"/>
      </bottom>
      <diagonal/>
    </border>
    <border>
      <left/>
      <right/>
      <top style="thin">
        <color rgb="FFAFAFAF"/>
      </top>
      <bottom style="thin">
        <color rgb="FFAFAFAF"/>
      </bottom>
      <diagonal/>
    </border>
    <border>
      <left style="thin">
        <color indexed="64"/>
      </left>
      <right style="thin">
        <color rgb="FFAFAFAF"/>
      </right>
      <top style="thin">
        <color indexed="64"/>
      </top>
      <bottom style="thin">
        <color rgb="FFAFAFAF"/>
      </bottom>
      <diagonal/>
    </border>
    <border>
      <left style="thin">
        <color rgb="FFAFAFAF"/>
      </left>
      <right style="thin">
        <color indexed="64"/>
      </right>
      <top style="thin">
        <color indexed="64"/>
      </top>
      <bottom style="thin">
        <color rgb="FFAFAFAF"/>
      </bottom>
      <diagonal/>
    </border>
    <border>
      <left style="thin">
        <color indexed="64"/>
      </left>
      <right style="thin">
        <color rgb="FFAFAFAF"/>
      </right>
      <top style="thin">
        <color rgb="FFAFAFAF"/>
      </top>
      <bottom style="thin">
        <color rgb="FFAFAFAF"/>
      </bottom>
      <diagonal/>
    </border>
    <border>
      <left style="thin">
        <color indexed="64"/>
      </left>
      <right style="thin">
        <color rgb="FFAFAFAF"/>
      </right>
      <top style="thin">
        <color rgb="FFAFAFAF"/>
      </top>
      <bottom style="thin">
        <color indexed="64"/>
      </bottom>
      <diagonal/>
    </border>
    <border>
      <left style="thin">
        <color rgb="FFAFAFAF"/>
      </left>
      <right style="thin">
        <color indexed="64"/>
      </right>
      <top style="thin">
        <color rgb="FFAFAFAF"/>
      </top>
      <bottom style="thin">
        <color indexed="64"/>
      </bottom>
      <diagonal/>
    </border>
    <border>
      <left style="medium">
        <color indexed="64"/>
      </left>
      <right/>
      <top/>
      <bottom/>
      <diagonal/>
    </border>
    <border>
      <left style="medium">
        <color indexed="64"/>
      </left>
      <right style="medium">
        <color indexed="64"/>
      </right>
      <top/>
      <bottom style="medium">
        <color indexed="64"/>
      </bottom>
      <diagonal/>
    </border>
    <border>
      <left style="thick">
        <color rgb="FF0091FF"/>
      </left>
      <right style="thick">
        <color rgb="FF0091FF"/>
      </right>
      <top/>
      <bottom style="thin">
        <color rgb="FF0091FF"/>
      </bottom>
      <diagonal/>
    </border>
    <border>
      <left style="medium">
        <color indexed="64"/>
      </left>
      <right/>
      <top/>
      <bottom style="medium">
        <color indexed="64"/>
      </bottom>
      <diagonal/>
    </border>
    <border>
      <left/>
      <right style="thin">
        <color rgb="FFAFAFAF"/>
      </right>
      <top/>
      <bottom style="thin">
        <color rgb="FFAFAFAF"/>
      </bottom>
      <diagonal/>
    </border>
    <border>
      <left style="medium">
        <color indexed="64"/>
      </left>
      <right style="thin">
        <color rgb="FFAFAFAF"/>
      </right>
      <top style="thin">
        <color indexed="64"/>
      </top>
      <bottom/>
      <diagonal/>
    </border>
    <border>
      <left style="thin">
        <color rgb="FFAFAFAF"/>
      </left>
      <right style="thin">
        <color rgb="FFAFAFAF"/>
      </right>
      <top style="thin">
        <color indexed="64"/>
      </top>
      <bottom/>
      <diagonal/>
    </border>
    <border>
      <left style="thin">
        <color rgb="FFAFAFAF"/>
      </left>
      <right style="medium">
        <color indexed="64"/>
      </right>
      <top style="thin">
        <color rgb="FFAFAFAF"/>
      </top>
      <bottom style="thin">
        <color rgb="FFAFAFAF"/>
      </bottom>
      <diagonal/>
    </border>
    <border>
      <left style="thin">
        <color rgb="FFAFAFAF"/>
      </left>
      <right style="medium">
        <color indexed="64"/>
      </right>
      <top style="thin">
        <color indexed="64"/>
      </top>
      <bottom/>
      <diagonal/>
    </border>
    <border>
      <left style="medium">
        <color indexed="64"/>
      </left>
      <right style="medium">
        <color indexed="64"/>
      </right>
      <top/>
      <bottom style="thin">
        <color indexed="64"/>
      </bottom>
      <diagonal/>
    </border>
    <border>
      <left style="thin">
        <color rgb="FFAFAFAF"/>
      </left>
      <right/>
      <top/>
      <bottom style="thin">
        <color rgb="FFAFAFAF"/>
      </bottom>
      <diagonal/>
    </border>
    <border>
      <left/>
      <right style="thin">
        <color rgb="FFAFAFAF"/>
      </right>
      <top style="thin">
        <color rgb="FFAFAFAF"/>
      </top>
      <bottom style="thin">
        <color rgb="FFAFAFAF"/>
      </bottom>
      <diagonal/>
    </border>
    <border>
      <left style="medium">
        <color indexed="64"/>
      </left>
      <right style="medium">
        <color indexed="64"/>
      </right>
      <top/>
      <bottom style="medium">
        <color rgb="FF0000FF"/>
      </bottom>
      <diagonal/>
    </border>
    <border>
      <left style="medium">
        <color indexed="64"/>
      </left>
      <right style="thin">
        <color rgb="FFAFAFAF"/>
      </right>
      <top/>
      <bottom/>
      <diagonal/>
    </border>
    <border>
      <left style="thin">
        <color rgb="FFAFAFAF"/>
      </left>
      <right style="medium">
        <color indexed="64"/>
      </right>
      <top/>
      <bottom/>
      <diagonal/>
    </border>
    <border>
      <left style="medium">
        <color indexed="64"/>
      </left>
      <right style="thin">
        <color rgb="FFAFAFAF"/>
      </right>
      <top style="medium">
        <color indexed="64"/>
      </top>
      <bottom style="medium">
        <color rgb="FF0000FF"/>
      </bottom>
      <diagonal/>
    </border>
    <border>
      <left style="thin">
        <color rgb="FFAFAFAF"/>
      </left>
      <right style="thin">
        <color rgb="FFAFAFAF"/>
      </right>
      <top style="medium">
        <color indexed="64"/>
      </top>
      <bottom style="medium">
        <color rgb="FF0000FF"/>
      </bottom>
      <diagonal/>
    </border>
    <border>
      <left style="thin">
        <color rgb="FFAFAFAF"/>
      </left>
      <right style="medium">
        <color indexed="64"/>
      </right>
      <top style="medium">
        <color indexed="64"/>
      </top>
      <bottom style="medium">
        <color rgb="FF0000FF"/>
      </bottom>
      <diagonal/>
    </border>
    <border>
      <left style="medium">
        <color indexed="64"/>
      </left>
      <right style="thin">
        <color rgb="FFAFAFAF"/>
      </right>
      <top/>
      <bottom style="medium">
        <color indexed="64"/>
      </bottom>
      <diagonal/>
    </border>
    <border>
      <left style="thin">
        <color rgb="FFAFAFAF"/>
      </left>
      <right style="thin">
        <color rgb="FFAFAFAF"/>
      </right>
      <top/>
      <bottom style="medium">
        <color indexed="64"/>
      </bottom>
      <diagonal/>
    </border>
    <border>
      <left style="thin">
        <color rgb="FFAFAFAF"/>
      </left>
      <right style="medium">
        <color indexed="64"/>
      </right>
      <top/>
      <bottom style="medium">
        <color indexed="64"/>
      </bottom>
      <diagonal/>
    </border>
    <border>
      <left style="medium">
        <color indexed="64"/>
      </left>
      <right style="thin">
        <color rgb="FFAFAFAF"/>
      </right>
      <top style="thin">
        <color indexed="64"/>
      </top>
      <bottom style="medium">
        <color rgb="FF0000FF"/>
      </bottom>
      <diagonal/>
    </border>
    <border>
      <left style="thin">
        <color rgb="FFAFAFAF"/>
      </left>
      <right style="thin">
        <color rgb="FFAFAFAF"/>
      </right>
      <top style="thin">
        <color indexed="64"/>
      </top>
      <bottom style="medium">
        <color rgb="FF0000FF"/>
      </bottom>
      <diagonal/>
    </border>
    <border>
      <left style="thin">
        <color rgb="FFAFAFAF"/>
      </left>
      <right style="medium">
        <color indexed="64"/>
      </right>
      <top style="thin">
        <color indexed="64"/>
      </top>
      <bottom style="medium">
        <color rgb="FF0000FF"/>
      </bottom>
      <diagonal/>
    </border>
    <border>
      <left/>
      <right style="medium">
        <color indexed="64"/>
      </right>
      <top style="medium">
        <color indexed="64"/>
      </top>
      <bottom style="medium">
        <color rgb="FF0000FF"/>
      </bottom>
      <diagonal/>
    </border>
    <border>
      <left style="thin">
        <color rgb="FFAFAFAF"/>
      </left>
      <right style="medium">
        <color indexed="64"/>
      </right>
      <top style="thin">
        <color rgb="FFAFAFAF"/>
      </top>
      <bottom style="medium">
        <color rgb="FF0000FF"/>
      </bottom>
      <diagonal/>
    </border>
    <border>
      <left/>
      <right style="medium">
        <color indexed="64"/>
      </right>
      <top style="thin">
        <color indexed="64"/>
      </top>
      <bottom style="medium">
        <color rgb="FF0000FF"/>
      </bottom>
      <diagonal/>
    </border>
    <border>
      <left style="thick">
        <color rgb="FF0091FF"/>
      </left>
      <right/>
      <top style="thin">
        <color rgb="FF0091FF"/>
      </top>
      <bottom style="thin">
        <color rgb="FF0091FF"/>
      </bottom>
      <diagonal/>
    </border>
    <border>
      <left style="thick">
        <color rgb="FF0091FF"/>
      </left>
      <right/>
      <top style="thin">
        <color rgb="FF0091FF"/>
      </top>
      <bottom style="thick">
        <color rgb="FF0091FF"/>
      </bottom>
      <diagonal/>
    </border>
    <border>
      <left/>
      <right style="thick">
        <color rgb="FF0091FF"/>
      </right>
      <top style="thin">
        <color rgb="FF0091FF"/>
      </top>
      <bottom style="thick">
        <color rgb="FF0091FF"/>
      </bottom>
      <diagonal/>
    </border>
    <border>
      <left/>
      <right style="thick">
        <color rgb="FF0091FF"/>
      </right>
      <top style="thin">
        <color rgb="FF0091FF"/>
      </top>
      <bottom style="thin">
        <color rgb="FF0091FF"/>
      </bottom>
      <diagonal/>
    </border>
    <border>
      <left style="thin">
        <color indexed="64"/>
      </left>
      <right style="thin">
        <color indexed="64"/>
      </right>
      <top style="thin">
        <color indexed="64"/>
      </top>
      <bottom style="thin">
        <color rgb="FFAFAFAF"/>
      </bottom>
      <diagonal/>
    </border>
    <border>
      <left style="thin">
        <color indexed="64"/>
      </left>
      <right style="thin">
        <color indexed="64"/>
      </right>
      <top style="thin">
        <color rgb="FFAFAFAF"/>
      </top>
      <bottom style="thin">
        <color rgb="FFAFAFAF"/>
      </bottom>
      <diagonal/>
    </border>
    <border>
      <left style="thin">
        <color indexed="64"/>
      </left>
      <right style="thin">
        <color indexed="64"/>
      </right>
      <top style="thin">
        <color rgb="FFAFAFAF"/>
      </top>
      <bottom style="thin">
        <color indexed="64"/>
      </bottom>
      <diagonal/>
    </border>
    <border>
      <left/>
      <right style="thin">
        <color indexed="64"/>
      </right>
      <top style="thin">
        <color indexed="64"/>
      </top>
      <bottom style="thin">
        <color rgb="FFAFAFAF"/>
      </bottom>
      <diagonal/>
    </border>
    <border>
      <left/>
      <right style="thin">
        <color indexed="64"/>
      </right>
      <top style="thin">
        <color rgb="FFAFAFAF"/>
      </top>
      <bottom style="thin">
        <color rgb="FFAFAFAF"/>
      </bottom>
      <diagonal/>
    </border>
    <border>
      <left/>
      <right style="thin">
        <color indexed="64"/>
      </right>
      <top style="thin">
        <color rgb="FFAFAFAF"/>
      </top>
      <bottom style="thin">
        <color indexed="64"/>
      </bottom>
      <diagonal/>
    </border>
    <border>
      <left style="thick">
        <color rgb="FF0091FF"/>
      </left>
      <right/>
      <top/>
      <bottom style="thin">
        <color rgb="FF0091FF"/>
      </bottom>
      <diagonal/>
    </border>
    <border>
      <left style="thin">
        <color rgb="FFAFAFAF"/>
      </left>
      <right/>
      <top style="thin">
        <color rgb="FFAFAFAF"/>
      </top>
      <bottom style="thin">
        <color indexed="64"/>
      </bottom>
      <diagonal/>
    </border>
    <border>
      <left/>
      <right style="thin">
        <color indexed="64"/>
      </right>
      <top/>
      <bottom style="thin">
        <color rgb="FFAFAFAF"/>
      </bottom>
      <diagonal/>
    </border>
    <border>
      <left style="thin">
        <color indexed="64"/>
      </left>
      <right style="thin">
        <color indexed="64"/>
      </right>
      <top/>
      <bottom style="thin">
        <color rgb="FFAFAFAF"/>
      </bottom>
      <diagonal/>
    </border>
    <border>
      <left style="thin">
        <color indexed="64"/>
      </left>
      <right/>
      <top style="thin">
        <color rgb="FFAFAFAF"/>
      </top>
      <bottom style="thin">
        <color rgb="FFAFAFAF"/>
      </bottom>
      <diagonal/>
    </border>
    <border>
      <left style="thick">
        <color rgb="FFCC00CC"/>
      </left>
      <right style="thin">
        <color indexed="64"/>
      </right>
      <top/>
      <bottom style="thin">
        <color indexed="64"/>
      </bottom>
      <diagonal/>
    </border>
    <border>
      <left style="thin">
        <color indexed="64"/>
      </left>
      <right/>
      <top style="thin">
        <color indexed="64"/>
      </top>
      <bottom style="thin">
        <color rgb="FFAFAFAF"/>
      </bottom>
      <diagonal/>
    </border>
    <border>
      <left style="thin">
        <color indexed="64"/>
      </left>
      <right/>
      <top style="thin">
        <color rgb="FFAFAFAF"/>
      </top>
      <bottom style="thin">
        <color indexed="64"/>
      </bottom>
      <diagonal/>
    </border>
    <border>
      <left style="thin">
        <color rgb="FF0091FF"/>
      </left>
      <right style="thin">
        <color rgb="FF0091FF"/>
      </right>
      <top style="thick">
        <color rgb="FF0091FF"/>
      </top>
      <bottom style="thick">
        <color rgb="FF0091FF"/>
      </bottom>
      <diagonal/>
    </border>
    <border>
      <left style="thin">
        <color rgb="FF0091FF"/>
      </left>
      <right style="thick">
        <color rgb="FF0091FF"/>
      </right>
      <top style="thick">
        <color rgb="FF0091FF"/>
      </top>
      <bottom style="thick">
        <color rgb="FF0091FF"/>
      </bottom>
      <diagonal/>
    </border>
    <border>
      <left/>
      <right style="thick">
        <color rgb="FF0091FF"/>
      </right>
      <top/>
      <bottom style="thin">
        <color rgb="FF0091FF"/>
      </bottom>
      <diagonal/>
    </border>
    <border>
      <left/>
      <right style="thick">
        <color rgb="FF0091FF"/>
      </right>
      <top/>
      <bottom style="thick">
        <color rgb="FF0091FF"/>
      </bottom>
      <diagonal/>
    </border>
    <border>
      <left style="thick">
        <color rgb="FFCC00CC"/>
      </left>
      <right style="thick">
        <color rgb="FFCC00CC"/>
      </right>
      <top style="thick">
        <color rgb="FFCC00CC"/>
      </top>
      <bottom style="thick">
        <color rgb="FFCC00CC"/>
      </bottom>
      <diagonal/>
    </border>
    <border>
      <left/>
      <right/>
      <top/>
      <bottom style="thick">
        <color rgb="FF0091FF"/>
      </bottom>
      <diagonal/>
    </border>
    <border>
      <left/>
      <right style="thin">
        <color rgb="FFAFAFAF"/>
      </right>
      <top style="thin">
        <color rgb="FFAFAFAF"/>
      </top>
      <bottom style="thin">
        <color indexed="64"/>
      </bottom>
      <diagonal/>
    </border>
    <border>
      <left style="thin">
        <color indexed="64"/>
      </left>
      <right style="thin">
        <color rgb="FFAFAFAF"/>
      </right>
      <top/>
      <bottom style="thin">
        <color rgb="FFAFAFAF"/>
      </bottom>
      <diagonal/>
    </border>
    <border>
      <left style="thick">
        <color rgb="FFFF0000"/>
      </left>
      <right style="thick">
        <color rgb="FFFF0000"/>
      </right>
      <top style="thick">
        <color rgb="FFFF0000"/>
      </top>
      <bottom style="thick">
        <color rgb="FFFF0000"/>
      </bottom>
      <diagonal/>
    </border>
    <border>
      <left style="thick">
        <color rgb="FFFF0000"/>
      </left>
      <right style="thick">
        <color rgb="FFFF0000"/>
      </right>
      <top style="thick">
        <color rgb="FFFF0000"/>
      </top>
      <bottom style="thin">
        <color rgb="FFAFAFAF"/>
      </bottom>
      <diagonal/>
    </border>
    <border>
      <left style="thick">
        <color rgb="FFFF0000"/>
      </left>
      <right style="thick">
        <color rgb="FFFF0000"/>
      </right>
      <top style="thin">
        <color rgb="FFAFAFAF"/>
      </top>
      <bottom style="thin">
        <color rgb="FFAFAFAF"/>
      </bottom>
      <diagonal/>
    </border>
    <border>
      <left style="thick">
        <color rgb="FFFF0000"/>
      </left>
      <right style="thick">
        <color rgb="FFFF0000"/>
      </right>
      <top style="thin">
        <color rgb="FFAFAFAF"/>
      </top>
      <bottom style="thick">
        <color rgb="FFFF0000"/>
      </bottom>
      <diagonal/>
    </border>
    <border>
      <left style="medium">
        <color indexed="64"/>
      </left>
      <right style="thin">
        <color rgb="FFAFAFAF"/>
      </right>
      <top style="medium">
        <color indexed="64"/>
      </top>
      <bottom style="thin">
        <color rgb="FFAFAFAF"/>
      </bottom>
      <diagonal/>
    </border>
    <border>
      <left style="thin">
        <color rgb="FFAFAFAF"/>
      </left>
      <right style="thin">
        <color rgb="FFAFAFAF"/>
      </right>
      <top style="medium">
        <color indexed="64"/>
      </top>
      <bottom style="thin">
        <color rgb="FFAFAFAF"/>
      </bottom>
      <diagonal/>
    </border>
    <border>
      <left style="medium">
        <color indexed="64"/>
      </left>
      <right style="thin">
        <color rgb="FFAFAFAF"/>
      </right>
      <top style="thin">
        <color rgb="FFAFAFAF"/>
      </top>
      <bottom style="medium">
        <color indexed="64"/>
      </bottom>
      <diagonal/>
    </border>
    <border>
      <left style="thin">
        <color rgb="FFAFAFAF"/>
      </left>
      <right style="thin">
        <color rgb="FFAFAFAF"/>
      </right>
      <top style="thin">
        <color rgb="FFAFAFAF"/>
      </top>
      <bottom style="medium">
        <color indexed="64"/>
      </bottom>
      <diagonal/>
    </border>
    <border>
      <left style="thin">
        <color rgb="FFAFAFAF"/>
      </left>
      <right style="medium">
        <color indexed="64"/>
      </right>
      <top style="medium">
        <color indexed="64"/>
      </top>
      <bottom style="thin">
        <color rgb="FFAFAFAF"/>
      </bottom>
      <diagonal/>
    </border>
    <border>
      <left style="thin">
        <color rgb="FFAFAFAF"/>
      </left>
      <right/>
      <top/>
      <bottom style="medium">
        <color indexed="64"/>
      </bottom>
      <diagonal/>
    </border>
    <border>
      <left/>
      <right style="medium">
        <color indexed="64"/>
      </right>
      <top/>
      <bottom style="medium">
        <color indexed="64"/>
      </bottom>
      <diagonal/>
    </border>
    <border>
      <left style="thick">
        <color rgb="FF0091FF"/>
      </left>
      <right style="thick">
        <color rgb="FF0091FF"/>
      </right>
      <top style="thick">
        <color rgb="FF0091FF"/>
      </top>
      <bottom style="thick">
        <color rgb="FF0091FF"/>
      </bottom>
      <diagonal/>
    </border>
    <border>
      <left style="thick">
        <color rgb="FF0091FF"/>
      </left>
      <right style="thin">
        <color rgb="FF0091FF"/>
      </right>
      <top style="thick">
        <color rgb="FF0091FF"/>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rgb="FFAFAFAF"/>
      </bottom>
      <diagonal/>
    </border>
    <border>
      <left style="medium">
        <color indexed="64"/>
      </left>
      <right style="medium">
        <color indexed="64"/>
      </right>
      <top style="thin">
        <color rgb="FFAFAFAF"/>
      </top>
      <bottom style="thin">
        <color rgb="FFAFAFAF"/>
      </bottom>
      <diagonal/>
    </border>
    <border>
      <left style="medium">
        <color indexed="64"/>
      </left>
      <right style="thin">
        <color rgb="FFAFAFAF"/>
      </right>
      <top style="thin">
        <color rgb="FFAFAFAF"/>
      </top>
      <bottom style="thin">
        <color rgb="FFAFAFAF"/>
      </bottom>
      <diagonal/>
    </border>
    <border>
      <left style="medium">
        <color indexed="64"/>
      </left>
      <right style="medium">
        <color indexed="64"/>
      </right>
      <top style="medium">
        <color indexed="64"/>
      </top>
      <bottom/>
      <diagonal/>
    </border>
    <border>
      <left style="thin">
        <color auto="1"/>
      </left>
      <right/>
      <top/>
      <bottom/>
      <diagonal/>
    </border>
    <border>
      <left style="thin">
        <color auto="1"/>
      </left>
      <right/>
      <top/>
      <bottom style="thin">
        <color auto="1"/>
      </bottom>
      <diagonal/>
    </border>
    <border>
      <left/>
      <right style="medium">
        <color indexed="64"/>
      </right>
      <top style="thin">
        <color rgb="FFAFAFAF"/>
      </top>
      <bottom/>
      <diagonal/>
    </border>
    <border>
      <left style="medium">
        <color indexed="64"/>
      </left>
      <right style="thin">
        <color rgb="FFAFAFAF"/>
      </right>
      <top style="thin">
        <color rgb="FFAFAFAF"/>
      </top>
      <bottom/>
      <diagonal/>
    </border>
    <border>
      <left/>
      <right style="medium">
        <color indexed="64"/>
      </right>
      <top/>
      <bottom/>
      <diagonal/>
    </border>
    <border>
      <left style="thin">
        <color rgb="FFAFAFAF"/>
      </left>
      <right/>
      <top style="medium">
        <color indexed="64"/>
      </top>
      <bottom style="thin">
        <color rgb="FFAFAFAF"/>
      </bottom>
      <diagonal/>
    </border>
    <border>
      <left/>
      <right style="thin">
        <color rgb="FFAFAFAF"/>
      </right>
      <top style="medium">
        <color indexed="64"/>
      </top>
      <bottom style="thin">
        <color rgb="FFAFAFAF"/>
      </bottom>
      <diagonal/>
    </border>
    <border>
      <left style="thin">
        <color rgb="FFAFAFAF"/>
      </left>
      <right/>
      <top style="thin">
        <color rgb="FFAFAFAF"/>
      </top>
      <bottom style="medium">
        <color indexed="64"/>
      </bottom>
      <diagonal/>
    </border>
    <border>
      <left style="thin">
        <color rgb="FFAFAFAF"/>
      </left>
      <right style="medium">
        <color indexed="64"/>
      </right>
      <top style="thin">
        <color rgb="FFAFAFAF"/>
      </top>
      <bottom/>
      <diagonal/>
    </border>
    <border>
      <left style="thin">
        <color indexed="64"/>
      </left>
      <right style="thick">
        <color rgb="FFCC00CC"/>
      </right>
      <top/>
      <bottom style="thin">
        <color indexed="64"/>
      </bottom>
      <diagonal/>
    </border>
    <border>
      <left style="thick">
        <color rgb="FFCC00CC"/>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rgb="FFCC00CC"/>
      </right>
      <top/>
      <bottom style="medium">
        <color indexed="64"/>
      </bottom>
      <diagonal/>
    </border>
    <border>
      <left style="thin">
        <color indexed="64"/>
      </left>
      <right style="thin">
        <color rgb="FFAFAFAF"/>
      </right>
      <top style="thin">
        <color rgb="FFAFAFAF"/>
      </top>
      <bottom/>
      <diagonal/>
    </border>
    <border>
      <left style="thin">
        <color rgb="FFAFAFAF"/>
      </left>
      <right style="thin">
        <color indexed="64"/>
      </right>
      <top style="thin">
        <color rgb="FFAFAFAF"/>
      </top>
      <bottom/>
      <diagonal/>
    </border>
    <border>
      <left style="thin">
        <color indexed="64"/>
      </left>
      <right/>
      <top/>
      <bottom style="thin">
        <color rgb="FFAFAFAF"/>
      </bottom>
      <diagonal/>
    </border>
    <border>
      <left style="thick">
        <color rgb="FFFF0000"/>
      </left>
      <right style="thick">
        <color rgb="FFFF0000"/>
      </right>
      <top/>
      <bottom style="thin">
        <color rgb="FFAFAFAF"/>
      </bottom>
      <diagonal/>
    </border>
    <border>
      <left style="thin">
        <color rgb="FFAFAFAF"/>
      </left>
      <right style="thin">
        <color indexed="64"/>
      </right>
      <top/>
      <bottom style="thin">
        <color indexed="64"/>
      </bottom>
      <diagonal/>
    </border>
    <border>
      <left style="thin">
        <color rgb="FFAFAFAF"/>
      </left>
      <right style="thin">
        <color indexed="64"/>
      </right>
      <top style="thin">
        <color auto="1"/>
      </top>
      <bottom style="thin">
        <color auto="1"/>
      </bottom>
      <diagonal/>
    </border>
    <border>
      <left style="medium">
        <color indexed="64"/>
      </left>
      <right style="medium">
        <color indexed="64"/>
      </right>
      <top/>
      <bottom/>
      <diagonal/>
    </border>
    <border>
      <left style="medium">
        <color indexed="64"/>
      </left>
      <right style="thin">
        <color rgb="FF0091FF"/>
      </right>
      <top style="medium">
        <color indexed="64"/>
      </top>
      <bottom/>
      <diagonal/>
    </border>
    <border>
      <left style="thin">
        <color rgb="FF0091FF"/>
      </left>
      <right style="thin">
        <color rgb="FF0091FF"/>
      </right>
      <top style="medium">
        <color indexed="64"/>
      </top>
      <bottom style="thick">
        <color rgb="FF0091FF"/>
      </bottom>
      <diagonal/>
    </border>
    <border>
      <left style="thin">
        <color rgb="FF0091FF"/>
      </left>
      <right style="medium">
        <color indexed="64"/>
      </right>
      <top style="medium">
        <color indexed="64"/>
      </top>
      <bottom style="thick">
        <color rgb="FF0091FF"/>
      </bottom>
      <diagonal/>
    </border>
    <border>
      <left style="medium">
        <color indexed="64"/>
      </left>
      <right style="thick">
        <color rgb="FF0091FF"/>
      </right>
      <top style="thick">
        <color rgb="FF0091FF"/>
      </top>
      <bottom style="thick">
        <color rgb="FF0091FF"/>
      </bottom>
      <diagonal/>
    </border>
    <border>
      <left/>
      <right style="medium">
        <color indexed="64"/>
      </right>
      <top/>
      <bottom style="thick">
        <color rgb="FF0091FF"/>
      </bottom>
      <diagonal/>
    </border>
    <border>
      <left/>
      <right/>
      <top/>
      <bottom style="medium">
        <color indexed="64"/>
      </bottom>
      <diagonal/>
    </border>
    <border>
      <left style="thick">
        <color rgb="FF0091FF"/>
      </left>
      <right style="thick">
        <color rgb="FF0091FF"/>
      </right>
      <top style="thin">
        <color rgb="FF0091FF"/>
      </top>
      <bottom style="medium">
        <color indexed="64"/>
      </bottom>
      <diagonal/>
    </border>
    <border>
      <left style="thick">
        <color rgb="FF0091FF"/>
      </left>
      <right style="thick">
        <color rgb="FF0091FF"/>
      </right>
      <top style="thin">
        <color rgb="FF0091FF"/>
      </top>
      <bottom/>
      <diagonal/>
    </border>
    <border>
      <left style="thin">
        <color indexed="64"/>
      </left>
      <right/>
      <top style="thin">
        <color rgb="FFAFAFAF"/>
      </top>
      <bottom/>
      <diagonal/>
    </border>
    <border>
      <left style="thick">
        <color rgb="FFFF0000"/>
      </left>
      <right style="thick">
        <color rgb="FFFF0000"/>
      </right>
      <top style="thin">
        <color rgb="FFAFAFAF"/>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rgb="FFAFAFAF"/>
      </right>
      <top style="thin">
        <color rgb="FFAFAFAF"/>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auto="1"/>
      </left>
      <right/>
      <top style="medium">
        <color indexed="64"/>
      </top>
      <bottom style="thin">
        <color indexed="64"/>
      </bottom>
      <diagonal/>
    </border>
    <border>
      <left/>
      <right style="thin">
        <color indexed="64"/>
      </right>
      <top style="medium">
        <color indexed="64"/>
      </top>
      <bottom style="thin">
        <color indexed="64"/>
      </bottom>
      <diagonal/>
    </border>
    <border>
      <left style="thick">
        <color rgb="FFBD00BD"/>
      </left>
      <right style="thick">
        <color rgb="FFBD00BD"/>
      </right>
      <top style="thick">
        <color rgb="FFBD00BD"/>
      </top>
      <bottom style="thin">
        <color indexed="64"/>
      </bottom>
      <diagonal/>
    </border>
    <border>
      <left style="thick">
        <color rgb="FFBD00BD"/>
      </left>
      <right style="thick">
        <color rgb="FFBD00BD"/>
      </right>
      <top/>
      <bottom style="medium">
        <color indexed="64"/>
      </bottom>
      <diagonal/>
    </border>
    <border>
      <left style="thick">
        <color rgb="FFBD00BD"/>
      </left>
      <right style="thick">
        <color rgb="FFBD00BD"/>
      </right>
      <top/>
      <bottom style="thin">
        <color indexed="64"/>
      </bottom>
      <diagonal/>
    </border>
    <border>
      <left style="thick">
        <color rgb="FFBD00BD"/>
      </left>
      <right style="thick">
        <color rgb="FFBD00BD"/>
      </right>
      <top style="thin">
        <color indexed="64"/>
      </top>
      <bottom style="thin">
        <color indexed="64"/>
      </bottom>
      <diagonal/>
    </border>
    <border>
      <left style="thick">
        <color rgb="FFBD00BD"/>
      </left>
      <right style="thick">
        <color rgb="FFBD00BD"/>
      </right>
      <top/>
      <bottom style="thick">
        <color rgb="FFBD00BD"/>
      </bottom>
      <diagonal/>
    </border>
    <border>
      <left style="medium">
        <color rgb="FF000000"/>
      </left>
      <right style="medium">
        <color rgb="FF000000"/>
      </right>
      <top/>
      <bottom/>
      <diagonal/>
    </border>
    <border>
      <left style="medium">
        <color indexed="64"/>
      </left>
      <right style="medium">
        <color indexed="64"/>
      </right>
      <top style="thin">
        <color rgb="FFAFAFAF"/>
      </top>
      <bottom style="medium">
        <color indexed="64"/>
      </bottom>
      <diagonal/>
    </border>
    <border>
      <left style="thin">
        <color rgb="FFAFAFAF"/>
      </left>
      <right style="medium">
        <color indexed="64"/>
      </right>
      <top style="thin">
        <color rgb="FFAFAFAF"/>
      </top>
      <bottom style="medium">
        <color indexed="64"/>
      </bottom>
      <diagonal/>
    </border>
    <border>
      <left style="medium">
        <color indexed="64"/>
      </left>
      <right style="thin">
        <color rgb="FFAFAFAF"/>
      </right>
      <top style="medium">
        <color indexed="64"/>
      </top>
      <bottom style="medium">
        <color indexed="64"/>
      </bottom>
      <diagonal/>
    </border>
    <border>
      <left style="thin">
        <color rgb="FFAFAFAF"/>
      </left>
      <right style="thin">
        <color rgb="FFAFAFAF"/>
      </right>
      <top style="medium">
        <color indexed="64"/>
      </top>
      <bottom style="medium">
        <color indexed="64"/>
      </bottom>
      <diagonal/>
    </border>
    <border>
      <left style="thin">
        <color rgb="FFAFAFAF"/>
      </left>
      <right style="medium">
        <color indexed="64"/>
      </right>
      <top style="medium">
        <color indexed="64"/>
      </top>
      <bottom style="medium">
        <color indexed="64"/>
      </bottom>
      <diagonal/>
    </border>
    <border>
      <left style="medium">
        <color indexed="64"/>
      </left>
      <right style="medium">
        <color indexed="64"/>
      </right>
      <top style="medium">
        <color rgb="FF000000"/>
      </top>
      <bottom style="thin">
        <color rgb="FFAFAFAF"/>
      </bottom>
      <diagonal/>
    </border>
    <border>
      <left style="thin">
        <color indexed="64"/>
      </left>
      <right style="thin">
        <color indexed="64"/>
      </right>
      <top style="thin">
        <color rgb="FFAFAFAF"/>
      </top>
      <bottom/>
      <diagonal/>
    </border>
    <border>
      <left/>
      <right style="thin">
        <color indexed="64"/>
      </right>
      <top style="thin">
        <color rgb="FFAFAFAF"/>
      </top>
      <bottom/>
      <diagonal/>
    </border>
    <border>
      <left style="thick">
        <color rgb="FFCC00CC"/>
      </left>
      <right/>
      <top style="thin">
        <color indexed="64"/>
      </top>
      <bottom/>
      <diagonal/>
    </border>
    <border>
      <left/>
      <right style="thick">
        <color rgb="FFCC00CC"/>
      </right>
      <top style="thin">
        <color indexed="64"/>
      </top>
      <bottom/>
      <diagonal/>
    </border>
    <border>
      <left style="thick">
        <color rgb="FFCC00CC"/>
      </left>
      <right/>
      <top/>
      <bottom/>
      <diagonal/>
    </border>
    <border>
      <left/>
      <right style="thick">
        <color rgb="FFCC00CC"/>
      </right>
      <top/>
      <bottom/>
      <diagonal/>
    </border>
    <border>
      <left style="thick">
        <color rgb="FFCC00CC"/>
      </left>
      <right/>
      <top/>
      <bottom style="thick">
        <color rgb="FFCC00CC"/>
      </bottom>
      <diagonal/>
    </border>
    <border>
      <left/>
      <right/>
      <top/>
      <bottom style="thick">
        <color rgb="FFCC00CC"/>
      </bottom>
      <diagonal/>
    </border>
    <border>
      <left/>
      <right style="thick">
        <color rgb="FFCC00CC"/>
      </right>
      <top/>
      <bottom style="thick">
        <color rgb="FFCC00CC"/>
      </bottom>
      <diagonal/>
    </border>
    <border>
      <left style="medium">
        <color indexed="64"/>
      </left>
      <right style="thin">
        <color rgb="FFAFAFAF"/>
      </right>
      <top style="medium">
        <color rgb="FF000000"/>
      </top>
      <bottom style="thin">
        <color rgb="FFAFAFAF"/>
      </bottom>
      <diagonal/>
    </border>
    <border>
      <left style="thin">
        <color rgb="FFAFAFAF"/>
      </left>
      <right style="thin">
        <color rgb="FFAFAFAF"/>
      </right>
      <top style="medium">
        <color rgb="FF000000"/>
      </top>
      <bottom style="thin">
        <color rgb="FFAFAFAF"/>
      </bottom>
      <diagonal/>
    </border>
    <border>
      <left style="thin">
        <color rgb="FFAFAFAF"/>
      </left>
      <right style="medium">
        <color indexed="64"/>
      </right>
      <top style="medium">
        <color rgb="FF000000"/>
      </top>
      <bottom style="thin">
        <color rgb="FFAFAFAF"/>
      </bottom>
      <diagonal/>
    </border>
    <border>
      <left/>
      <right/>
      <top style="medium">
        <color rgb="FF000000"/>
      </top>
      <bottom/>
      <diagonal/>
    </border>
  </borders>
  <cellStyleXfs count="72">
    <xf numFmtId="0" fontId="0" fillId="0" borderId="0">
      <alignment vertical="center"/>
    </xf>
    <xf numFmtId="9"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5" fontId="2" fillId="0" borderId="0" applyFont="0" applyFill="0" applyBorder="0" applyAlignment="0" applyProtection="0"/>
    <xf numFmtId="0" fontId="15" fillId="0" borderId="0" applyNumberFormat="0" applyFill="0" applyBorder="0" applyAlignment="0" applyProtection="0"/>
    <xf numFmtId="0" fontId="16" fillId="0" borderId="23" applyNumberFormat="0" applyFill="0" applyAlignment="0" applyProtection="0"/>
    <xf numFmtId="0" fontId="17" fillId="0" borderId="24" applyNumberFormat="0" applyFill="0" applyAlignment="0" applyProtection="0"/>
    <xf numFmtId="0" fontId="18" fillId="0" borderId="25" applyNumberFormat="0" applyFill="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5" borderId="0" applyNumberFormat="0" applyBorder="0" applyAlignment="0" applyProtection="0"/>
    <xf numFmtId="0" fontId="21" fillId="6" borderId="26" applyNumberFormat="0" applyAlignment="0" applyProtection="0"/>
    <xf numFmtId="0" fontId="22" fillId="7" borderId="27" applyNumberFormat="0" applyAlignment="0" applyProtection="0"/>
    <xf numFmtId="0" fontId="23" fillId="7" borderId="26" applyNumberFormat="0" applyAlignment="0" applyProtection="0"/>
    <xf numFmtId="0" fontId="24" fillId="0" borderId="28" applyNumberFormat="0" applyFill="0" applyAlignment="0" applyProtection="0"/>
    <xf numFmtId="0" fontId="25" fillId="8" borderId="29" applyNumberFormat="0" applyAlignment="0" applyProtection="0"/>
    <xf numFmtId="0" fontId="26" fillId="0" borderId="0" applyNumberFormat="0" applyFill="0" applyBorder="0" applyAlignment="0" applyProtection="0"/>
    <xf numFmtId="0" fontId="2" fillId="9" borderId="30" applyNumberFormat="0" applyFont="0" applyAlignment="0" applyProtection="0"/>
    <xf numFmtId="0" fontId="27" fillId="0" borderId="0" applyNumberFormat="0" applyFill="0" applyBorder="0" applyAlignment="0" applyProtection="0"/>
    <xf numFmtId="0" fontId="28" fillId="0" borderId="31" applyNumberFormat="0" applyFill="0" applyAlignment="0" applyProtection="0"/>
    <xf numFmtId="0" fontId="29"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9"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9"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9"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9"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9"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 fillId="0" borderId="0" applyNumberFormat="0" applyFont="0" applyBorder="0" applyAlignment="0" applyProtection="0">
      <alignment vertical="center"/>
    </xf>
    <xf numFmtId="0" fontId="6" fillId="34" borderId="32" applyNumberFormat="0" applyFont="0" applyBorder="0" applyAlignment="0">
      <alignment vertical="center"/>
    </xf>
    <xf numFmtId="0" fontId="6" fillId="34" borderId="32" applyNumberFormat="0" applyFont="0" applyBorder="0">
      <alignment horizontal="right" vertical="center" indent="1"/>
    </xf>
    <xf numFmtId="0" fontId="6" fillId="40" borderId="32" applyNumberFormat="0" applyFont="0" applyBorder="0" applyAlignment="0">
      <alignment horizontal="right" vertical="center" indent="1"/>
    </xf>
    <xf numFmtId="0" fontId="30" fillId="43" borderId="32" applyNumberFormat="0" applyBorder="0" applyAlignment="0">
      <alignment horizontal="left" vertical="center" wrapText="1"/>
    </xf>
    <xf numFmtId="0" fontId="37" fillId="42" borderId="32" applyNumberFormat="0" applyBorder="0" applyAlignment="0">
      <alignment horizontal="left" vertical="center" wrapText="1"/>
    </xf>
    <xf numFmtId="0" fontId="4" fillId="49" borderId="32" applyNumberFormat="0" applyBorder="0" applyAlignment="0">
      <alignment horizontal="left" vertical="center" wrapText="1"/>
    </xf>
    <xf numFmtId="0" fontId="6" fillId="35" borderId="32" applyNumberFormat="0" applyFont="0" applyBorder="0" applyAlignment="0">
      <alignment horizontal="right" vertical="center" wrapText="1" indent="1"/>
    </xf>
    <xf numFmtId="0" fontId="6" fillId="36" borderId="32" applyNumberFormat="0" applyBorder="0" applyAlignment="0">
      <alignment horizontal="left" vertical="center" wrapText="1"/>
      <protection locked="0"/>
    </xf>
    <xf numFmtId="0" fontId="42" fillId="37" borderId="0" applyNumberFormat="0" applyBorder="0">
      <alignment vertical="center" wrapText="1"/>
      <protection hidden="1"/>
    </xf>
    <xf numFmtId="0" fontId="6" fillId="38" borderId="32" applyNumberFormat="0" applyFont="0" applyBorder="0">
      <alignment vertical="center"/>
      <protection locked="0"/>
    </xf>
    <xf numFmtId="0" fontId="6" fillId="39" borderId="32" applyNumberFormat="0" applyFont="0" applyBorder="0">
      <alignment vertical="center"/>
      <protection locked="0"/>
    </xf>
    <xf numFmtId="0" fontId="6" fillId="39" borderId="32" applyNumberFormat="0" applyFont="0" applyBorder="0">
      <alignment horizontal="right" vertical="center" indent="1"/>
      <protection locked="0"/>
    </xf>
    <xf numFmtId="9" fontId="10" fillId="51" borderId="15" applyNumberFormat="0" applyFont="0" applyBorder="0" applyAlignment="0">
      <alignment horizontal="center"/>
      <protection locked="0"/>
    </xf>
    <xf numFmtId="0" fontId="6" fillId="44" borderId="32" applyNumberFormat="0" applyFont="0" applyBorder="0" applyAlignment="0" applyProtection="0">
      <alignment vertical="center"/>
    </xf>
    <xf numFmtId="0" fontId="3" fillId="47" borderId="0" applyNumberFormat="0" applyBorder="0" applyAlignment="0"/>
    <xf numFmtId="0" fontId="44" fillId="0" borderId="0">
      <alignment vertical="center"/>
    </xf>
    <xf numFmtId="0" fontId="6" fillId="52" borderId="11" applyNumberFormat="0" applyFont="0" applyBorder="0" applyAlignment="0">
      <alignment horizontal="center" vertical="center" wrapText="1"/>
    </xf>
    <xf numFmtId="0" fontId="43" fillId="72" borderId="43" applyNumberFormat="0" applyFont="0" applyBorder="0" applyAlignment="0">
      <alignment horizontal="center" vertical="center"/>
    </xf>
    <xf numFmtId="0" fontId="78" fillId="83" borderId="32" applyNumberFormat="0" applyBorder="0">
      <alignment horizontal="left" vertical="center" wrapText="1"/>
    </xf>
    <xf numFmtId="0" fontId="6" fillId="0" borderId="0" applyBorder="0">
      <alignment vertical="center"/>
    </xf>
    <xf numFmtId="0" fontId="6" fillId="84" borderId="32" applyNumberFormat="0" applyBorder="0">
      <alignment horizontal="left" vertical="center" wrapText="1"/>
    </xf>
    <xf numFmtId="0" fontId="6" fillId="34" borderId="32" applyNumberFormat="0" applyFont="0" applyBorder="0">
      <alignment horizontal="right" vertical="center" indent="1"/>
    </xf>
    <xf numFmtId="0" fontId="34" fillId="86" borderId="32" applyNumberFormat="0" applyFont="0" applyBorder="0">
      <alignment horizontal="right" vertical="center" indent="1"/>
    </xf>
    <xf numFmtId="0" fontId="81" fillId="0" borderId="0" applyNumberFormat="0" applyFont="0" applyBorder="0" applyAlignment="0" applyProtection="0">
      <alignment vertical="center"/>
    </xf>
    <xf numFmtId="175" fontId="82" fillId="2" borderId="32" applyNumberFormat="0" applyFont="0" applyBorder="0" applyAlignment="0">
      <alignment horizontal="right" vertical="center" indent="1"/>
    </xf>
  </cellStyleXfs>
  <cellXfs count="1001">
    <xf numFmtId="0" fontId="0" fillId="0" borderId="0" xfId="0">
      <alignment vertical="center"/>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horizontal="left" vertical="center"/>
    </xf>
    <xf numFmtId="0" fontId="0" fillId="0" borderId="32" xfId="0" applyBorder="1">
      <alignment vertical="center"/>
    </xf>
    <xf numFmtId="0" fontId="0" fillId="34" borderId="1" xfId="47" applyFont="1" applyBorder="1" applyAlignment="1">
      <alignment vertical="center"/>
    </xf>
    <xf numFmtId="3" fontId="0" fillId="34" borderId="1" xfId="47" applyNumberFormat="1" applyFont="1" applyBorder="1" applyAlignment="1">
      <alignment vertical="center"/>
    </xf>
    <xf numFmtId="0" fontId="37" fillId="42" borderId="0" xfId="51" applyBorder="1" applyAlignment="1">
      <alignment vertical="center"/>
    </xf>
    <xf numFmtId="3" fontId="0" fillId="34" borderId="49" xfId="47" applyNumberFormat="1" applyFont="1" applyBorder="1" applyAlignment="1">
      <alignment vertical="center"/>
    </xf>
    <xf numFmtId="3" fontId="0" fillId="34" borderId="51" xfId="47" applyNumberFormat="1" applyFont="1" applyBorder="1" applyAlignment="1">
      <alignment vertical="center"/>
    </xf>
    <xf numFmtId="3" fontId="0" fillId="34" borderId="22" xfId="47" applyNumberFormat="1" applyFont="1" applyBorder="1" applyAlignment="1">
      <alignment vertical="center"/>
    </xf>
    <xf numFmtId="3" fontId="0" fillId="34" borderId="52" xfId="47" applyNumberFormat="1" applyFont="1" applyBorder="1" applyAlignment="1">
      <alignment vertical="center"/>
    </xf>
    <xf numFmtId="3" fontId="0" fillId="34" borderId="53" xfId="47" applyNumberFormat="1" applyFont="1" applyBorder="1" applyAlignment="1">
      <alignment vertical="center"/>
    </xf>
    <xf numFmtId="3" fontId="0" fillId="34" borderId="54" xfId="47" applyNumberFormat="1" applyFont="1" applyBorder="1" applyAlignment="1">
      <alignment vertical="center"/>
    </xf>
    <xf numFmtId="3" fontId="0" fillId="34" borderId="56" xfId="47" applyNumberFormat="1" applyFont="1" applyBorder="1" applyAlignment="1">
      <alignment vertical="center"/>
    </xf>
    <xf numFmtId="0" fontId="30" fillId="43" borderId="0" xfId="50" applyBorder="1" applyAlignment="1">
      <alignment vertical="center"/>
    </xf>
    <xf numFmtId="0" fontId="0" fillId="35" borderId="0" xfId="53" applyFont="1" applyBorder="1" applyAlignment="1">
      <alignment horizontal="left" vertical="center"/>
    </xf>
    <xf numFmtId="0" fontId="0" fillId="35" borderId="46" xfId="53" applyFont="1" applyBorder="1" applyAlignment="1">
      <alignment horizontal="center" vertical="center"/>
    </xf>
    <xf numFmtId="0" fontId="0" fillId="35" borderId="38" xfId="53" applyFont="1" applyBorder="1" applyAlignment="1">
      <alignment horizontal="center" vertical="center"/>
    </xf>
    <xf numFmtId="0" fontId="0" fillId="35" borderId="33" xfId="53" applyFont="1" applyBorder="1" applyAlignment="1">
      <alignment horizontal="center" vertical="center"/>
    </xf>
    <xf numFmtId="0" fontId="0" fillId="35" borderId="57" xfId="53" applyFont="1" applyBorder="1" applyAlignment="1">
      <alignment horizontal="right" vertical="center"/>
    </xf>
    <xf numFmtId="0" fontId="0" fillId="35" borderId="58" xfId="53" applyFont="1" applyBorder="1" applyAlignment="1">
      <alignment horizontal="right" vertical="center"/>
    </xf>
    <xf numFmtId="0" fontId="4" fillId="35" borderId="48" xfId="53" applyFont="1" applyBorder="1" applyAlignment="1">
      <alignment horizontal="right" vertical="center"/>
    </xf>
    <xf numFmtId="0" fontId="9" fillId="35" borderId="58" xfId="53" applyFont="1" applyBorder="1" applyAlignment="1">
      <alignment horizontal="right" vertical="center"/>
    </xf>
    <xf numFmtId="0" fontId="0" fillId="0" borderId="32" xfId="0" applyBorder="1" applyAlignment="1">
      <alignment vertical="center" wrapText="1"/>
    </xf>
    <xf numFmtId="0" fontId="7" fillId="0" borderId="32" xfId="0" applyFont="1" applyBorder="1">
      <alignment vertical="center"/>
    </xf>
    <xf numFmtId="0" fontId="8" fillId="0" borderId="0" xfId="0" applyFont="1">
      <alignment vertical="center"/>
    </xf>
    <xf numFmtId="0" fontId="4" fillId="0" borderId="0" xfId="0" applyFont="1">
      <alignment vertical="center"/>
    </xf>
    <xf numFmtId="0" fontId="6" fillId="36" borderId="1" xfId="54" applyNumberFormat="1" applyBorder="1" applyProtection="1">
      <alignment horizontal="left" vertical="center" wrapText="1"/>
    </xf>
    <xf numFmtId="0" fontId="10" fillId="51" borderId="10" xfId="59" applyNumberFormat="1" applyBorder="1" applyAlignment="1" applyProtection="1"/>
    <xf numFmtId="169" fontId="0" fillId="34" borderId="0" xfId="47" applyNumberFormat="1" applyFont="1" applyBorder="1">
      <alignment vertical="center"/>
    </xf>
    <xf numFmtId="3" fontId="33" fillId="40" borderId="1" xfId="49" applyNumberFormat="1" applyFont="1" applyBorder="1" applyAlignment="1">
      <alignment vertical="center"/>
    </xf>
    <xf numFmtId="0" fontId="0" fillId="0" borderId="32" xfId="49" applyFont="1" applyFill="1" applyBorder="1" applyAlignment="1">
      <alignment vertical="center"/>
    </xf>
    <xf numFmtId="3" fontId="0" fillId="48" borderId="7" xfId="47" applyNumberFormat="1" applyFont="1" applyFill="1" applyBorder="1" applyAlignment="1">
      <alignment vertical="center"/>
    </xf>
    <xf numFmtId="3" fontId="0" fillId="48" borderId="1" xfId="47" applyNumberFormat="1" applyFont="1" applyFill="1" applyBorder="1" applyAlignment="1">
      <alignment vertical="center"/>
    </xf>
    <xf numFmtId="3" fontId="4" fillId="48" borderId="9" xfId="47" applyNumberFormat="1" applyFont="1" applyFill="1" applyBorder="1" applyAlignment="1">
      <alignment vertical="center"/>
    </xf>
    <xf numFmtId="3" fontId="4" fillId="48" borderId="1" xfId="47" applyNumberFormat="1" applyFont="1" applyFill="1" applyBorder="1" applyAlignment="1">
      <alignment vertical="center"/>
    </xf>
    <xf numFmtId="0" fontId="33" fillId="40" borderId="22" xfId="0" applyFont="1" applyFill="1" applyBorder="1">
      <alignment vertical="center"/>
    </xf>
    <xf numFmtId="3" fontId="0" fillId="0" borderId="0" xfId="0" applyNumberFormat="1">
      <alignment vertical="center"/>
    </xf>
    <xf numFmtId="3" fontId="0" fillId="3" borderId="0" xfId="0" applyNumberFormat="1" applyFill="1">
      <alignment vertical="center"/>
    </xf>
    <xf numFmtId="0" fontId="42" fillId="37" borderId="42" xfId="55" applyBorder="1">
      <alignment vertical="center" wrapText="1"/>
      <protection hidden="1"/>
    </xf>
    <xf numFmtId="0" fontId="31" fillId="35" borderId="7" xfId="53" applyFont="1" applyBorder="1" applyAlignment="1">
      <alignment horizontal="left" vertical="center" wrapText="1"/>
    </xf>
    <xf numFmtId="3" fontId="9" fillId="0" borderId="0" xfId="0" applyNumberFormat="1" applyFont="1">
      <alignment vertical="center"/>
    </xf>
    <xf numFmtId="3" fontId="4" fillId="0" borderId="0" xfId="0" applyNumberFormat="1" applyFont="1">
      <alignment vertical="center"/>
    </xf>
    <xf numFmtId="3" fontId="33" fillId="48" borderId="9" xfId="47" applyNumberFormat="1" applyFont="1" applyFill="1" applyBorder="1" applyAlignment="1">
      <alignment vertical="center"/>
    </xf>
    <xf numFmtId="3" fontId="33" fillId="48" borderId="1" xfId="47" applyNumberFormat="1" applyFont="1" applyFill="1" applyBorder="1" applyAlignment="1">
      <alignment vertical="center"/>
    </xf>
    <xf numFmtId="172" fontId="0" fillId="48" borderId="1" xfId="47" applyNumberFormat="1" applyFont="1" applyFill="1" applyBorder="1" applyAlignment="1">
      <alignment vertical="center"/>
    </xf>
    <xf numFmtId="2" fontId="0" fillId="48" borderId="22" xfId="47" applyNumberFormat="1" applyFont="1" applyFill="1" applyBorder="1" applyAlignment="1">
      <alignment vertical="center"/>
    </xf>
    <xf numFmtId="0" fontId="3" fillId="48" borderId="58" xfId="47" applyFont="1" applyFill="1" applyBorder="1" applyAlignment="1">
      <alignment vertical="center"/>
    </xf>
    <xf numFmtId="0" fontId="3" fillId="48" borderId="48" xfId="47" applyFont="1" applyFill="1" applyBorder="1" applyAlignment="1">
      <alignment vertical="center"/>
    </xf>
    <xf numFmtId="0" fontId="7" fillId="0" borderId="32" xfId="0" applyFont="1" applyBorder="1" applyAlignment="1">
      <alignment vertical="top" wrapText="1"/>
    </xf>
    <xf numFmtId="0" fontId="7" fillId="0" borderId="0" xfId="0" applyFont="1" applyAlignment="1">
      <alignment vertical="top"/>
    </xf>
    <xf numFmtId="0" fontId="0" fillId="0" borderId="32" xfId="0" applyBorder="1" applyAlignment="1">
      <alignment vertical="top" wrapText="1"/>
    </xf>
    <xf numFmtId="0" fontId="0" fillId="46" borderId="32" xfId="0" applyFill="1" applyBorder="1" applyAlignment="1">
      <alignment vertical="top" wrapText="1"/>
    </xf>
    <xf numFmtId="0" fontId="0" fillId="0" borderId="0" xfId="0" applyAlignment="1">
      <alignment vertical="top"/>
    </xf>
    <xf numFmtId="0" fontId="0" fillId="47" borderId="32" xfId="0" applyFill="1" applyBorder="1" applyAlignment="1">
      <alignment vertical="top" wrapText="1"/>
    </xf>
    <xf numFmtId="0" fontId="0" fillId="41" borderId="32" xfId="0" applyFill="1" applyBorder="1" applyAlignment="1">
      <alignment vertical="top" wrapText="1"/>
    </xf>
    <xf numFmtId="0" fontId="0" fillId="0" borderId="0" xfId="0" applyAlignment="1">
      <alignment vertical="top" wrapText="1"/>
    </xf>
    <xf numFmtId="0" fontId="0" fillId="0" borderId="32" xfId="53" applyFont="1" applyFill="1" applyBorder="1" applyAlignment="1">
      <alignment horizontal="right" vertical="center" wrapText="1"/>
    </xf>
    <xf numFmtId="0" fontId="0" fillId="0" borderId="32" xfId="56" applyFont="1" applyFill="1" applyBorder="1">
      <alignment vertical="center"/>
      <protection locked="0"/>
    </xf>
    <xf numFmtId="0" fontId="0" fillId="0" borderId="32" xfId="60" applyFont="1" applyFill="1" applyBorder="1" applyAlignment="1">
      <alignment vertical="center"/>
    </xf>
    <xf numFmtId="0" fontId="46" fillId="0" borderId="32" xfId="0" applyFont="1" applyBorder="1" applyAlignment="1">
      <alignment vertical="top" wrapText="1"/>
    </xf>
    <xf numFmtId="0" fontId="48" fillId="0" borderId="32" xfId="46" applyFont="1" applyBorder="1" applyAlignment="1" applyProtection="1">
      <alignment horizontal="center" vertical="center" wrapText="1"/>
    </xf>
    <xf numFmtId="0" fontId="0" fillId="0" borderId="0" xfId="0" applyAlignment="1"/>
    <xf numFmtId="178" fontId="0" fillId="0" borderId="0" xfId="0" applyNumberFormat="1">
      <alignment vertical="center"/>
    </xf>
    <xf numFmtId="0" fontId="53" fillId="53" borderId="32" xfId="0" applyFont="1" applyFill="1" applyBorder="1" applyAlignment="1">
      <alignment horizontal="center"/>
    </xf>
    <xf numFmtId="0" fontId="53" fillId="41" borderId="32" xfId="0" applyFont="1" applyFill="1" applyBorder="1" applyAlignment="1">
      <alignment horizontal="center"/>
    </xf>
    <xf numFmtId="0" fontId="53" fillId="54" borderId="32" xfId="0" applyFont="1" applyFill="1" applyBorder="1" applyAlignment="1">
      <alignment horizontal="center"/>
    </xf>
    <xf numFmtId="178" fontId="53" fillId="41" borderId="32" xfId="0" applyNumberFormat="1" applyFont="1" applyFill="1" applyBorder="1" applyAlignment="1">
      <alignment horizontal="center"/>
    </xf>
    <xf numFmtId="178" fontId="0" fillId="0" borderId="32" xfId="0" applyNumberFormat="1" applyBorder="1">
      <alignment vertical="center"/>
    </xf>
    <xf numFmtId="0" fontId="0" fillId="60" borderId="0" xfId="47" applyFont="1" applyFill="1" applyBorder="1" applyAlignment="1">
      <alignment vertical="center"/>
    </xf>
    <xf numFmtId="3" fontId="0" fillId="62" borderId="53" xfId="47" applyNumberFormat="1" applyFont="1" applyFill="1" applyBorder="1" applyAlignment="1">
      <alignment vertical="center"/>
    </xf>
    <xf numFmtId="0" fontId="0" fillId="61" borderId="53" xfId="0" applyFill="1" applyBorder="1">
      <alignment vertical="center"/>
    </xf>
    <xf numFmtId="9" fontId="0" fillId="34" borderId="56" xfId="47" applyNumberFormat="1" applyFont="1" applyBorder="1" applyAlignment="1">
      <alignment vertical="center"/>
    </xf>
    <xf numFmtId="0" fontId="0" fillId="61" borderId="0" xfId="0" applyFill="1">
      <alignment vertical="center"/>
    </xf>
    <xf numFmtId="0" fontId="4" fillId="49" borderId="32" xfId="52" applyBorder="1" applyAlignment="1">
      <alignment vertical="center"/>
    </xf>
    <xf numFmtId="0" fontId="0" fillId="35" borderId="32" xfId="53" applyFont="1" applyBorder="1" applyAlignment="1">
      <alignment horizontal="right" vertical="center" wrapText="1"/>
    </xf>
    <xf numFmtId="0" fontId="33" fillId="62" borderId="22" xfId="47" applyFont="1" applyFill="1" applyBorder="1" applyAlignment="1">
      <alignment vertical="center"/>
    </xf>
    <xf numFmtId="2" fontId="33" fillId="62" borderId="22" xfId="47" applyNumberFormat="1" applyFont="1" applyFill="1" applyBorder="1" applyAlignment="1">
      <alignment vertical="center"/>
    </xf>
    <xf numFmtId="0" fontId="0" fillId="34" borderId="22" xfId="47" applyFont="1" applyBorder="1" applyAlignment="1">
      <alignment vertical="center"/>
    </xf>
    <xf numFmtId="0" fontId="8" fillId="61" borderId="0" xfId="0" applyFont="1" applyFill="1">
      <alignment vertical="center"/>
    </xf>
    <xf numFmtId="0" fontId="30" fillId="43" borderId="0" xfId="50" applyBorder="1" applyAlignment="1">
      <alignment horizontal="left" vertical="center" wrapText="1"/>
    </xf>
    <xf numFmtId="3" fontId="0" fillId="62" borderId="22" xfId="47" applyNumberFormat="1" applyFont="1" applyFill="1" applyBorder="1" applyAlignment="1">
      <alignment vertical="center"/>
    </xf>
    <xf numFmtId="3" fontId="33" fillId="62" borderId="22" xfId="47" applyNumberFormat="1" applyFont="1" applyFill="1" applyBorder="1" applyAlignment="1">
      <alignment vertical="center"/>
    </xf>
    <xf numFmtId="0" fontId="6" fillId="35" borderId="32" xfId="53" applyFont="1" applyBorder="1" applyAlignment="1">
      <alignment horizontal="right" vertical="center" wrapText="1"/>
    </xf>
    <xf numFmtId="0" fontId="0" fillId="35" borderId="35" xfId="53" applyFont="1" applyBorder="1" applyAlignment="1">
      <alignment horizontal="right" vertical="center" wrapText="1"/>
    </xf>
    <xf numFmtId="9" fontId="33" fillId="62" borderId="98" xfId="47" applyNumberFormat="1" applyFont="1" applyFill="1" applyBorder="1" applyAlignment="1">
      <alignment vertical="center"/>
    </xf>
    <xf numFmtId="0" fontId="0" fillId="35" borderId="0" xfId="53" applyFont="1" applyBorder="1" applyAlignment="1">
      <alignment horizontal="right" vertical="center" wrapText="1"/>
    </xf>
    <xf numFmtId="0" fontId="33" fillId="63" borderId="22" xfId="53" applyFont="1" applyFill="1" applyBorder="1" applyAlignment="1">
      <alignment horizontal="right" vertical="center" wrapText="1"/>
    </xf>
    <xf numFmtId="9" fontId="33" fillId="62" borderId="22" xfId="47" applyNumberFormat="1" applyFont="1" applyFill="1" applyBorder="1" applyAlignment="1">
      <alignment vertical="center"/>
    </xf>
    <xf numFmtId="0" fontId="33" fillId="62" borderId="8" xfId="47" applyFont="1" applyFill="1" applyBorder="1" applyAlignment="1">
      <alignment vertical="center"/>
    </xf>
    <xf numFmtId="9" fontId="33" fillId="62" borderId="99" xfId="47" applyNumberFormat="1" applyFont="1" applyFill="1" applyBorder="1" applyAlignment="1">
      <alignment vertical="center"/>
    </xf>
    <xf numFmtId="0" fontId="33" fillId="63" borderId="95" xfId="53" applyFont="1" applyFill="1" applyBorder="1" applyAlignment="1">
      <alignment horizontal="right" vertical="center" wrapText="1"/>
    </xf>
    <xf numFmtId="9" fontId="33" fillId="62" borderId="103" xfId="47" applyNumberFormat="1" applyFont="1" applyFill="1" applyBorder="1" applyAlignment="1">
      <alignment vertical="center"/>
    </xf>
    <xf numFmtId="0" fontId="33" fillId="62" borderId="9" xfId="47" applyFont="1" applyFill="1" applyBorder="1" applyAlignment="1">
      <alignment vertical="center"/>
    </xf>
    <xf numFmtId="9" fontId="33" fillId="62" borderId="100" xfId="47" applyNumberFormat="1" applyFont="1" applyFill="1" applyBorder="1" applyAlignment="1">
      <alignment vertical="center"/>
    </xf>
    <xf numFmtId="0" fontId="33" fillId="63" borderId="96" xfId="53" applyFont="1" applyFill="1" applyBorder="1" applyAlignment="1">
      <alignment horizontal="right" vertical="center" wrapText="1"/>
    </xf>
    <xf numFmtId="0" fontId="33" fillId="62" borderId="98" xfId="47" applyFont="1" applyFill="1" applyBorder="1" applyAlignment="1">
      <alignment vertical="center"/>
    </xf>
    <xf numFmtId="0" fontId="33" fillId="62" borderId="96" xfId="47" applyFont="1" applyFill="1" applyBorder="1" applyAlignment="1">
      <alignment vertical="center"/>
    </xf>
    <xf numFmtId="0" fontId="33" fillId="62" borderId="97" xfId="47" applyFont="1" applyFill="1" applyBorder="1" applyAlignment="1">
      <alignment vertical="center"/>
    </xf>
    <xf numFmtId="0" fontId="33" fillId="63" borderId="97" xfId="53" applyFont="1" applyFill="1" applyBorder="1" applyAlignment="1">
      <alignment horizontal="right" vertical="center" wrapText="1"/>
    </xf>
    <xf numFmtId="0" fontId="0" fillId="35" borderId="37" xfId="53" applyFont="1" applyBorder="1" applyAlignment="1">
      <alignment horizontal="right" vertical="center" wrapText="1"/>
    </xf>
    <xf numFmtId="3" fontId="33" fillId="64" borderId="6" xfId="47" applyNumberFormat="1" applyFont="1" applyFill="1" applyBorder="1" applyAlignment="1">
      <alignment vertical="center"/>
    </xf>
    <xf numFmtId="9" fontId="33" fillId="64" borderId="63" xfId="47" applyNumberFormat="1" applyFont="1" applyFill="1" applyBorder="1" applyAlignment="1">
      <alignment vertical="center"/>
    </xf>
    <xf numFmtId="3" fontId="33" fillId="64" borderId="9" xfId="47" applyNumberFormat="1" applyFont="1" applyFill="1" applyBorder="1" applyAlignment="1">
      <alignment vertical="center"/>
    </xf>
    <xf numFmtId="0" fontId="0" fillId="34" borderId="104" xfId="47" applyFont="1" applyBorder="1" applyAlignment="1">
      <alignment vertical="center"/>
    </xf>
    <xf numFmtId="3" fontId="33" fillId="64" borderId="98" xfId="47" applyNumberFormat="1" applyFont="1" applyFill="1" applyBorder="1" applyAlignment="1">
      <alignment vertical="center"/>
    </xf>
    <xf numFmtId="3" fontId="33" fillId="62" borderId="98" xfId="47" applyNumberFormat="1" applyFont="1" applyFill="1" applyBorder="1" applyAlignment="1">
      <alignment vertical="center"/>
    </xf>
    <xf numFmtId="0" fontId="0" fillId="34" borderId="96" xfId="47" applyFont="1" applyBorder="1" applyAlignment="1">
      <alignment vertical="center"/>
    </xf>
    <xf numFmtId="3" fontId="33" fillId="64" borderId="99" xfId="47" applyNumberFormat="1" applyFont="1" applyFill="1" applyBorder="1" applyAlignment="1">
      <alignment vertical="center"/>
    </xf>
    <xf numFmtId="3" fontId="33" fillId="62" borderId="99" xfId="47" applyNumberFormat="1" applyFont="1" applyFill="1" applyBorder="1" applyAlignment="1">
      <alignment vertical="center"/>
    </xf>
    <xf numFmtId="0" fontId="0" fillId="34" borderId="97" xfId="47" applyFont="1" applyBorder="1" applyAlignment="1">
      <alignment vertical="center"/>
    </xf>
    <xf numFmtId="3" fontId="33" fillId="64" borderId="100" xfId="47" applyNumberFormat="1" applyFont="1" applyFill="1" applyBorder="1" applyAlignment="1">
      <alignment vertical="center"/>
    </xf>
    <xf numFmtId="3" fontId="33" fillId="62" borderId="100" xfId="47" applyNumberFormat="1" applyFont="1" applyFill="1" applyBorder="1" applyAlignment="1">
      <alignment vertical="center"/>
    </xf>
    <xf numFmtId="3" fontId="33" fillId="64" borderId="22" xfId="47" applyNumberFormat="1" applyFont="1" applyFill="1" applyBorder="1" applyAlignment="1">
      <alignment vertical="center"/>
    </xf>
    <xf numFmtId="9" fontId="33" fillId="64" borderId="22" xfId="47" applyNumberFormat="1" applyFont="1" applyFill="1" applyBorder="1" applyAlignment="1">
      <alignment vertical="center"/>
    </xf>
    <xf numFmtId="3" fontId="33" fillId="64" borderId="1" xfId="47" applyNumberFormat="1" applyFont="1" applyFill="1" applyBorder="1" applyAlignment="1">
      <alignment vertical="center"/>
    </xf>
    <xf numFmtId="0" fontId="33" fillId="64" borderId="1" xfId="47" applyFont="1" applyFill="1" applyBorder="1" applyAlignment="1">
      <alignment vertical="center"/>
    </xf>
    <xf numFmtId="0" fontId="33" fillId="64" borderId="22" xfId="47" applyFont="1" applyFill="1" applyBorder="1" applyAlignment="1">
      <alignment vertical="center"/>
    </xf>
    <xf numFmtId="0" fontId="0" fillId="61" borderId="0" xfId="0" applyFill="1" applyAlignment="1">
      <alignment horizontal="right" vertical="center"/>
    </xf>
    <xf numFmtId="0" fontId="4" fillId="49" borderId="0" xfId="52" applyBorder="1" applyAlignment="1">
      <alignment vertical="center"/>
    </xf>
    <xf numFmtId="0" fontId="11" fillId="61" borderId="0" xfId="0" applyFont="1" applyFill="1">
      <alignment vertical="center"/>
    </xf>
    <xf numFmtId="2" fontId="33" fillId="62" borderId="22" xfId="47" applyNumberFormat="1" applyFont="1" applyFill="1" applyBorder="1" applyAlignment="1">
      <alignment horizontal="right" vertical="center"/>
    </xf>
    <xf numFmtId="2" fontId="33" fillId="65" borderId="22" xfId="0" applyNumberFormat="1" applyFont="1" applyFill="1" applyBorder="1">
      <alignment vertical="center"/>
    </xf>
    <xf numFmtId="2" fontId="0" fillId="61" borderId="0" xfId="0" applyNumberFormat="1" applyFill="1">
      <alignment vertical="center"/>
    </xf>
    <xf numFmtId="0" fontId="0" fillId="34" borderId="95" xfId="47" applyFont="1" applyBorder="1" applyAlignment="1">
      <alignment vertical="center"/>
    </xf>
    <xf numFmtId="2" fontId="33" fillId="62" borderId="95" xfId="47" applyNumberFormat="1" applyFont="1" applyFill="1" applyBorder="1" applyAlignment="1">
      <alignment vertical="center"/>
    </xf>
    <xf numFmtId="2" fontId="33" fillId="62" borderId="96" xfId="47" applyNumberFormat="1" applyFont="1" applyFill="1" applyBorder="1" applyAlignment="1">
      <alignment vertical="center"/>
    </xf>
    <xf numFmtId="2" fontId="33" fillId="62" borderId="97" xfId="47" applyNumberFormat="1" applyFont="1" applyFill="1" applyBorder="1" applyAlignment="1">
      <alignment vertical="center"/>
    </xf>
    <xf numFmtId="2" fontId="33" fillId="62" borderId="4" xfId="47" applyNumberFormat="1" applyFont="1" applyFill="1" applyBorder="1" applyAlignment="1">
      <alignment vertical="center"/>
    </xf>
    <xf numFmtId="0" fontId="0" fillId="34" borderId="105" xfId="47" applyFont="1" applyBorder="1" applyAlignment="1">
      <alignment vertical="center"/>
    </xf>
    <xf numFmtId="2" fontId="33" fillId="62" borderId="104" xfId="47" applyNumberFormat="1" applyFont="1" applyFill="1" applyBorder="1" applyAlignment="1">
      <alignment vertical="center"/>
    </xf>
    <xf numFmtId="0" fontId="0" fillId="34" borderId="108" xfId="47" applyFont="1" applyBorder="1" applyAlignment="1">
      <alignment vertical="center"/>
    </xf>
    <xf numFmtId="168" fontId="0" fillId="61" borderId="0" xfId="0" applyNumberFormat="1" applyFill="1">
      <alignment vertical="center"/>
    </xf>
    <xf numFmtId="4" fontId="33" fillId="62" borderId="8" xfId="47" applyNumberFormat="1" applyFont="1" applyFill="1" applyBorder="1" applyAlignment="1">
      <alignment vertical="center"/>
    </xf>
    <xf numFmtId="9" fontId="33" fillId="62" borderId="7" xfId="47" applyNumberFormat="1" applyFont="1" applyFill="1" applyBorder="1" applyAlignment="1">
      <alignment vertical="center"/>
    </xf>
    <xf numFmtId="9" fontId="33" fillId="62" borderId="8" xfId="47" applyNumberFormat="1" applyFont="1" applyFill="1" applyBorder="1" applyAlignment="1">
      <alignment vertical="center"/>
    </xf>
    <xf numFmtId="4" fontId="33" fillId="62" borderId="9" xfId="47" applyNumberFormat="1" applyFont="1" applyFill="1" applyBorder="1" applyAlignment="1">
      <alignment vertical="center"/>
    </xf>
    <xf numFmtId="9" fontId="33" fillId="62" borderId="9" xfId="47" applyNumberFormat="1" applyFont="1" applyFill="1" applyBorder="1" applyAlignment="1">
      <alignment vertical="center"/>
    </xf>
    <xf numFmtId="4" fontId="33" fillId="64" borderId="1" xfId="47" applyNumberFormat="1" applyFont="1" applyFill="1" applyBorder="1" applyAlignment="1">
      <alignment vertical="center"/>
    </xf>
    <xf numFmtId="9" fontId="33" fillId="64" borderId="1" xfId="47" applyNumberFormat="1" applyFont="1" applyFill="1" applyBorder="1" applyAlignment="1">
      <alignment vertical="center"/>
    </xf>
    <xf numFmtId="0" fontId="12" fillId="61" borderId="0" xfId="0" applyFont="1" applyFill="1">
      <alignment vertical="center"/>
    </xf>
    <xf numFmtId="3" fontId="33" fillId="62" borderId="6" xfId="47" applyNumberFormat="1" applyFont="1" applyFill="1" applyBorder="1" applyAlignment="1">
      <alignment vertical="center"/>
    </xf>
    <xf numFmtId="172" fontId="0" fillId="34" borderId="9" xfId="47" applyNumberFormat="1" applyFont="1" applyBorder="1" applyAlignment="1">
      <alignment vertical="center"/>
    </xf>
    <xf numFmtId="172" fontId="0" fillId="34" borderId="1" xfId="47" applyNumberFormat="1" applyFont="1" applyBorder="1" applyAlignment="1">
      <alignment vertical="center"/>
    </xf>
    <xf numFmtId="2" fontId="0" fillId="34" borderId="22" xfId="47" applyNumberFormat="1" applyFont="1" applyBorder="1" applyAlignment="1">
      <alignment vertical="center"/>
    </xf>
    <xf numFmtId="3" fontId="0" fillId="64" borderId="22" xfId="47" applyNumberFormat="1" applyFont="1" applyFill="1" applyBorder="1" applyAlignment="1">
      <alignment vertical="center"/>
    </xf>
    <xf numFmtId="3" fontId="0" fillId="61" borderId="0" xfId="0" applyNumberFormat="1" applyFill="1">
      <alignment vertical="center"/>
    </xf>
    <xf numFmtId="173" fontId="33" fillId="62" borderId="22" xfId="47" applyNumberFormat="1" applyFont="1" applyFill="1" applyBorder="1" applyAlignment="1">
      <alignment horizontal="right" vertical="center"/>
    </xf>
    <xf numFmtId="1" fontId="0" fillId="61" borderId="0" xfId="0" applyNumberFormat="1" applyFill="1">
      <alignment vertical="center"/>
    </xf>
    <xf numFmtId="0" fontId="3" fillId="47" borderId="0" xfId="61" applyAlignment="1">
      <alignment vertical="center"/>
    </xf>
    <xf numFmtId="168" fontId="33" fillId="65" borderId="22" xfId="0" applyNumberFormat="1" applyFont="1" applyFill="1" applyBorder="1">
      <alignment vertical="center"/>
    </xf>
    <xf numFmtId="175" fontId="33" fillId="62" borderId="22" xfId="47" applyNumberFormat="1" applyFont="1" applyFill="1" applyBorder="1" applyAlignment="1">
      <alignment vertical="center"/>
    </xf>
    <xf numFmtId="0" fontId="0" fillId="34" borderId="107" xfId="47" applyFont="1" applyBorder="1" applyAlignment="1">
      <alignment vertical="center"/>
    </xf>
    <xf numFmtId="2" fontId="33" fillId="62" borderId="1" xfId="47" applyNumberFormat="1" applyFont="1" applyFill="1" applyBorder="1" applyAlignment="1">
      <alignment vertical="center"/>
    </xf>
    <xf numFmtId="174" fontId="0" fillId="35" borderId="32" xfId="53" applyNumberFormat="1" applyFont="1" applyBorder="1" applyAlignment="1">
      <alignment horizontal="right" vertical="center" wrapText="1"/>
    </xf>
    <xf numFmtId="0" fontId="33" fillId="64" borderId="116" xfId="47" applyFont="1" applyFill="1" applyBorder="1" applyAlignment="1">
      <alignment horizontal="right" vertical="center"/>
    </xf>
    <xf numFmtId="174" fontId="33" fillId="64" borderId="39" xfId="47" applyNumberFormat="1" applyFont="1" applyFill="1" applyBorder="1" applyAlignment="1">
      <alignment vertical="center"/>
    </xf>
    <xf numFmtId="164" fontId="33" fillId="64" borderId="74" xfId="47" applyNumberFormat="1" applyFont="1" applyFill="1" applyBorder="1" applyAlignment="1">
      <alignment horizontal="right" vertical="center"/>
    </xf>
    <xf numFmtId="4" fontId="33" fillId="64" borderId="68" xfId="47" applyNumberFormat="1" applyFont="1" applyFill="1" applyBorder="1" applyAlignment="1">
      <alignment vertical="center"/>
    </xf>
    <xf numFmtId="0" fontId="33" fillId="64" borderId="61" xfId="47" applyFont="1" applyFill="1" applyBorder="1" applyAlignment="1">
      <alignment horizontal="right" vertical="center"/>
    </xf>
    <xf numFmtId="174" fontId="33" fillId="64" borderId="32" xfId="47" applyNumberFormat="1" applyFont="1" applyFill="1" applyBorder="1" applyAlignment="1">
      <alignment vertical="center"/>
    </xf>
    <xf numFmtId="164" fontId="33" fillId="64" borderId="35" xfId="47" applyNumberFormat="1" applyFont="1" applyFill="1" applyBorder="1" applyAlignment="1">
      <alignment horizontal="right" vertical="center"/>
    </xf>
    <xf numFmtId="4" fontId="33" fillId="64" borderId="75" xfId="47" applyNumberFormat="1" applyFont="1" applyFill="1" applyBorder="1" applyAlignment="1">
      <alignment vertical="center"/>
    </xf>
    <xf numFmtId="0" fontId="33" fillId="64" borderId="62" xfId="47" applyFont="1" applyFill="1" applyBorder="1" applyAlignment="1">
      <alignment horizontal="right" vertical="center"/>
    </xf>
    <xf numFmtId="174" fontId="33" fillId="64" borderId="40" xfId="47" applyNumberFormat="1" applyFont="1" applyFill="1" applyBorder="1" applyAlignment="1">
      <alignment vertical="center"/>
    </xf>
    <xf numFmtId="164" fontId="33" fillId="64" borderId="102" xfId="47" applyNumberFormat="1" applyFont="1" applyFill="1" applyBorder="1" applyAlignment="1">
      <alignment horizontal="right" vertical="center"/>
    </xf>
    <xf numFmtId="4" fontId="33" fillId="64" borderId="115" xfId="47" applyNumberFormat="1" applyFont="1" applyFill="1" applyBorder="1" applyAlignment="1">
      <alignment vertical="center"/>
    </xf>
    <xf numFmtId="174" fontId="0" fillId="61" borderId="0" xfId="2" applyNumberFormat="1" applyFont="1" applyFill="1" applyAlignment="1">
      <alignment vertical="center"/>
    </xf>
    <xf numFmtId="164" fontId="0" fillId="61" borderId="0" xfId="0" applyNumberFormat="1" applyFill="1" applyAlignment="1">
      <alignment horizontal="right" vertical="center"/>
    </xf>
    <xf numFmtId="4" fontId="0" fillId="61" borderId="0" xfId="0" applyNumberFormat="1" applyFill="1">
      <alignment vertical="center"/>
    </xf>
    <xf numFmtId="174" fontId="0" fillId="61" borderId="0" xfId="0" applyNumberFormat="1" applyFill="1">
      <alignment vertical="center"/>
    </xf>
    <xf numFmtId="0" fontId="33" fillId="65" borderId="22" xfId="0" applyFont="1" applyFill="1" applyBorder="1">
      <alignment vertical="center"/>
    </xf>
    <xf numFmtId="0" fontId="0" fillId="61" borderId="0" xfId="0" applyFill="1" applyAlignment="1">
      <alignment horizontal="center" vertical="center"/>
    </xf>
    <xf numFmtId="0" fontId="5" fillId="61" borderId="0" xfId="0" applyFont="1" applyFill="1">
      <alignment vertical="center"/>
    </xf>
    <xf numFmtId="172" fontId="0" fillId="62" borderId="9" xfId="47" applyNumberFormat="1" applyFont="1" applyFill="1" applyBorder="1" applyAlignment="1">
      <alignment vertical="center"/>
    </xf>
    <xf numFmtId="2" fontId="0" fillId="62" borderId="22" xfId="47" applyNumberFormat="1" applyFont="1" applyFill="1" applyBorder="1" applyAlignment="1">
      <alignment vertical="center"/>
    </xf>
    <xf numFmtId="2" fontId="0" fillId="64" borderId="22" xfId="47" applyNumberFormat="1" applyFont="1" applyFill="1" applyBorder="1" applyAlignment="1">
      <alignment vertical="center"/>
    </xf>
    <xf numFmtId="172" fontId="0" fillId="64" borderId="1" xfId="47" applyNumberFormat="1" applyFont="1" applyFill="1" applyBorder="1" applyAlignment="1">
      <alignment vertical="center"/>
    </xf>
    <xf numFmtId="0" fontId="33" fillId="34" borderId="22" xfId="47" applyFont="1" applyBorder="1" applyAlignment="1">
      <alignment vertical="center"/>
    </xf>
    <xf numFmtId="0" fontId="0" fillId="61" borderId="22" xfId="0" applyFill="1" applyBorder="1">
      <alignment vertical="center"/>
    </xf>
    <xf numFmtId="0" fontId="3" fillId="61" borderId="0" xfId="0" applyFont="1" applyFill="1">
      <alignment vertical="center"/>
    </xf>
    <xf numFmtId="3" fontId="33" fillId="66" borderId="22" xfId="47" applyNumberFormat="1" applyFont="1" applyFill="1" applyBorder="1" applyAlignment="1">
      <alignment vertical="center"/>
    </xf>
    <xf numFmtId="0" fontId="3" fillId="34" borderId="57" xfId="47" applyFont="1" applyBorder="1" applyAlignment="1">
      <alignment vertical="center"/>
    </xf>
    <xf numFmtId="3" fontId="0" fillId="64" borderId="5" xfId="47" applyNumberFormat="1" applyFont="1" applyFill="1" applyBorder="1" applyAlignment="1">
      <alignment vertical="center"/>
    </xf>
    <xf numFmtId="3" fontId="0" fillId="64" borderId="8" xfId="47" applyNumberFormat="1" applyFont="1" applyFill="1" applyBorder="1" applyAlignment="1">
      <alignment vertical="center"/>
    </xf>
    <xf numFmtId="3" fontId="0" fillId="67" borderId="5" xfId="47" applyNumberFormat="1" applyFont="1" applyFill="1" applyBorder="1" applyAlignment="1">
      <alignment vertical="center"/>
    </xf>
    <xf numFmtId="3" fontId="0" fillId="67" borderId="8" xfId="47" applyNumberFormat="1" applyFont="1" applyFill="1" applyBorder="1" applyAlignment="1">
      <alignment vertical="center"/>
    </xf>
    <xf numFmtId="3" fontId="0" fillId="68" borderId="49" xfId="0" applyNumberFormat="1" applyFill="1" applyBorder="1">
      <alignment vertical="center"/>
    </xf>
    <xf numFmtId="3" fontId="0" fillId="68" borderId="50" xfId="0" applyNumberFormat="1" applyFill="1" applyBorder="1">
      <alignment vertical="center"/>
    </xf>
    <xf numFmtId="3" fontId="0" fillId="68" borderId="51" xfId="0" applyNumberFormat="1" applyFill="1" applyBorder="1">
      <alignment vertical="center"/>
    </xf>
    <xf numFmtId="0" fontId="3" fillId="34" borderId="58" xfId="47" applyFont="1" applyBorder="1" applyAlignment="1">
      <alignment vertical="center"/>
    </xf>
    <xf numFmtId="3" fontId="0" fillId="69" borderId="49" xfId="0" applyNumberFormat="1" applyFill="1" applyBorder="1">
      <alignment vertical="center"/>
    </xf>
    <xf numFmtId="3" fontId="0" fillId="69" borderId="50" xfId="0" applyNumberFormat="1" applyFill="1" applyBorder="1">
      <alignment vertical="center"/>
    </xf>
    <xf numFmtId="3" fontId="0" fillId="69" borderId="51" xfId="0" applyNumberFormat="1" applyFill="1" applyBorder="1">
      <alignment vertical="center"/>
    </xf>
    <xf numFmtId="0" fontId="9" fillId="35" borderId="35" xfId="53" applyFont="1" applyBorder="1" applyAlignment="1">
      <alignment horizontal="right" vertical="center" wrapText="1"/>
    </xf>
    <xf numFmtId="3" fontId="9" fillId="68" borderId="52" xfId="0" applyNumberFormat="1" applyFont="1" applyFill="1" applyBorder="1">
      <alignment vertical="center"/>
    </xf>
    <xf numFmtId="3" fontId="9" fillId="68" borderId="1" xfId="0" applyNumberFormat="1" applyFont="1" applyFill="1" applyBorder="1">
      <alignment vertical="center"/>
    </xf>
    <xf numFmtId="3" fontId="9" fillId="68" borderId="53" xfId="0" applyNumberFormat="1" applyFont="1" applyFill="1" applyBorder="1">
      <alignment vertical="center"/>
    </xf>
    <xf numFmtId="3" fontId="9" fillId="69" borderId="52" xfId="0" applyNumberFormat="1" applyFont="1" applyFill="1" applyBorder="1">
      <alignment vertical="center"/>
    </xf>
    <xf numFmtId="3" fontId="9" fillId="69" borderId="1" xfId="0" applyNumberFormat="1" applyFont="1" applyFill="1" applyBorder="1">
      <alignment vertical="center"/>
    </xf>
    <xf numFmtId="3" fontId="9" fillId="69" borderId="53" xfId="0" applyNumberFormat="1" applyFont="1" applyFill="1" applyBorder="1">
      <alignment vertical="center"/>
    </xf>
    <xf numFmtId="3" fontId="0" fillId="68" borderId="54" xfId="0" applyNumberFormat="1" applyFill="1" applyBorder="1">
      <alignment vertical="center"/>
    </xf>
    <xf numFmtId="3" fontId="0" fillId="68" borderId="55" xfId="0" applyNumberFormat="1" applyFill="1" applyBorder="1">
      <alignment vertical="center"/>
    </xf>
    <xf numFmtId="3" fontId="0" fillId="68" borderId="56" xfId="0" applyNumberFormat="1" applyFill="1" applyBorder="1">
      <alignment vertical="center"/>
    </xf>
    <xf numFmtId="3" fontId="0" fillId="69" borderId="54" xfId="0" applyNumberFormat="1" applyFill="1" applyBorder="1">
      <alignment vertical="center"/>
    </xf>
    <xf numFmtId="3" fontId="0" fillId="69" borderId="55" xfId="0" applyNumberFormat="1" applyFill="1" applyBorder="1">
      <alignment vertical="center"/>
    </xf>
    <xf numFmtId="3" fontId="0" fillId="69" borderId="56" xfId="0" applyNumberFormat="1" applyFill="1" applyBorder="1">
      <alignment vertical="center"/>
    </xf>
    <xf numFmtId="0" fontId="4" fillId="35" borderId="32" xfId="53" applyFont="1" applyBorder="1" applyAlignment="1">
      <alignment horizontal="right" vertical="center" wrapText="1"/>
    </xf>
    <xf numFmtId="3" fontId="4" fillId="64" borderId="6" xfId="47" applyNumberFormat="1" applyFont="1" applyFill="1" applyBorder="1" applyAlignment="1">
      <alignment vertical="center"/>
    </xf>
    <xf numFmtId="3" fontId="4" fillId="64" borderId="9" xfId="47" applyNumberFormat="1" applyFont="1" applyFill="1" applyBorder="1" applyAlignment="1">
      <alignment vertical="center"/>
    </xf>
    <xf numFmtId="3" fontId="4" fillId="67" borderId="6" xfId="47" applyNumberFormat="1" applyFont="1" applyFill="1" applyBorder="1" applyAlignment="1">
      <alignment vertical="center"/>
    </xf>
    <xf numFmtId="3" fontId="4" fillId="67" borderId="9" xfId="47" applyNumberFormat="1" applyFont="1" applyFill="1" applyBorder="1" applyAlignment="1">
      <alignment vertical="center"/>
    </xf>
    <xf numFmtId="0" fontId="4" fillId="49" borderId="32" xfId="52" applyBorder="1" applyAlignment="1">
      <alignment horizontal="right" vertical="center" wrapText="1"/>
    </xf>
    <xf numFmtId="3" fontId="0" fillId="61" borderId="49" xfId="0" applyNumberFormat="1" applyFill="1" applyBorder="1">
      <alignment vertical="center"/>
    </xf>
    <xf numFmtId="3" fontId="0" fillId="61" borderId="50" xfId="0" applyNumberFormat="1" applyFill="1" applyBorder="1">
      <alignment vertical="center"/>
    </xf>
    <xf numFmtId="3" fontId="0" fillId="61" borderId="52" xfId="0" applyNumberFormat="1" applyFill="1" applyBorder="1">
      <alignment vertical="center"/>
    </xf>
    <xf numFmtId="3" fontId="0" fillId="61" borderId="1" xfId="0" applyNumberFormat="1" applyFill="1" applyBorder="1">
      <alignment vertical="center"/>
    </xf>
    <xf numFmtId="3" fontId="0" fillId="68" borderId="53" xfId="0" applyNumberFormat="1" applyFill="1" applyBorder="1">
      <alignment vertical="center"/>
    </xf>
    <xf numFmtId="0" fontId="0" fillId="61" borderId="52" xfId="0" applyFill="1" applyBorder="1">
      <alignment vertical="center"/>
    </xf>
    <xf numFmtId="0" fontId="0" fillId="61" borderId="1" xfId="0" applyFill="1" applyBorder="1">
      <alignment vertical="center"/>
    </xf>
    <xf numFmtId="0" fontId="0" fillId="68" borderId="53" xfId="0" applyFill="1" applyBorder="1">
      <alignment vertical="center"/>
    </xf>
    <xf numFmtId="9" fontId="0" fillId="61" borderId="54" xfId="1" applyFont="1" applyFill="1" applyBorder="1" applyAlignment="1">
      <alignment vertical="center"/>
    </xf>
    <xf numFmtId="9" fontId="0" fillId="61" borderId="55" xfId="1" applyFont="1" applyFill="1" applyBorder="1" applyAlignment="1">
      <alignment vertical="center"/>
    </xf>
    <xf numFmtId="0" fontId="0" fillId="48" borderId="1" xfId="47" applyFont="1" applyFill="1" applyBorder="1" applyAlignment="1">
      <alignment horizontal="left" vertical="center"/>
    </xf>
    <xf numFmtId="171" fontId="33" fillId="64" borderId="1" xfId="47" applyNumberFormat="1" applyFont="1" applyFill="1" applyBorder="1" applyAlignment="1">
      <alignment vertical="center"/>
    </xf>
    <xf numFmtId="0" fontId="0" fillId="0" borderId="67" xfId="0" applyBorder="1">
      <alignment vertical="center"/>
    </xf>
    <xf numFmtId="0" fontId="60" fillId="0" borderId="32" xfId="0" applyFont="1" applyBorder="1">
      <alignment vertical="center"/>
    </xf>
    <xf numFmtId="0" fontId="60" fillId="0" borderId="37" xfId="0" applyFont="1" applyBorder="1" applyAlignment="1">
      <alignment horizontal="left" vertical="center"/>
    </xf>
    <xf numFmtId="0" fontId="60" fillId="0" borderId="32" xfId="0" applyFont="1" applyBorder="1" applyAlignment="1">
      <alignment vertical="center" wrapText="1"/>
    </xf>
    <xf numFmtId="0" fontId="60" fillId="0" borderId="0" xfId="0" applyFont="1">
      <alignment vertical="center"/>
    </xf>
    <xf numFmtId="0" fontId="61" fillId="0" borderId="32" xfId="0" applyFont="1" applyBorder="1" applyAlignment="1">
      <alignment vertical="center" wrapText="1"/>
    </xf>
    <xf numFmtId="0" fontId="54" fillId="0" borderId="32" xfId="0" applyFont="1" applyBorder="1">
      <alignment vertical="center"/>
    </xf>
    <xf numFmtId="0" fontId="54" fillId="0" borderId="34" xfId="0" applyFont="1" applyBorder="1">
      <alignment vertical="center"/>
    </xf>
    <xf numFmtId="0" fontId="54" fillId="34" borderId="32" xfId="47" applyFont="1" applyBorder="1" applyAlignment="1">
      <alignment horizontal="center" vertical="center"/>
    </xf>
    <xf numFmtId="0" fontId="54" fillId="0" borderId="75" xfId="0" applyFont="1" applyBorder="1" applyAlignment="1">
      <alignment vertical="center" wrapText="1"/>
    </xf>
    <xf numFmtId="0" fontId="54" fillId="0" borderId="0" xfId="0" applyFont="1">
      <alignment vertical="center"/>
    </xf>
    <xf numFmtId="0" fontId="62" fillId="0" borderId="32" xfId="0" applyFont="1" applyBorder="1" applyAlignment="1">
      <alignment vertical="center" wrapText="1"/>
    </xf>
    <xf numFmtId="0" fontId="63" fillId="37" borderId="32" xfId="55" applyFont="1" applyBorder="1">
      <alignment vertical="center" wrapText="1"/>
      <protection hidden="1"/>
    </xf>
    <xf numFmtId="0" fontId="54" fillId="0" borderId="35" xfId="0" applyFont="1" applyBorder="1">
      <alignment vertical="center"/>
    </xf>
    <xf numFmtId="0" fontId="64" fillId="45" borderId="37" xfId="0" applyFont="1" applyFill="1" applyBorder="1" applyAlignment="1">
      <alignment horizontal="center" vertical="center"/>
    </xf>
    <xf numFmtId="0" fontId="54" fillId="35" borderId="37" xfId="53" applyFont="1" applyBorder="1" applyAlignment="1">
      <alignment horizontal="center" vertical="center" wrapText="1"/>
    </xf>
    <xf numFmtId="0" fontId="54" fillId="36" borderId="10" xfId="54" applyFont="1" applyBorder="1" applyAlignment="1">
      <alignment horizontal="center" vertical="center" wrapText="1"/>
      <protection locked="0"/>
    </xf>
    <xf numFmtId="0" fontId="54" fillId="39" borderId="10" xfId="58" applyFont="1" applyBorder="1" applyAlignment="1">
      <alignment horizontal="center" vertical="center"/>
      <protection locked="0"/>
    </xf>
    <xf numFmtId="0" fontId="54" fillId="38" borderId="10" xfId="56" applyFont="1" applyBorder="1" applyAlignment="1">
      <alignment horizontal="center" vertical="center"/>
      <protection locked="0"/>
    </xf>
    <xf numFmtId="0" fontId="54" fillId="0" borderId="0" xfId="0" applyFont="1" applyAlignment="1">
      <alignment vertical="center" wrapText="1"/>
    </xf>
    <xf numFmtId="0" fontId="54" fillId="44" borderId="134" xfId="60" applyFont="1" applyBorder="1" applyAlignment="1">
      <alignment horizontal="center" vertical="center"/>
    </xf>
    <xf numFmtId="0" fontId="54" fillId="59" borderId="10" xfId="60" applyFont="1" applyFill="1" applyBorder="1" applyAlignment="1">
      <alignment horizontal="center" vertical="center"/>
    </xf>
    <xf numFmtId="0" fontId="54" fillId="56" borderId="10" xfId="60" applyFont="1" applyFill="1" applyBorder="1" applyAlignment="1">
      <alignment horizontal="center" vertical="center"/>
    </xf>
    <xf numFmtId="0" fontId="54" fillId="57" borderId="65" xfId="60" applyFont="1" applyFill="1" applyBorder="1" applyAlignment="1">
      <alignment horizontal="center" vertical="center"/>
    </xf>
    <xf numFmtId="0" fontId="54" fillId="52" borderId="38" xfId="63" applyFont="1" applyBorder="1" applyAlignment="1">
      <alignment horizontal="center" vertical="center"/>
    </xf>
    <xf numFmtId="0" fontId="54" fillId="0" borderId="37" xfId="0" applyFont="1" applyBorder="1">
      <alignment vertical="center"/>
    </xf>
    <xf numFmtId="0" fontId="65" fillId="42" borderId="39" xfId="51" applyFont="1" applyBorder="1" applyAlignment="1">
      <alignment horizontal="center" vertical="center"/>
    </xf>
    <xf numFmtId="0" fontId="54" fillId="0" borderId="32" xfId="0" applyFont="1" applyBorder="1" applyAlignment="1">
      <alignment vertical="center" wrapText="1"/>
    </xf>
    <xf numFmtId="0" fontId="66" fillId="43" borderId="0" xfId="50" applyFont="1" applyBorder="1" applyAlignment="1">
      <alignment horizontal="center" vertical="center"/>
    </xf>
    <xf numFmtId="0" fontId="54" fillId="0" borderId="37" xfId="0" applyFont="1" applyBorder="1" applyAlignment="1">
      <alignment vertical="center" wrapText="1"/>
    </xf>
    <xf numFmtId="0" fontId="67" fillId="49" borderId="32" xfId="52" applyFont="1" applyBorder="1" applyAlignment="1">
      <alignment horizontal="center" vertical="center"/>
    </xf>
    <xf numFmtId="0" fontId="67" fillId="55" borderId="32" xfId="52" applyFont="1" applyFill="1" applyBorder="1" applyAlignment="1">
      <alignment horizontal="center" vertical="center"/>
    </xf>
    <xf numFmtId="0" fontId="67" fillId="58" borderId="32" xfId="52" applyFont="1" applyFill="1" applyBorder="1" applyAlignment="1">
      <alignment horizontal="center" vertical="center"/>
    </xf>
    <xf numFmtId="0" fontId="60" fillId="38" borderId="32" xfId="56" applyFont="1" applyBorder="1" applyAlignment="1">
      <alignment horizontal="center" vertical="center"/>
      <protection locked="0"/>
    </xf>
    <xf numFmtId="0" fontId="54" fillId="0" borderId="38" xfId="0" applyFont="1" applyBorder="1">
      <alignment vertical="center"/>
    </xf>
    <xf numFmtId="0" fontId="60" fillId="2" borderId="39" xfId="0" applyFont="1" applyFill="1" applyBorder="1" applyAlignment="1">
      <alignment horizontal="center" vertical="center"/>
    </xf>
    <xf numFmtId="0" fontId="54" fillId="0" borderId="39" xfId="0" applyFont="1" applyBorder="1" applyAlignment="1">
      <alignment vertical="center" wrapText="1"/>
    </xf>
    <xf numFmtId="0" fontId="68" fillId="0" borderId="0" xfId="0" applyFont="1" applyAlignment="1">
      <alignment horizontal="right" vertical="center"/>
    </xf>
    <xf numFmtId="0" fontId="54" fillId="0" borderId="46" xfId="0" applyFont="1" applyBorder="1" applyAlignment="1">
      <alignment vertical="center" wrapText="1"/>
    </xf>
    <xf numFmtId="0" fontId="54" fillId="38" borderId="42" xfId="56" applyFont="1" applyBorder="1">
      <alignment vertical="center"/>
      <protection locked="0"/>
    </xf>
    <xf numFmtId="0" fontId="54" fillId="0" borderId="33" xfId="0" applyFont="1" applyBorder="1">
      <alignment vertical="center"/>
    </xf>
    <xf numFmtId="0" fontId="54" fillId="0" borderId="113" xfId="0" applyFont="1" applyBorder="1" applyAlignment="1">
      <alignment horizontal="center" vertical="center"/>
    </xf>
    <xf numFmtId="0" fontId="54" fillId="0" borderId="0" xfId="0" applyFont="1" applyAlignment="1">
      <alignment horizontal="center" vertical="center"/>
    </xf>
    <xf numFmtId="0" fontId="54" fillId="0" borderId="117" xfId="0" applyFont="1" applyBorder="1" applyAlignment="1">
      <alignment horizontal="center" vertical="center"/>
    </xf>
    <xf numFmtId="0" fontId="65" fillId="42" borderId="39" xfId="56" applyFont="1" applyFill="1" applyBorder="1" applyAlignment="1">
      <alignment horizontal="center" vertical="center"/>
      <protection locked="0"/>
    </xf>
    <xf numFmtId="0" fontId="65" fillId="38" borderId="39" xfId="56" applyFont="1" applyBorder="1">
      <alignment vertical="center"/>
      <protection locked="0"/>
    </xf>
    <xf numFmtId="0" fontId="57" fillId="41" borderId="65" xfId="60" applyFont="1" applyFill="1" applyBorder="1" applyAlignment="1">
      <alignment horizontal="center" vertical="center"/>
    </xf>
    <xf numFmtId="0" fontId="31" fillId="61" borderId="0" xfId="0" applyFont="1" applyFill="1">
      <alignment vertical="center"/>
    </xf>
    <xf numFmtId="0" fontId="31" fillId="61" borderId="0" xfId="0" applyFont="1" applyFill="1" applyAlignment="1">
      <alignment horizontal="center" vertical="center"/>
    </xf>
    <xf numFmtId="0" fontId="31" fillId="34" borderId="32" xfId="47" applyFont="1" applyBorder="1" applyAlignment="1">
      <alignment horizontal="center" vertical="center" wrapText="1"/>
    </xf>
    <xf numFmtId="0" fontId="39" fillId="62" borderId="38" xfId="47" applyFont="1" applyFill="1" applyBorder="1" applyAlignment="1">
      <alignment vertical="center" wrapText="1"/>
    </xf>
    <xf numFmtId="0" fontId="31" fillId="61" borderId="0" xfId="0" applyFont="1" applyFill="1" applyAlignment="1">
      <alignment horizontal="left" vertical="center" wrapText="1"/>
    </xf>
    <xf numFmtId="0" fontId="42" fillId="37" borderId="42" xfId="55" applyBorder="1" applyAlignment="1">
      <alignment horizontal="left" vertical="center" wrapText="1"/>
      <protection hidden="1"/>
    </xf>
    <xf numFmtId="0" fontId="43" fillId="70" borderId="129" xfId="55" applyFont="1" applyFill="1" applyBorder="1" applyAlignment="1">
      <alignment horizontal="left" vertical="center" wrapText="1"/>
      <protection hidden="1"/>
    </xf>
    <xf numFmtId="0" fontId="43" fillId="70" borderId="109" xfId="55" applyFont="1" applyFill="1" applyBorder="1" applyAlignment="1">
      <alignment horizontal="left" vertical="center" wrapText="1"/>
      <protection hidden="1"/>
    </xf>
    <xf numFmtId="0" fontId="43" fillId="70" borderId="110" xfId="55" applyFont="1" applyFill="1" applyBorder="1" applyAlignment="1">
      <alignment horizontal="left" vertical="center" wrapText="1"/>
      <protection hidden="1"/>
    </xf>
    <xf numFmtId="0" fontId="31" fillId="69" borderId="95" xfId="0" applyFont="1" applyFill="1" applyBorder="1" applyAlignment="1">
      <alignment horizontal="center" vertical="center"/>
    </xf>
    <xf numFmtId="0" fontId="31" fillId="61" borderId="128" xfId="0" applyFont="1" applyFill="1" applyBorder="1">
      <alignment vertical="center"/>
    </xf>
    <xf numFmtId="0" fontId="31" fillId="61" borderId="114" xfId="0" applyFont="1" applyFill="1" applyBorder="1">
      <alignment vertical="center"/>
    </xf>
    <xf numFmtId="0" fontId="31" fillId="61" borderId="101" xfId="0" applyFont="1" applyFill="1" applyBorder="1">
      <alignment vertical="center"/>
    </xf>
    <xf numFmtId="0" fontId="31" fillId="61" borderId="66" xfId="0" applyFont="1" applyFill="1" applyBorder="1">
      <alignment vertical="center"/>
    </xf>
    <xf numFmtId="0" fontId="31" fillId="61" borderId="111" xfId="0" applyFont="1" applyFill="1" applyBorder="1">
      <alignment vertical="center"/>
    </xf>
    <xf numFmtId="0" fontId="31" fillId="61" borderId="112" xfId="0" applyFont="1" applyFill="1" applyBorder="1">
      <alignment vertical="center"/>
    </xf>
    <xf numFmtId="0" fontId="31" fillId="69" borderId="96" xfId="0" applyFont="1" applyFill="1" applyBorder="1" applyAlignment="1">
      <alignment horizontal="center" vertical="center"/>
    </xf>
    <xf numFmtId="0" fontId="31" fillId="61" borderId="91" xfId="0" applyFont="1" applyFill="1" applyBorder="1">
      <alignment vertical="center"/>
    </xf>
    <xf numFmtId="0" fontId="31" fillId="61" borderId="44" xfId="0" applyFont="1" applyFill="1" applyBorder="1">
      <alignment vertical="center"/>
    </xf>
    <xf numFmtId="0" fontId="31" fillId="61" borderId="94" xfId="0" applyFont="1" applyFill="1" applyBorder="1">
      <alignment vertical="center"/>
    </xf>
    <xf numFmtId="0" fontId="31" fillId="61" borderId="93" xfId="0" applyFont="1" applyFill="1" applyBorder="1">
      <alignment vertical="center"/>
    </xf>
    <xf numFmtId="0" fontId="31" fillId="35" borderId="32" xfId="53" applyFont="1" applyBorder="1" applyAlignment="1">
      <alignment vertical="center"/>
    </xf>
    <xf numFmtId="0" fontId="31" fillId="61" borderId="45" xfId="0" applyFont="1" applyFill="1" applyBorder="1">
      <alignment vertical="center"/>
    </xf>
    <xf numFmtId="0" fontId="50" fillId="34" borderId="32" xfId="47" applyFont="1" applyBorder="1" applyAlignment="1">
      <alignment vertical="center"/>
    </xf>
    <xf numFmtId="0" fontId="31" fillId="61" borderId="92" xfId="0" applyFont="1" applyFill="1" applyBorder="1">
      <alignment vertical="center"/>
    </xf>
    <xf numFmtId="0" fontId="31" fillId="69" borderId="96" xfId="0" quotePrefix="1" applyFont="1" applyFill="1" applyBorder="1" applyAlignment="1">
      <alignment horizontal="center" vertical="center"/>
    </xf>
    <xf numFmtId="0" fontId="31" fillId="34" borderId="43" xfId="47" applyFont="1" applyBorder="1" applyAlignment="1">
      <alignment vertical="center"/>
    </xf>
    <xf numFmtId="0" fontId="31" fillId="34" borderId="44" xfId="47" applyFont="1" applyBorder="1" applyAlignment="1">
      <alignment vertical="center"/>
    </xf>
    <xf numFmtId="0" fontId="31" fillId="34" borderId="45" xfId="47" applyFont="1" applyBorder="1" applyAlignment="1">
      <alignment vertical="center"/>
    </xf>
    <xf numFmtId="0" fontId="31" fillId="69" borderId="97" xfId="0" applyFont="1" applyFill="1" applyBorder="1" applyAlignment="1">
      <alignment horizontal="center" vertical="center"/>
    </xf>
    <xf numFmtId="0" fontId="43" fillId="72" borderId="43" xfId="64" applyFont="1" applyBorder="1" applyAlignment="1">
      <alignment vertical="center"/>
    </xf>
    <xf numFmtId="0" fontId="43" fillId="72" borderId="44" xfId="64" applyFont="1" applyBorder="1" applyAlignment="1">
      <alignment vertical="center"/>
    </xf>
    <xf numFmtId="0" fontId="43" fillId="72" borderId="45" xfId="64" applyFont="1" applyBorder="1" applyAlignment="1">
      <alignment vertical="center"/>
    </xf>
    <xf numFmtId="0" fontId="31" fillId="72" borderId="43" xfId="64" applyFont="1" applyBorder="1" applyAlignment="1">
      <alignment vertical="center"/>
    </xf>
    <xf numFmtId="0" fontId="31" fillId="72" borderId="44" xfId="64" applyFont="1" applyBorder="1" applyAlignment="1">
      <alignment vertical="center"/>
    </xf>
    <xf numFmtId="0" fontId="31" fillId="72" borderId="45" xfId="64" applyFont="1" applyBorder="1" applyAlignment="1">
      <alignment vertical="center"/>
    </xf>
    <xf numFmtId="0" fontId="31" fillId="72" borderId="43" xfId="0" applyFont="1" applyFill="1" applyBorder="1" applyAlignment="1">
      <alignment horizontal="center" vertical="center"/>
    </xf>
    <xf numFmtId="0" fontId="31" fillId="72" borderId="45" xfId="0" applyFont="1" applyFill="1" applyBorder="1" applyAlignment="1">
      <alignment horizontal="center" vertical="center"/>
    </xf>
    <xf numFmtId="0" fontId="31" fillId="72" borderId="43" xfId="64" applyFont="1" applyBorder="1" applyAlignment="1">
      <alignment horizontal="right" vertical="center"/>
    </xf>
    <xf numFmtId="0" fontId="31" fillId="72" borderId="45" xfId="64" applyFont="1" applyBorder="1" applyAlignment="1">
      <alignment horizontal="right" vertical="center"/>
    </xf>
    <xf numFmtId="0" fontId="31" fillId="72" borderId="44" xfId="64" quotePrefix="1" applyFont="1" applyBorder="1" applyAlignment="1">
      <alignment vertical="center"/>
    </xf>
    <xf numFmtId="0" fontId="44" fillId="61" borderId="0" xfId="62" applyFill="1">
      <alignment vertical="center"/>
    </xf>
    <xf numFmtId="0" fontId="0" fillId="35" borderId="32" xfId="53" applyFont="1" applyBorder="1" applyAlignment="1">
      <alignment horizontal="left" vertical="center" wrapText="1"/>
    </xf>
    <xf numFmtId="0" fontId="0" fillId="61" borderId="0" xfId="0" applyFill="1" applyAlignment="1">
      <alignment horizontal="left" vertical="center" wrapText="1"/>
    </xf>
    <xf numFmtId="0" fontId="0" fillId="35" borderId="35" xfId="53" applyFont="1" applyBorder="1" applyAlignment="1">
      <alignment horizontal="left" vertical="center" wrapText="1"/>
    </xf>
    <xf numFmtId="0" fontId="0" fillId="35" borderId="37" xfId="53" applyFont="1" applyBorder="1" applyAlignment="1">
      <alignment horizontal="left" vertical="center" wrapText="1"/>
    </xf>
    <xf numFmtId="0" fontId="0" fillId="61" borderId="0" xfId="0" applyFill="1" applyAlignment="1">
      <alignment horizontal="left" vertical="center"/>
    </xf>
    <xf numFmtId="0" fontId="0" fillId="35" borderId="34" xfId="53" applyFont="1" applyBorder="1" applyAlignment="1">
      <alignment horizontal="left" vertical="center" wrapText="1"/>
    </xf>
    <xf numFmtId="0" fontId="0" fillId="61" borderId="107" xfId="0" applyFill="1" applyBorder="1">
      <alignment vertical="center"/>
    </xf>
    <xf numFmtId="0" fontId="0" fillId="69" borderId="59" xfId="0" applyFill="1" applyBorder="1" applyAlignment="1">
      <alignment horizontal="center" vertical="center"/>
    </xf>
    <xf numFmtId="0" fontId="0" fillId="69" borderId="41" xfId="0" applyFill="1" applyBorder="1">
      <alignment vertical="center"/>
    </xf>
    <xf numFmtId="170" fontId="0" fillId="69" borderId="60" xfId="0" applyNumberFormat="1" applyFill="1" applyBorder="1">
      <alignment vertical="center"/>
    </xf>
    <xf numFmtId="0" fontId="0" fillId="69" borderId="135" xfId="0" applyFill="1" applyBorder="1" applyAlignment="1">
      <alignment horizontal="center" vertical="center"/>
    </xf>
    <xf numFmtId="0" fontId="0" fillId="69" borderId="0" xfId="0" applyFill="1" applyAlignment="1">
      <alignment horizontal="center" vertical="center"/>
    </xf>
    <xf numFmtId="0" fontId="0" fillId="69" borderId="0" xfId="0" applyFill="1">
      <alignment vertical="center"/>
    </xf>
    <xf numFmtId="2" fontId="0" fillId="69" borderId="0" xfId="0" applyNumberFormat="1" applyFill="1" applyAlignment="1">
      <alignment horizontal="center" vertical="center"/>
    </xf>
    <xf numFmtId="2" fontId="0" fillId="71" borderId="0" xfId="0" applyNumberFormat="1" applyFill="1" applyAlignment="1">
      <alignment horizontal="center" vertical="center"/>
    </xf>
    <xf numFmtId="0" fontId="0" fillId="69" borderId="59" xfId="0" applyFill="1" applyBorder="1">
      <alignment vertical="center"/>
    </xf>
    <xf numFmtId="2" fontId="0" fillId="71" borderId="41" xfId="0" applyNumberFormat="1" applyFill="1" applyBorder="1" applyAlignment="1">
      <alignment horizontal="center" vertical="center"/>
    </xf>
    <xf numFmtId="2" fontId="0" fillId="71" borderId="60" xfId="0" applyNumberFormat="1" applyFill="1" applyBorder="1" applyAlignment="1">
      <alignment horizontal="center" vertical="center"/>
    </xf>
    <xf numFmtId="0" fontId="0" fillId="69" borderId="0" xfId="0" applyFill="1" applyAlignment="1">
      <alignment horizontal="left" vertical="center"/>
    </xf>
    <xf numFmtId="0" fontId="0" fillId="66" borderId="0" xfId="47" applyFont="1" applyFill="1" applyBorder="1" applyAlignment="1">
      <alignment vertical="center"/>
    </xf>
    <xf numFmtId="2" fontId="0" fillId="71" borderId="5" xfId="0" applyNumberFormat="1" applyFill="1" applyBorder="1" applyAlignment="1">
      <alignment horizontal="center" vertical="center"/>
    </xf>
    <xf numFmtId="0" fontId="0" fillId="69" borderId="135" xfId="0" applyFill="1" applyBorder="1">
      <alignment vertical="center"/>
    </xf>
    <xf numFmtId="168" fontId="0" fillId="71" borderId="41" xfId="0" applyNumberFormat="1" applyFill="1" applyBorder="1" applyAlignment="1">
      <alignment horizontal="center" vertical="center"/>
    </xf>
    <xf numFmtId="168" fontId="0" fillId="71" borderId="98" xfId="0" applyNumberFormat="1" applyFill="1" applyBorder="1" applyAlignment="1">
      <alignment horizontal="center" vertical="center"/>
    </xf>
    <xf numFmtId="1" fontId="0" fillId="69" borderId="41" xfId="0" applyNumberFormat="1" applyFill="1" applyBorder="1" applyAlignment="1">
      <alignment horizontal="center" vertical="center"/>
    </xf>
    <xf numFmtId="168" fontId="0" fillId="71" borderId="60" xfId="0" applyNumberFormat="1" applyFill="1" applyBorder="1" applyAlignment="1">
      <alignment horizontal="center" vertical="center"/>
    </xf>
    <xf numFmtId="0" fontId="0" fillId="71" borderId="41" xfId="0" applyFill="1" applyBorder="1" applyAlignment="1">
      <alignment horizontal="center" vertical="center"/>
    </xf>
    <xf numFmtId="0" fontId="0" fillId="71" borderId="60" xfId="0" applyFill="1" applyBorder="1" applyAlignment="1">
      <alignment horizontal="center" vertical="center"/>
    </xf>
    <xf numFmtId="0" fontId="0" fillId="61" borderId="105" xfId="0" applyFill="1" applyBorder="1">
      <alignment vertical="center"/>
    </xf>
    <xf numFmtId="0" fontId="0" fillId="69" borderId="119" xfId="0" applyFill="1" applyBorder="1">
      <alignment vertical="center"/>
    </xf>
    <xf numFmtId="0" fontId="0" fillId="69" borderId="61" xfId="0" applyFill="1" applyBorder="1" applyAlignment="1">
      <alignment horizontal="center" vertical="center"/>
    </xf>
    <xf numFmtId="0" fontId="0" fillId="69" borderId="32" xfId="0" applyFill="1" applyBorder="1">
      <alignment vertical="center"/>
    </xf>
    <xf numFmtId="170" fontId="0" fillId="69" borderId="47" xfId="0" applyNumberFormat="1" applyFill="1" applyBorder="1">
      <alignment vertical="center"/>
    </xf>
    <xf numFmtId="0" fontId="0" fillId="69" borderId="62" xfId="0" applyFill="1" applyBorder="1">
      <alignment vertical="center"/>
    </xf>
    <xf numFmtId="0" fontId="0" fillId="69" borderId="40" xfId="0" applyFill="1" applyBorder="1">
      <alignment vertical="center"/>
    </xf>
    <xf numFmtId="2" fontId="0" fillId="71" borderId="40" xfId="0" applyNumberFormat="1" applyFill="1" applyBorder="1" applyAlignment="1">
      <alignment horizontal="center" vertical="center"/>
    </xf>
    <xf numFmtId="2" fontId="0" fillId="71" borderId="63" xfId="0" applyNumberFormat="1" applyFill="1" applyBorder="1" applyAlignment="1">
      <alignment horizontal="center" vertical="center"/>
    </xf>
    <xf numFmtId="0" fontId="0" fillId="69" borderId="61" xfId="0" applyFill="1" applyBorder="1">
      <alignment vertical="center"/>
    </xf>
    <xf numFmtId="2" fontId="0" fillId="71" borderId="32" xfId="0" applyNumberFormat="1" applyFill="1" applyBorder="1" applyAlignment="1">
      <alignment horizontal="center" vertical="center"/>
    </xf>
    <xf numFmtId="2" fontId="0" fillId="71" borderId="47" xfId="0" applyNumberFormat="1" applyFill="1" applyBorder="1" applyAlignment="1">
      <alignment horizontal="center" vertical="center"/>
    </xf>
    <xf numFmtId="168" fontId="0" fillId="71" borderId="32" xfId="0" applyNumberFormat="1" applyFill="1" applyBorder="1" applyAlignment="1">
      <alignment horizontal="center" vertical="center"/>
    </xf>
    <xf numFmtId="168" fontId="0" fillId="71" borderId="99" xfId="0" applyNumberFormat="1" applyFill="1" applyBorder="1" applyAlignment="1">
      <alignment horizontal="center" vertical="center"/>
    </xf>
    <xf numFmtId="1" fontId="0" fillId="69" borderId="32" xfId="0" applyNumberFormat="1" applyFill="1" applyBorder="1" applyAlignment="1">
      <alignment horizontal="center" vertical="center"/>
    </xf>
    <xf numFmtId="168" fontId="0" fillId="71" borderId="47" xfId="0" applyNumberFormat="1" applyFill="1" applyBorder="1" applyAlignment="1">
      <alignment horizontal="center" vertical="center"/>
    </xf>
    <xf numFmtId="0" fontId="0" fillId="71" borderId="32" xfId="0" applyFill="1" applyBorder="1" applyAlignment="1">
      <alignment horizontal="center" vertical="center"/>
    </xf>
    <xf numFmtId="0" fontId="0" fillId="71" borderId="47" xfId="0" applyFill="1" applyBorder="1" applyAlignment="1">
      <alignment horizontal="center" vertical="center"/>
    </xf>
    <xf numFmtId="3" fontId="0" fillId="69" borderId="119" xfId="0" applyNumberFormat="1" applyFill="1" applyBorder="1">
      <alignment vertical="center"/>
    </xf>
    <xf numFmtId="0" fontId="0" fillId="69" borderId="136" xfId="0" applyFill="1" applyBorder="1">
      <alignment vertical="center"/>
    </xf>
    <xf numFmtId="2" fontId="0" fillId="71" borderId="2" xfId="0" applyNumberFormat="1" applyFill="1" applyBorder="1" applyAlignment="1">
      <alignment horizontal="center" vertical="center"/>
    </xf>
    <xf numFmtId="2" fontId="0" fillId="71" borderId="6" xfId="0" applyNumberFormat="1" applyFill="1" applyBorder="1" applyAlignment="1">
      <alignment horizontal="center" vertical="center"/>
    </xf>
    <xf numFmtId="1" fontId="0" fillId="69" borderId="40" xfId="0" applyNumberFormat="1" applyFill="1" applyBorder="1" applyAlignment="1">
      <alignment horizontal="center" vertical="center"/>
    </xf>
    <xf numFmtId="168" fontId="0" fillId="71" borderId="40" xfId="0" applyNumberFormat="1" applyFill="1" applyBorder="1" applyAlignment="1">
      <alignment horizontal="center" vertical="center"/>
    </xf>
    <xf numFmtId="168" fontId="0" fillId="71" borderId="63" xfId="0" applyNumberFormat="1" applyFill="1" applyBorder="1" applyAlignment="1">
      <alignment horizontal="center" vertical="center"/>
    </xf>
    <xf numFmtId="0" fontId="0" fillId="61" borderId="108" xfId="0" applyFill="1" applyBorder="1">
      <alignment vertical="center"/>
    </xf>
    <xf numFmtId="0" fontId="0" fillId="69" borderId="136" xfId="0" applyFill="1" applyBorder="1" applyAlignment="1">
      <alignment horizontal="center" vertical="center"/>
    </xf>
    <xf numFmtId="0" fontId="0" fillId="69" borderId="2" xfId="0" applyFill="1" applyBorder="1" applyAlignment="1">
      <alignment horizontal="left" vertical="center"/>
    </xf>
    <xf numFmtId="0" fontId="0" fillId="69" borderId="2" xfId="0" applyFill="1" applyBorder="1">
      <alignment vertical="center"/>
    </xf>
    <xf numFmtId="0" fontId="0" fillId="66" borderId="2" xfId="47" applyFont="1" applyFill="1" applyBorder="1" applyAlignment="1">
      <alignment vertical="center"/>
    </xf>
    <xf numFmtId="0" fontId="0" fillId="69" borderId="2" xfId="0" applyFill="1" applyBorder="1" applyAlignment="1">
      <alignment horizontal="center" vertical="center"/>
    </xf>
    <xf numFmtId="2" fontId="0" fillId="69" borderId="2" xfId="0" applyNumberFormat="1" applyFill="1" applyBorder="1" applyAlignment="1">
      <alignment horizontal="center" vertical="center"/>
    </xf>
    <xf numFmtId="0" fontId="0" fillId="69" borderId="62" xfId="0" applyFill="1" applyBorder="1" applyAlignment="1">
      <alignment horizontal="center" vertical="center"/>
    </xf>
    <xf numFmtId="0" fontId="0" fillId="71" borderId="40" xfId="0" applyFill="1" applyBorder="1" applyAlignment="1">
      <alignment horizontal="center" vertical="center"/>
    </xf>
    <xf numFmtId="0" fontId="0" fillId="71" borderId="63" xfId="0" applyFill="1" applyBorder="1" applyAlignment="1">
      <alignment horizontal="center" vertical="center"/>
    </xf>
    <xf numFmtId="170" fontId="0" fillId="69" borderId="63" xfId="0" applyNumberFormat="1" applyFill="1" applyBorder="1">
      <alignment vertical="center"/>
    </xf>
    <xf numFmtId="168" fontId="0" fillId="71" borderId="100" xfId="0" applyNumberFormat="1" applyFill="1" applyBorder="1" applyAlignment="1">
      <alignment horizontal="center" vertical="center"/>
    </xf>
    <xf numFmtId="0" fontId="0" fillId="69" borderId="116" xfId="0" applyFill="1" applyBorder="1">
      <alignment vertical="center"/>
    </xf>
    <xf numFmtId="168" fontId="0" fillId="71" borderId="39" xfId="0" applyNumberFormat="1" applyFill="1" applyBorder="1" applyAlignment="1">
      <alignment horizontal="center" vertical="center"/>
    </xf>
    <xf numFmtId="16" fontId="0" fillId="0" borderId="0" xfId="0" applyNumberFormat="1">
      <alignment vertical="center"/>
    </xf>
    <xf numFmtId="0" fontId="31" fillId="61" borderId="130" xfId="0" applyFont="1" applyFill="1" applyBorder="1" applyAlignment="1">
      <alignment horizontal="center" vertical="center"/>
    </xf>
    <xf numFmtId="0" fontId="31" fillId="35" borderId="35" xfId="53" applyFont="1" applyBorder="1" applyAlignment="1">
      <alignment horizontal="right" vertical="center" wrapText="1"/>
    </xf>
    <xf numFmtId="0" fontId="0" fillId="3" borderId="0" xfId="0" applyFill="1">
      <alignment vertical="center"/>
    </xf>
    <xf numFmtId="168" fontId="0" fillId="3" borderId="0" xfId="0" applyNumberFormat="1" applyFill="1" applyAlignment="1">
      <alignment horizontal="center" vertical="center"/>
    </xf>
    <xf numFmtId="0" fontId="0" fillId="73" borderId="0" xfId="0" applyFill="1">
      <alignment vertical="center"/>
    </xf>
    <xf numFmtId="168" fontId="0" fillId="73" borderId="0" xfId="0" applyNumberFormat="1" applyFill="1" applyAlignment="1">
      <alignment horizontal="center" vertical="center"/>
    </xf>
    <xf numFmtId="0" fontId="0" fillId="34" borderId="0" xfId="47" applyFont="1" applyBorder="1" applyAlignment="1">
      <alignment vertical="center"/>
    </xf>
    <xf numFmtId="2" fontId="33" fillId="62" borderId="0" xfId="47" applyNumberFormat="1" applyFont="1" applyFill="1" applyBorder="1" applyAlignment="1">
      <alignment vertical="center"/>
    </xf>
    <xf numFmtId="0" fontId="33" fillId="62" borderId="7" xfId="47" applyFont="1" applyFill="1" applyBorder="1" applyAlignment="1">
      <alignment vertical="center"/>
    </xf>
    <xf numFmtId="9" fontId="33" fillId="62" borderId="98" xfId="47" applyNumberFormat="1" applyFont="1" applyFill="1" applyBorder="1" applyAlignment="1">
      <alignment horizontal="right" vertical="center"/>
    </xf>
    <xf numFmtId="9" fontId="33" fillId="62" borderId="99" xfId="47" applyNumberFormat="1" applyFont="1" applyFill="1" applyBorder="1" applyAlignment="1">
      <alignment horizontal="right" vertical="center"/>
    </xf>
    <xf numFmtId="9" fontId="33" fillId="62" borderId="100" xfId="47" applyNumberFormat="1" applyFont="1" applyFill="1" applyBorder="1" applyAlignment="1">
      <alignment horizontal="right" vertical="center"/>
    </xf>
    <xf numFmtId="3" fontId="0" fillId="61" borderId="106" xfId="0" applyNumberFormat="1" applyFill="1" applyBorder="1">
      <alignment vertical="center"/>
    </xf>
    <xf numFmtId="3" fontId="0" fillId="61" borderId="9" xfId="0" applyNumberFormat="1" applyFill="1" applyBorder="1">
      <alignment vertical="center"/>
    </xf>
    <xf numFmtId="3" fontId="0" fillId="68" borderId="144" xfId="0" applyNumberFormat="1" applyFill="1" applyBorder="1">
      <alignment vertical="center"/>
    </xf>
    <xf numFmtId="172" fontId="0" fillId="61" borderId="106" xfId="1" applyNumberFormat="1" applyFont="1" applyFill="1" applyBorder="1" applyAlignment="1">
      <alignment vertical="center"/>
    </xf>
    <xf numFmtId="172" fontId="0" fillId="61" borderId="9" xfId="1" applyNumberFormat="1" applyFont="1" applyFill="1" applyBorder="1" applyAlignment="1">
      <alignment vertical="center"/>
    </xf>
    <xf numFmtId="172" fontId="0" fillId="68" borderId="144" xfId="1" applyNumberFormat="1" applyFont="1" applyFill="1" applyBorder="1" applyAlignment="1">
      <alignment vertical="center"/>
    </xf>
    <xf numFmtId="172" fontId="0" fillId="74" borderId="145" xfId="1" applyNumberFormat="1" applyFont="1" applyFill="1" applyBorder="1" applyAlignment="1">
      <alignment vertical="center"/>
    </xf>
    <xf numFmtId="172" fontId="0" fillId="74" borderId="146" xfId="1" applyNumberFormat="1" applyFont="1" applyFill="1" applyBorder="1" applyAlignment="1">
      <alignment vertical="center"/>
    </xf>
    <xf numFmtId="172" fontId="0" fillId="75" borderId="147" xfId="1" applyNumberFormat="1" applyFont="1" applyFill="1" applyBorder="1" applyAlignment="1">
      <alignment vertical="center"/>
    </xf>
    <xf numFmtId="3" fontId="0" fillId="0" borderId="106" xfId="0" applyNumberFormat="1" applyBorder="1">
      <alignment vertical="center"/>
    </xf>
    <xf numFmtId="3" fontId="0" fillId="0" borderId="9" xfId="0" applyNumberFormat="1" applyBorder="1">
      <alignment vertical="center"/>
    </xf>
    <xf numFmtId="3" fontId="0" fillId="0" borderId="144" xfId="0" applyNumberFormat="1" applyBorder="1">
      <alignment vertical="center"/>
    </xf>
    <xf numFmtId="3" fontId="0" fillId="0" borderId="49" xfId="0" applyNumberFormat="1" applyBorder="1">
      <alignment vertical="center"/>
    </xf>
    <xf numFmtId="3" fontId="0" fillId="0" borderId="50" xfId="0" applyNumberFormat="1" applyBorder="1">
      <alignment vertical="center"/>
    </xf>
    <xf numFmtId="3" fontId="0" fillId="0" borderId="51" xfId="0" applyNumberFormat="1" applyBorder="1">
      <alignment vertical="center"/>
    </xf>
    <xf numFmtId="9" fontId="33" fillId="0" borderId="0" xfId="47" applyNumberFormat="1" applyFont="1" applyFill="1" applyBorder="1" applyAlignment="1">
      <alignment vertical="center"/>
    </xf>
    <xf numFmtId="2" fontId="33" fillId="62" borderId="99" xfId="47" applyNumberFormat="1" applyFont="1" applyFill="1" applyBorder="1" applyAlignment="1">
      <alignment vertical="center"/>
    </xf>
    <xf numFmtId="10" fontId="0" fillId="71" borderId="32" xfId="1" applyNumberFormat="1" applyFont="1" applyFill="1" applyBorder="1" applyAlignment="1">
      <alignment horizontal="center" vertical="center"/>
    </xf>
    <xf numFmtId="10" fontId="0" fillId="71" borderId="98" xfId="1" applyNumberFormat="1" applyFont="1" applyFill="1" applyBorder="1" applyAlignment="1">
      <alignment horizontal="center" vertical="center"/>
    </xf>
    <xf numFmtId="10" fontId="0" fillId="71" borderId="99" xfId="1" applyNumberFormat="1" applyFont="1" applyFill="1" applyBorder="1" applyAlignment="1">
      <alignment horizontal="center" vertical="center"/>
    </xf>
    <xf numFmtId="10" fontId="0" fillId="71" borderId="40" xfId="1" applyNumberFormat="1" applyFont="1" applyFill="1" applyBorder="1" applyAlignment="1">
      <alignment horizontal="center" vertical="center"/>
    </xf>
    <xf numFmtId="10" fontId="0" fillId="71" borderId="100" xfId="1" applyNumberFormat="1" applyFont="1" applyFill="1" applyBorder="1" applyAlignment="1">
      <alignment horizontal="center" vertical="center"/>
    </xf>
    <xf numFmtId="10" fontId="33" fillId="62" borderId="95" xfId="1" applyNumberFormat="1" applyFont="1" applyFill="1" applyBorder="1" applyAlignment="1">
      <alignment vertical="center"/>
    </xf>
    <xf numFmtId="10" fontId="33" fillId="62" borderId="96" xfId="1" applyNumberFormat="1" applyFont="1" applyFill="1" applyBorder="1" applyAlignment="1">
      <alignment vertical="center"/>
    </xf>
    <xf numFmtId="9" fontId="0" fillId="61" borderId="0" xfId="0" applyNumberFormat="1" applyFill="1">
      <alignment vertical="center"/>
    </xf>
    <xf numFmtId="0" fontId="0" fillId="69" borderId="148" xfId="0" applyFill="1" applyBorder="1">
      <alignment vertical="center"/>
    </xf>
    <xf numFmtId="2" fontId="0" fillId="71" borderId="37" xfId="0" applyNumberFormat="1" applyFill="1" applyBorder="1" applyAlignment="1">
      <alignment horizontal="center" vertical="center"/>
    </xf>
    <xf numFmtId="2" fontId="0" fillId="71" borderId="149" xfId="0" applyNumberFormat="1" applyFill="1" applyBorder="1" applyAlignment="1">
      <alignment horizontal="center" vertical="center"/>
    </xf>
    <xf numFmtId="2" fontId="0" fillId="41" borderId="37" xfId="0" applyNumberFormat="1" applyFill="1" applyBorder="1" applyAlignment="1">
      <alignment horizontal="center" vertical="center"/>
    </xf>
    <xf numFmtId="0" fontId="0" fillId="41" borderId="32" xfId="53" applyFont="1" applyFill="1" applyBorder="1" applyAlignment="1">
      <alignment horizontal="left" vertical="center" wrapText="1"/>
    </xf>
    <xf numFmtId="0" fontId="0" fillId="41" borderId="0" xfId="0" applyFill="1">
      <alignment vertical="center"/>
    </xf>
    <xf numFmtId="0" fontId="0" fillId="41" borderId="0" xfId="0" applyFill="1" applyAlignment="1">
      <alignment horizontal="left" vertical="center"/>
    </xf>
    <xf numFmtId="0" fontId="0" fillId="76" borderId="0" xfId="0" applyFill="1" applyAlignment="1">
      <alignment horizontal="left" vertical="center"/>
    </xf>
    <xf numFmtId="0" fontId="0" fillId="61" borderId="150" xfId="0" applyFill="1" applyBorder="1">
      <alignment vertical="center"/>
    </xf>
    <xf numFmtId="2" fontId="0" fillId="77" borderId="0" xfId="0" applyNumberFormat="1" applyFill="1" applyAlignment="1">
      <alignment horizontal="center" vertical="center"/>
    </xf>
    <xf numFmtId="172" fontId="0" fillId="62" borderId="152" xfId="47" applyNumberFormat="1" applyFont="1" applyFill="1" applyBorder="1" applyAlignment="1">
      <alignment vertical="center"/>
    </xf>
    <xf numFmtId="172" fontId="0" fillId="34" borderId="153" xfId="47" applyNumberFormat="1" applyFont="1" applyBorder="1" applyAlignment="1">
      <alignment vertical="center"/>
    </xf>
    <xf numFmtId="2" fontId="0" fillId="34" borderId="153" xfId="47" applyNumberFormat="1" applyFont="1" applyBorder="1" applyAlignment="1">
      <alignment vertical="center"/>
    </xf>
    <xf numFmtId="10" fontId="0" fillId="69" borderId="119" xfId="1" applyNumberFormat="1" applyFont="1" applyFill="1" applyBorder="1" applyAlignment="1">
      <alignment vertical="center"/>
    </xf>
    <xf numFmtId="9" fontId="0" fillId="71" borderId="119" xfId="1" applyFont="1" applyFill="1" applyBorder="1" applyAlignment="1">
      <alignment vertical="center"/>
    </xf>
    <xf numFmtId="0" fontId="74" fillId="61" borderId="0" xfId="0" applyFont="1" applyFill="1" applyAlignment="1">
      <alignment horizontal="center" vertical="center"/>
    </xf>
    <xf numFmtId="172" fontId="0" fillId="61" borderId="0" xfId="0" applyNumberFormat="1" applyFill="1">
      <alignment vertical="center"/>
    </xf>
    <xf numFmtId="0" fontId="0" fillId="78" borderId="32" xfId="53" applyFont="1" applyFill="1" applyBorder="1" applyAlignment="1">
      <alignment horizontal="right" vertical="center" wrapText="1"/>
    </xf>
    <xf numFmtId="172" fontId="0" fillId="78" borderId="1" xfId="47" applyNumberFormat="1" applyFont="1" applyFill="1" applyBorder="1" applyAlignment="1">
      <alignment vertical="center"/>
    </xf>
    <xf numFmtId="180" fontId="33" fillId="64" borderId="22" xfId="47" applyNumberFormat="1" applyFont="1" applyFill="1" applyBorder="1" applyAlignment="1">
      <alignment vertical="center"/>
    </xf>
    <xf numFmtId="0" fontId="28" fillId="0" borderId="0" xfId="0" applyFont="1" applyAlignment="1"/>
    <xf numFmtId="0" fontId="0" fillId="0" borderId="0" xfId="0" applyAlignment="1">
      <alignment horizontal="left"/>
    </xf>
    <xf numFmtId="3" fontId="0" fillId="0" borderId="0" xfId="0" applyNumberFormat="1" applyAlignment="1"/>
    <xf numFmtId="0" fontId="7" fillId="0" borderId="0" xfId="0" applyFont="1" applyAlignment="1"/>
    <xf numFmtId="0" fontId="7" fillId="0" borderId="0" xfId="0" applyFont="1">
      <alignment vertical="center"/>
    </xf>
    <xf numFmtId="0" fontId="28" fillId="0" borderId="0" xfId="0" applyFont="1" applyAlignment="1">
      <alignment horizontal="center"/>
    </xf>
    <xf numFmtId="0" fontId="0" fillId="0" borderId="0" xfId="0" applyAlignment="1">
      <alignment horizontal="center" vertical="center" wrapText="1"/>
    </xf>
    <xf numFmtId="0" fontId="0" fillId="80" borderId="0" xfId="0" applyFill="1" applyAlignment="1">
      <alignment horizontal="center" vertical="center"/>
    </xf>
    <xf numFmtId="0" fontId="0" fillId="79" borderId="2" xfId="0" applyFill="1" applyBorder="1" applyAlignment="1">
      <alignment horizontal="center" vertical="center"/>
    </xf>
    <xf numFmtId="0" fontId="0" fillId="0" borderId="2" xfId="0" applyBorder="1" applyAlignment="1">
      <alignment horizontal="center" vertical="center"/>
    </xf>
    <xf numFmtId="0" fontId="0" fillId="80" borderId="2" xfId="0" applyFill="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center"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2" xfId="0" applyBorder="1" applyAlignment="1">
      <alignment horizontal="left" vertical="center" wrapText="1"/>
    </xf>
    <xf numFmtId="0" fontId="0" fillId="41" borderId="2" xfId="0" applyFill="1" applyBorder="1" applyAlignment="1">
      <alignment horizontal="center" vertical="center"/>
    </xf>
    <xf numFmtId="2" fontId="0" fillId="71" borderId="135" xfId="0" applyNumberFormat="1" applyFill="1" applyBorder="1" applyAlignment="1">
      <alignment horizontal="center" vertical="center"/>
    </xf>
    <xf numFmtId="2" fontId="0" fillId="77" borderId="135" xfId="0" applyNumberFormat="1" applyFill="1" applyBorder="1" applyAlignment="1">
      <alignment horizontal="center" vertical="center"/>
    </xf>
    <xf numFmtId="2" fontId="0" fillId="77" borderId="5" xfId="0" applyNumberFormat="1" applyFill="1" applyBorder="1" applyAlignment="1">
      <alignment horizontal="center" vertical="center"/>
    </xf>
    <xf numFmtId="2" fontId="33" fillId="81" borderId="95" xfId="47" applyNumberFormat="1" applyFont="1" applyFill="1" applyBorder="1" applyAlignment="1">
      <alignment vertical="center"/>
    </xf>
    <xf numFmtId="2" fontId="33" fillId="81" borderId="96" xfId="47" applyNumberFormat="1" applyFont="1" applyFill="1" applyBorder="1" applyAlignment="1">
      <alignment vertical="center"/>
    </xf>
    <xf numFmtId="2" fontId="33" fillId="81" borderId="97" xfId="47" applyNumberFormat="1" applyFont="1" applyFill="1" applyBorder="1" applyAlignment="1">
      <alignment vertical="center"/>
    </xf>
    <xf numFmtId="2" fontId="0" fillId="77" borderId="2" xfId="0" applyNumberFormat="1" applyFill="1" applyBorder="1" applyAlignment="1">
      <alignment horizontal="center" vertical="center"/>
    </xf>
    <xf numFmtId="2" fontId="0" fillId="77" borderId="136" xfId="0" applyNumberFormat="1" applyFill="1" applyBorder="1" applyAlignment="1">
      <alignment horizontal="center" vertical="center"/>
    </xf>
    <xf numFmtId="2" fontId="0" fillId="77" borderId="6" xfId="0" applyNumberFormat="1" applyFill="1" applyBorder="1" applyAlignment="1">
      <alignment horizontal="center" vertical="center"/>
    </xf>
    <xf numFmtId="168" fontId="0" fillId="71" borderId="104" xfId="0" applyNumberFormat="1" applyFill="1" applyBorder="1" applyAlignment="1">
      <alignment horizontal="center" vertical="center"/>
    </xf>
    <xf numFmtId="168" fontId="0" fillId="71" borderId="96" xfId="0" applyNumberFormat="1" applyFill="1" applyBorder="1" applyAlignment="1">
      <alignment horizontal="center" vertical="center"/>
    </xf>
    <xf numFmtId="168" fontId="0" fillId="71" borderId="97" xfId="0" applyNumberFormat="1" applyFill="1" applyBorder="1" applyAlignment="1">
      <alignment horizontal="center" vertical="center"/>
    </xf>
    <xf numFmtId="2" fontId="33" fillId="81" borderId="1" xfId="47" applyNumberFormat="1" applyFont="1" applyFill="1" applyBorder="1" applyAlignment="1">
      <alignment vertical="center"/>
    </xf>
    <xf numFmtId="0" fontId="75" fillId="0" borderId="0" xfId="0" applyFont="1">
      <alignment vertical="center"/>
    </xf>
    <xf numFmtId="0" fontId="43" fillId="70" borderId="155" xfId="55" applyFont="1" applyFill="1" applyBorder="1" applyAlignment="1">
      <alignment horizontal="left" vertical="center" wrapText="1"/>
      <protection hidden="1"/>
    </xf>
    <xf numFmtId="0" fontId="43" fillId="70" borderId="156" xfId="55" applyFont="1" applyFill="1" applyBorder="1" applyAlignment="1">
      <alignment horizontal="left" vertical="center" wrapText="1"/>
      <protection hidden="1"/>
    </xf>
    <xf numFmtId="0" fontId="43" fillId="70" borderId="157" xfId="55" applyFont="1" applyFill="1" applyBorder="1" applyAlignment="1">
      <alignment horizontal="left" vertical="center" wrapText="1"/>
      <protection hidden="1"/>
    </xf>
    <xf numFmtId="0" fontId="31" fillId="61" borderId="158" xfId="0" applyFont="1" applyFill="1" applyBorder="1">
      <alignment vertical="center"/>
    </xf>
    <xf numFmtId="0" fontId="31" fillId="61" borderId="159" xfId="0" applyFont="1" applyFill="1" applyBorder="1">
      <alignment vertical="center"/>
    </xf>
    <xf numFmtId="0" fontId="0" fillId="0" borderId="64" xfId="0" applyBorder="1">
      <alignment vertical="center"/>
    </xf>
    <xf numFmtId="0" fontId="0" fillId="0" borderId="139" xfId="0" applyBorder="1">
      <alignment vertical="center"/>
    </xf>
    <xf numFmtId="0" fontId="0" fillId="0" borderId="160" xfId="0" applyBorder="1">
      <alignment vertical="center"/>
    </xf>
    <xf numFmtId="0" fontId="31" fillId="61" borderId="161" xfId="0" applyFont="1" applyFill="1" applyBorder="1">
      <alignment vertical="center"/>
    </xf>
    <xf numFmtId="0" fontId="0" fillId="0" borderId="127" xfId="0" applyBorder="1">
      <alignment vertical="center"/>
    </xf>
    <xf numFmtId="1" fontId="0" fillId="71" borderId="39" xfId="0" applyNumberFormat="1" applyFill="1" applyBorder="1" applyAlignment="1">
      <alignment horizontal="center" vertical="center"/>
    </xf>
    <xf numFmtId="1" fontId="0" fillId="71" borderId="32" xfId="0" applyNumberFormat="1" applyFill="1" applyBorder="1" applyAlignment="1">
      <alignment horizontal="center" vertical="center"/>
    </xf>
    <xf numFmtId="0" fontId="0" fillId="69" borderId="68" xfId="0" applyFill="1" applyBorder="1">
      <alignment vertical="center"/>
    </xf>
    <xf numFmtId="0" fontId="0" fillId="69" borderId="75" xfId="0" applyFill="1" applyBorder="1">
      <alignment vertical="center"/>
    </xf>
    <xf numFmtId="0" fontId="6" fillId="38" borderId="1" xfId="56" applyNumberFormat="1" applyFont="1" applyBorder="1">
      <alignment vertical="center"/>
      <protection locked="0"/>
    </xf>
    <xf numFmtId="0" fontId="0" fillId="80" borderId="0" xfId="0" applyFill="1" applyAlignment="1">
      <alignment horizontal="center" vertical="center" wrapText="1"/>
    </xf>
    <xf numFmtId="0" fontId="0" fillId="41" borderId="2" xfId="0" applyFill="1" applyBorder="1" applyAlignment="1">
      <alignment horizontal="center" vertical="center" wrapText="1"/>
    </xf>
    <xf numFmtId="0" fontId="0" fillId="79" borderId="2" xfId="0" applyFill="1" applyBorder="1" applyAlignment="1">
      <alignment horizontal="center" vertical="center" wrapText="1"/>
    </xf>
    <xf numFmtId="0" fontId="0" fillId="80" borderId="2" xfId="0" applyFill="1" applyBorder="1" applyAlignment="1">
      <alignment horizontal="center" vertical="center" wrapText="1"/>
    </xf>
    <xf numFmtId="2" fontId="33" fillId="64" borderId="22" xfId="47" applyNumberFormat="1" applyFont="1" applyFill="1" applyBorder="1" applyAlignment="1">
      <alignment vertical="center"/>
    </xf>
    <xf numFmtId="0" fontId="76" fillId="61" borderId="0" xfId="0" applyFont="1" applyFill="1" applyAlignment="1">
      <alignment horizontal="center" vertical="center"/>
    </xf>
    <xf numFmtId="0" fontId="77" fillId="61" borderId="0" xfId="0" applyFont="1" applyFill="1" applyAlignment="1">
      <alignment horizontal="center" vertical="center"/>
    </xf>
    <xf numFmtId="164" fontId="0" fillId="69" borderId="119" xfId="2" applyFont="1" applyFill="1" applyBorder="1" applyAlignment="1">
      <alignment vertical="center"/>
    </xf>
    <xf numFmtId="174" fontId="33" fillId="64" borderId="39" xfId="2" applyNumberFormat="1" applyFont="1" applyFill="1" applyBorder="1" applyAlignment="1">
      <alignment vertical="center"/>
    </xf>
    <xf numFmtId="174" fontId="33" fillId="64" borderId="32" xfId="2" applyNumberFormat="1" applyFont="1" applyFill="1" applyBorder="1" applyAlignment="1">
      <alignment vertical="center"/>
    </xf>
    <xf numFmtId="174" fontId="33" fillId="64" borderId="40" xfId="2" applyNumberFormat="1" applyFont="1" applyFill="1" applyBorder="1" applyAlignment="1">
      <alignment vertical="center"/>
    </xf>
    <xf numFmtId="174" fontId="33" fillId="64" borderId="36" xfId="2" applyNumberFormat="1" applyFont="1" applyFill="1" applyBorder="1" applyAlignment="1">
      <alignment vertical="center"/>
    </xf>
    <xf numFmtId="174" fontId="33" fillId="64" borderId="47" xfId="2" applyNumberFormat="1" applyFont="1" applyFill="1" applyBorder="1" applyAlignment="1">
      <alignment vertical="center"/>
    </xf>
    <xf numFmtId="174" fontId="33" fillId="64" borderId="63" xfId="2" applyNumberFormat="1" applyFont="1" applyFill="1" applyBorder="1" applyAlignment="1">
      <alignment vertical="center"/>
    </xf>
    <xf numFmtId="164" fontId="33" fillId="64" borderId="47" xfId="2" applyFont="1" applyFill="1" applyBorder="1" applyAlignment="1">
      <alignment vertical="center"/>
    </xf>
    <xf numFmtId="164" fontId="33" fillId="64" borderId="63" xfId="2" applyFont="1" applyFill="1" applyBorder="1" applyAlignment="1">
      <alignment vertical="center"/>
    </xf>
    <xf numFmtId="0" fontId="31" fillId="72" borderId="162" xfId="64" applyFont="1" applyBorder="1" applyAlignment="1">
      <alignment vertical="center"/>
    </xf>
    <xf numFmtId="174" fontId="33" fillId="62" borderId="3" xfId="2" applyNumberFormat="1" applyFont="1" applyFill="1" applyBorder="1" applyAlignment="1">
      <alignment vertical="center"/>
    </xf>
    <xf numFmtId="174" fontId="33" fillId="62" borderId="0" xfId="2" applyNumberFormat="1" applyFont="1" applyFill="1" applyBorder="1" applyAlignment="1">
      <alignment vertical="center"/>
    </xf>
    <xf numFmtId="174" fontId="33" fillId="62" borderId="2" xfId="2" applyNumberFormat="1" applyFont="1" applyFill="1" applyBorder="1" applyAlignment="1">
      <alignment vertical="center"/>
    </xf>
    <xf numFmtId="0" fontId="0" fillId="0" borderId="0" xfId="0" quotePrefix="1" applyAlignment="1">
      <alignment vertical="center" wrapText="1"/>
    </xf>
    <xf numFmtId="0" fontId="0" fillId="0" borderId="0" xfId="0" applyAlignment="1">
      <alignment vertical="center" wrapText="1"/>
    </xf>
    <xf numFmtId="9" fontId="0" fillId="71" borderId="39" xfId="1" applyFont="1" applyFill="1" applyBorder="1" applyAlignment="1">
      <alignment horizontal="center" vertical="center"/>
    </xf>
    <xf numFmtId="1" fontId="0" fillId="71" borderId="39" xfId="1" applyNumberFormat="1" applyFont="1" applyFill="1" applyBorder="1" applyAlignment="1">
      <alignment horizontal="center" vertical="center"/>
    </xf>
    <xf numFmtId="174" fontId="0" fillId="71" borderId="39" xfId="2" applyNumberFormat="1" applyFont="1" applyFill="1" applyBorder="1" applyAlignment="1">
      <alignment horizontal="center" vertical="center"/>
    </xf>
    <xf numFmtId="9" fontId="0" fillId="71" borderId="32" xfId="1" applyFont="1" applyFill="1" applyBorder="1" applyAlignment="1">
      <alignment horizontal="center" vertical="center"/>
    </xf>
    <xf numFmtId="174" fontId="0" fillId="69" borderId="116" xfId="2" applyNumberFormat="1" applyFont="1" applyFill="1" applyBorder="1" applyAlignment="1">
      <alignment vertical="center"/>
    </xf>
    <xf numFmtId="174" fontId="0" fillId="69" borderId="61" xfId="2" applyNumberFormat="1" applyFont="1" applyFill="1" applyBorder="1" applyAlignment="1">
      <alignment vertical="center"/>
    </xf>
    <xf numFmtId="174" fontId="0" fillId="71" borderId="32" xfId="2" applyNumberFormat="1" applyFont="1" applyFill="1" applyBorder="1" applyAlignment="1">
      <alignment horizontal="center" vertical="center"/>
    </xf>
    <xf numFmtId="174" fontId="0" fillId="71" borderId="32" xfId="2" quotePrefix="1" applyNumberFormat="1" applyFont="1" applyFill="1" applyBorder="1" applyAlignment="1">
      <alignment horizontal="center" vertical="center"/>
    </xf>
    <xf numFmtId="174" fontId="0" fillId="71" borderId="39" xfId="2" quotePrefix="1" applyNumberFormat="1" applyFont="1" applyFill="1" applyBorder="1" applyAlignment="1">
      <alignment horizontal="center" vertical="center"/>
    </xf>
    <xf numFmtId="164" fontId="33" fillId="62" borderId="22" xfId="2" applyFont="1" applyFill="1" applyBorder="1" applyAlignment="1">
      <alignment vertical="center"/>
    </xf>
    <xf numFmtId="174" fontId="0" fillId="68" borderId="53" xfId="2" applyNumberFormat="1" applyFont="1" applyFill="1" applyBorder="1" applyAlignment="1">
      <alignment vertical="center"/>
    </xf>
    <xf numFmtId="172" fontId="0" fillId="68" borderId="53" xfId="1" applyNumberFormat="1" applyFont="1" applyFill="1" applyBorder="1" applyAlignment="1">
      <alignment vertical="center"/>
    </xf>
    <xf numFmtId="0" fontId="0" fillId="43" borderId="0" xfId="0" applyFill="1">
      <alignment vertical="center"/>
    </xf>
    <xf numFmtId="0" fontId="77" fillId="61" borderId="0" xfId="0" applyFont="1" applyFill="1" applyAlignment="1">
      <alignment horizontal="left" vertical="center"/>
    </xf>
    <xf numFmtId="174" fontId="0" fillId="0" borderId="120" xfId="2" applyNumberFormat="1" applyFont="1" applyFill="1" applyBorder="1" applyAlignment="1">
      <alignment vertical="center"/>
    </xf>
    <xf numFmtId="164" fontId="0" fillId="61" borderId="0" xfId="2" applyFont="1" applyFill="1" applyAlignment="1">
      <alignment vertical="center"/>
    </xf>
    <xf numFmtId="0" fontId="0" fillId="61" borderId="163" xfId="0" applyFill="1" applyBorder="1">
      <alignment vertical="center"/>
    </xf>
    <xf numFmtId="10" fontId="0" fillId="69" borderId="164" xfId="1" applyNumberFormat="1" applyFont="1" applyFill="1" applyBorder="1" applyAlignment="1">
      <alignment vertical="center"/>
    </xf>
    <xf numFmtId="164" fontId="0" fillId="69" borderId="164" xfId="2" applyFont="1" applyFill="1" applyBorder="1" applyAlignment="1">
      <alignment vertical="center"/>
    </xf>
    <xf numFmtId="176" fontId="0" fillId="76" borderId="118" xfId="2" applyNumberFormat="1" applyFont="1" applyFill="1" applyBorder="1" applyAlignment="1">
      <alignment vertical="center"/>
    </xf>
    <xf numFmtId="176" fontId="0" fillId="76" borderId="151" xfId="2" applyNumberFormat="1" applyFont="1" applyFill="1" applyBorder="1" applyAlignment="1">
      <alignment vertical="center"/>
    </xf>
    <xf numFmtId="0" fontId="0" fillId="76" borderId="119" xfId="0" applyFill="1" applyBorder="1">
      <alignment vertical="center"/>
    </xf>
    <xf numFmtId="177" fontId="0" fillId="61" borderId="0" xfId="1" applyNumberFormat="1" applyFont="1" applyFill="1" applyAlignment="1">
      <alignment vertical="center"/>
    </xf>
    <xf numFmtId="176" fontId="0" fillId="76" borderId="119" xfId="2" applyNumberFormat="1" applyFont="1" applyFill="1" applyBorder="1" applyAlignment="1">
      <alignment vertical="center"/>
    </xf>
    <xf numFmtId="170" fontId="33" fillId="62" borderId="22" xfId="47" applyNumberFormat="1" applyFont="1" applyFill="1" applyBorder="1" applyAlignment="1">
      <alignment horizontal="right" vertical="center"/>
    </xf>
    <xf numFmtId="181" fontId="33" fillId="62" borderId="22" xfId="47" applyNumberFormat="1" applyFont="1" applyFill="1" applyBorder="1" applyAlignment="1">
      <alignment horizontal="right" vertical="center"/>
    </xf>
    <xf numFmtId="174" fontId="0" fillId="69" borderId="164" xfId="2" applyNumberFormat="1" applyFont="1" applyFill="1" applyBorder="1" applyAlignment="1">
      <alignment vertical="center"/>
    </xf>
    <xf numFmtId="0" fontId="45" fillId="0" borderId="38" xfId="0" applyFont="1" applyBorder="1" applyAlignment="1">
      <alignment horizontal="center" vertical="center"/>
    </xf>
    <xf numFmtId="0" fontId="37" fillId="42" borderId="0" xfId="51" applyBorder="1" applyAlignment="1">
      <alignment horizontal="center" vertical="center"/>
    </xf>
    <xf numFmtId="0" fontId="0" fillId="35" borderId="35" xfId="53" applyFont="1" applyBorder="1">
      <alignment horizontal="right" vertical="center" wrapText="1" indent="1"/>
    </xf>
    <xf numFmtId="0" fontId="36" fillId="0" borderId="0" xfId="0" quotePrefix="1" applyFont="1" applyAlignment="1">
      <alignment horizontal="left" vertical="center"/>
    </xf>
    <xf numFmtId="0" fontId="55" fillId="0" borderId="0" xfId="61" applyFont="1" applyFill="1" applyBorder="1" applyAlignment="1">
      <alignment horizontal="left" vertical="center"/>
    </xf>
    <xf numFmtId="0" fontId="0" fillId="0" borderId="0" xfId="0" applyAlignment="1">
      <alignment horizontal="right" vertical="center" wrapText="1"/>
    </xf>
    <xf numFmtId="0" fontId="56" fillId="0" borderId="0" xfId="61" applyFont="1" applyFill="1" applyBorder="1" applyAlignment="1">
      <alignment horizontal="left" vertical="center"/>
    </xf>
    <xf numFmtId="0" fontId="0" fillId="35" borderId="143" xfId="53" applyFont="1" applyBorder="1">
      <alignment horizontal="right" vertical="center" wrapText="1" indent="1"/>
    </xf>
    <xf numFmtId="0" fontId="30" fillId="43" borderId="0" xfId="50" applyBorder="1" applyAlignment="1">
      <alignment horizontal="left" vertical="center"/>
    </xf>
    <xf numFmtId="0" fontId="0" fillId="34" borderId="0" xfId="47" applyFont="1" applyBorder="1" applyAlignment="1">
      <alignment horizontal="left" vertical="center"/>
    </xf>
    <xf numFmtId="0" fontId="0" fillId="35" borderId="122" xfId="53" applyFont="1" applyBorder="1">
      <alignment horizontal="right" vertical="center" wrapText="1" indent="1"/>
    </xf>
    <xf numFmtId="0" fontId="56" fillId="0" borderId="0" xfId="0" applyFont="1">
      <alignment vertical="center"/>
    </xf>
    <xf numFmtId="0" fontId="0" fillId="35" borderId="34" xfId="53" applyFont="1" applyBorder="1">
      <alignment horizontal="right" vertical="center" wrapText="1" indent="1"/>
    </xf>
    <xf numFmtId="0" fontId="0" fillId="3" borderId="34" xfId="0" applyFill="1" applyBorder="1">
      <alignment vertical="center"/>
    </xf>
    <xf numFmtId="0" fontId="0" fillId="3" borderId="137" xfId="0" applyFill="1" applyBorder="1">
      <alignment vertical="center"/>
    </xf>
    <xf numFmtId="0" fontId="0" fillId="3" borderId="33" xfId="0" applyFill="1" applyBorder="1">
      <alignment vertical="center"/>
    </xf>
    <xf numFmtId="0" fontId="0" fillId="3" borderId="139" xfId="0" applyFill="1" applyBorder="1">
      <alignment vertical="center"/>
    </xf>
    <xf numFmtId="0" fontId="41" fillId="3" borderId="137" xfId="47" applyFont="1" applyFill="1" applyBorder="1" applyAlignment="1">
      <alignment horizontal="left" vertical="center"/>
    </xf>
    <xf numFmtId="0" fontId="41" fillId="0" borderId="0" xfId="47" applyFont="1" applyFill="1" applyBorder="1" applyAlignment="1">
      <alignment horizontal="left" vertical="center"/>
    </xf>
    <xf numFmtId="0" fontId="0" fillId="35" borderId="141" xfId="53" applyFont="1" applyBorder="1">
      <alignment horizontal="right" vertical="center" wrapText="1" indent="1"/>
    </xf>
    <xf numFmtId="0" fontId="0" fillId="3" borderId="48" xfId="0" applyFill="1" applyBorder="1">
      <alignment vertical="center"/>
    </xf>
    <xf numFmtId="0" fontId="0" fillId="3" borderId="126" xfId="0" applyFill="1" applyBorder="1">
      <alignment vertical="center"/>
    </xf>
    <xf numFmtId="0" fontId="0" fillId="3" borderId="127" xfId="0" applyFill="1" applyBorder="1">
      <alignment vertical="center"/>
    </xf>
    <xf numFmtId="0" fontId="35" fillId="0" borderId="0" xfId="0" applyFont="1">
      <alignment vertical="center"/>
    </xf>
    <xf numFmtId="0" fontId="0" fillId="35" borderId="1" xfId="53" applyFont="1" applyBorder="1" applyAlignment="1">
      <alignment horizontal="center" vertical="center"/>
    </xf>
    <xf numFmtId="0" fontId="0" fillId="34" borderId="20" xfId="47" applyFont="1" applyBorder="1" applyAlignment="1">
      <alignment horizontal="center" vertical="center"/>
    </xf>
    <xf numFmtId="0" fontId="0" fillId="35" borderId="20" xfId="53" applyFont="1" applyBorder="1" applyAlignment="1">
      <alignment horizontal="center" vertical="center" wrapText="1"/>
    </xf>
    <xf numFmtId="0" fontId="34" fillId="34" borderId="20" xfId="47" applyFont="1" applyBorder="1" applyAlignment="1">
      <alignment horizontal="center" vertical="center"/>
    </xf>
    <xf numFmtId="9" fontId="0" fillId="0" borderId="0" xfId="0" applyNumberFormat="1">
      <alignment vertical="center"/>
    </xf>
    <xf numFmtId="0" fontId="3" fillId="0" borderId="46" xfId="0" applyFont="1" applyBorder="1" applyAlignment="1">
      <alignment horizontal="center" vertical="center"/>
    </xf>
    <xf numFmtId="0" fontId="0" fillId="35" borderId="89" xfId="53" applyFont="1" applyBorder="1">
      <alignment horizontal="right" vertical="center" wrapText="1" indent="1"/>
    </xf>
    <xf numFmtId="0" fontId="0" fillId="0" borderId="76" xfId="0" applyBorder="1">
      <alignment vertical="center"/>
    </xf>
    <xf numFmtId="0" fontId="3" fillId="0" borderId="0" xfId="0" applyFont="1">
      <alignment vertical="center"/>
    </xf>
    <xf numFmtId="0" fontId="3" fillId="0" borderId="0" xfId="0" applyFont="1" applyAlignment="1">
      <alignment horizontal="center" vertical="center"/>
    </xf>
    <xf numFmtId="0" fontId="0" fillId="35" borderId="74" xfId="53" applyFont="1" applyBorder="1">
      <alignment horizontal="right" vertical="center" wrapText="1" indent="1"/>
    </xf>
    <xf numFmtId="0" fontId="0" fillId="35" borderId="68" xfId="53" applyFont="1" applyBorder="1" applyAlignment="1">
      <alignment horizontal="left" vertical="center" wrapText="1"/>
    </xf>
    <xf numFmtId="0" fontId="34" fillId="0" borderId="7" xfId="0" applyFont="1" applyBorder="1" applyAlignment="1">
      <alignment horizontal="center" vertical="center"/>
    </xf>
    <xf numFmtId="0" fontId="0" fillId="34" borderId="7" xfId="47" applyFont="1" applyBorder="1" applyAlignment="1">
      <alignment horizontal="center" vertical="center"/>
    </xf>
    <xf numFmtId="0" fontId="34" fillId="34" borderId="7" xfId="47" applyFont="1" applyBorder="1" applyAlignment="1">
      <alignment horizontal="center" vertical="center"/>
    </xf>
    <xf numFmtId="0" fontId="34" fillId="35" borderId="58" xfId="53" applyFont="1" applyBorder="1">
      <alignment horizontal="right" vertical="center" wrapText="1" indent="1"/>
    </xf>
    <xf numFmtId="0" fontId="0" fillId="35" borderId="58" xfId="53" applyFont="1" applyBorder="1">
      <alignment horizontal="right" vertical="center" wrapText="1" indent="1"/>
    </xf>
    <xf numFmtId="0" fontId="0" fillId="3" borderId="0" xfId="53" applyFont="1" applyFill="1" applyBorder="1">
      <alignment horizontal="right" vertical="center" wrapText="1" indent="1"/>
    </xf>
    <xf numFmtId="174" fontId="6" fillId="3" borderId="0" xfId="2" applyNumberFormat="1" applyFont="1" applyFill="1" applyBorder="1" applyAlignment="1" applyProtection="1">
      <alignment horizontal="right" vertical="center"/>
    </xf>
    <xf numFmtId="0" fontId="0" fillId="3" borderId="0" xfId="47" applyFont="1" applyFill="1" applyBorder="1" applyAlignment="1">
      <alignment horizontal="left" vertical="center"/>
    </xf>
    <xf numFmtId="0" fontId="33" fillId="82" borderId="22" xfId="47" applyFont="1" applyFill="1" applyBorder="1" applyAlignment="1">
      <alignment vertical="center"/>
    </xf>
    <xf numFmtId="0" fontId="0" fillId="0" borderId="169" xfId="0" applyBorder="1">
      <alignment vertical="center"/>
    </xf>
    <xf numFmtId="0" fontId="0" fillId="0" borderId="170" xfId="0" applyBorder="1">
      <alignment vertical="center"/>
    </xf>
    <xf numFmtId="0" fontId="0" fillId="0" borderId="171" xfId="0" applyBorder="1">
      <alignment vertical="center"/>
    </xf>
    <xf numFmtId="0" fontId="0" fillId="0" borderId="172" xfId="0" applyBorder="1">
      <alignment vertical="center"/>
    </xf>
    <xf numFmtId="0" fontId="0" fillId="0" borderId="173" xfId="0" applyBorder="1">
      <alignment vertical="center"/>
    </xf>
    <xf numFmtId="0" fontId="0" fillId="0" borderId="135" xfId="0" applyBorder="1">
      <alignment vertical="center"/>
    </xf>
    <xf numFmtId="0" fontId="0" fillId="0" borderId="174" xfId="0" applyBorder="1">
      <alignment vertical="center"/>
    </xf>
    <xf numFmtId="0" fontId="0" fillId="0" borderId="5" xfId="0" applyBorder="1">
      <alignment vertical="center"/>
    </xf>
    <xf numFmtId="0" fontId="0" fillId="35" borderId="1" xfId="53" applyFont="1" applyBorder="1" applyAlignment="1">
      <alignment horizontal="center" vertical="center" wrapText="1"/>
    </xf>
    <xf numFmtId="0" fontId="34" fillId="35" borderId="1" xfId="53" applyFont="1" applyBorder="1" applyAlignment="1">
      <alignment horizontal="center" vertical="center" wrapText="1"/>
    </xf>
    <xf numFmtId="9" fontId="0" fillId="0" borderId="0" xfId="1" applyFont="1" applyAlignment="1">
      <alignment vertical="center"/>
    </xf>
    <xf numFmtId="178" fontId="6" fillId="44" borderId="131" xfId="60" applyNumberFormat="1" applyFont="1" applyBorder="1" applyAlignment="1" applyProtection="1">
      <alignment horizontal="right" vertical="center"/>
      <protection locked="0"/>
    </xf>
    <xf numFmtId="178" fontId="6" fillId="44" borderId="121" xfId="60" applyNumberFormat="1" applyFont="1" applyBorder="1" applyAlignment="1" applyProtection="1">
      <alignment horizontal="right" vertical="center"/>
      <protection locked="0"/>
    </xf>
    <xf numFmtId="177" fontId="6" fillId="44" borderId="122" xfId="60" applyNumberFormat="1" applyFont="1" applyBorder="1" applyAlignment="1" applyProtection="1">
      <alignment horizontal="right" vertical="center" indent="2"/>
      <protection locked="0"/>
    </xf>
    <xf numFmtId="178" fontId="6" fillId="44" borderId="122" xfId="60" applyNumberFormat="1" applyFont="1" applyBorder="1" applyAlignment="1" applyProtection="1">
      <alignment horizontal="right" vertical="center"/>
      <protection locked="0"/>
    </xf>
    <xf numFmtId="178" fontId="6" fillId="44" borderId="125" xfId="60" applyNumberFormat="1" applyFont="1" applyBorder="1" applyAlignment="1" applyProtection="1">
      <alignment horizontal="right" vertical="center"/>
      <protection locked="0"/>
    </xf>
    <xf numFmtId="178" fontId="6" fillId="44" borderId="132" xfId="60" applyNumberFormat="1" applyFont="1" applyBorder="1" applyAlignment="1" applyProtection="1">
      <alignment horizontal="right" vertical="center"/>
      <protection locked="0"/>
    </xf>
    <xf numFmtId="178" fontId="6" fillId="44" borderId="133" xfId="60" applyNumberFormat="1" applyFont="1" applyBorder="1" applyAlignment="1" applyProtection="1">
      <alignment horizontal="right" vertical="center"/>
      <protection locked="0"/>
    </xf>
    <xf numFmtId="177" fontId="6" fillId="44" borderId="32" xfId="60" applyNumberFormat="1" applyFont="1" applyBorder="1" applyAlignment="1" applyProtection="1">
      <alignment horizontal="right" vertical="center" indent="2"/>
      <protection locked="0"/>
    </xf>
    <xf numFmtId="178" fontId="6" fillId="44" borderId="32" xfId="60" applyNumberFormat="1" applyFont="1" applyBorder="1" applyAlignment="1" applyProtection="1">
      <alignment horizontal="right" vertical="center"/>
      <protection locked="0"/>
    </xf>
    <xf numFmtId="178" fontId="6" fillId="44" borderId="71" xfId="60" applyNumberFormat="1" applyFont="1" applyBorder="1" applyAlignment="1" applyProtection="1">
      <alignment horizontal="right" vertical="center"/>
      <protection locked="0"/>
    </xf>
    <xf numFmtId="178" fontId="6" fillId="44" borderId="154" xfId="60" applyNumberFormat="1" applyFont="1" applyBorder="1" applyAlignment="1" applyProtection="1">
      <alignment horizontal="right" vertical="center"/>
      <protection locked="0"/>
    </xf>
    <xf numFmtId="178" fontId="6" fillId="44" borderId="77" xfId="60" applyNumberFormat="1" applyFont="1" applyBorder="1" applyAlignment="1" applyProtection="1">
      <alignment horizontal="right" vertical="center"/>
      <protection locked="0"/>
    </xf>
    <xf numFmtId="177" fontId="6" fillId="44" borderId="38" xfId="60" applyNumberFormat="1" applyFont="1" applyBorder="1" applyAlignment="1" applyProtection="1">
      <alignment horizontal="right" vertical="center" indent="2"/>
      <protection locked="0"/>
    </xf>
    <xf numFmtId="178" fontId="6" fillId="44" borderId="38" xfId="60" applyNumberFormat="1" applyFont="1" applyBorder="1" applyAlignment="1" applyProtection="1">
      <alignment horizontal="right" vertical="center"/>
      <protection locked="0"/>
    </xf>
    <xf numFmtId="178" fontId="6" fillId="44" borderId="78" xfId="60" applyNumberFormat="1" applyFont="1" applyBorder="1" applyAlignment="1" applyProtection="1">
      <alignment horizontal="right" vertical="center"/>
      <protection locked="0"/>
    </xf>
    <xf numFmtId="0" fontId="79" fillId="83" borderId="32" xfId="65" applyFont="1" applyBorder="1">
      <alignment horizontal="left" vertical="center" wrapText="1"/>
    </xf>
    <xf numFmtId="0" fontId="79" fillId="83" borderId="37" xfId="65" applyFont="1" applyBorder="1">
      <alignment horizontal="left" vertical="center" wrapText="1"/>
    </xf>
    <xf numFmtId="0" fontId="54" fillId="0" borderId="0" xfId="66" applyFont="1" applyAlignment="1" applyProtection="1">
      <alignment horizontal="left"/>
      <protection hidden="1"/>
    </xf>
    <xf numFmtId="0" fontId="79" fillId="83" borderId="0" xfId="65" applyFont="1" applyBorder="1">
      <alignment horizontal="left" vertical="center" wrapText="1"/>
    </xf>
    <xf numFmtId="0" fontId="79" fillId="83" borderId="35" xfId="65" applyFont="1" applyBorder="1">
      <alignment horizontal="left" vertical="center" wrapText="1"/>
    </xf>
    <xf numFmtId="49" fontId="79" fillId="83" borderId="32" xfId="65" applyNumberFormat="1" applyFont="1" applyBorder="1">
      <alignment horizontal="left" vertical="center" wrapText="1"/>
    </xf>
    <xf numFmtId="49" fontId="79" fillId="83" borderId="75" xfId="65" applyNumberFormat="1" applyFont="1" applyBorder="1">
      <alignment horizontal="left" vertical="center" wrapText="1"/>
    </xf>
    <xf numFmtId="0" fontId="54" fillId="0" borderId="0" xfId="66" applyFont="1" applyProtection="1">
      <alignment vertical="center"/>
      <protection hidden="1"/>
    </xf>
    <xf numFmtId="0" fontId="54" fillId="84" borderId="32" xfId="67" applyFont="1" applyBorder="1">
      <alignment horizontal="left" vertical="center" wrapText="1"/>
    </xf>
    <xf numFmtId="4" fontId="54" fillId="34" borderId="32" xfId="68" applyNumberFormat="1" applyFont="1" applyBorder="1">
      <alignment horizontal="right" vertical="center" indent="1"/>
    </xf>
    <xf numFmtId="0" fontId="54" fillId="0" borderId="128" xfId="66" applyFont="1" applyBorder="1" applyProtection="1">
      <alignment vertical="center"/>
      <protection hidden="1"/>
    </xf>
    <xf numFmtId="0" fontId="54" fillId="85" borderId="32" xfId="66" applyFont="1" applyFill="1" applyBorder="1" applyAlignment="1">
      <alignment horizontal="center" vertical="center"/>
    </xf>
    <xf numFmtId="0" fontId="54" fillId="0" borderId="32" xfId="66" applyFont="1" applyBorder="1">
      <alignment vertical="center"/>
    </xf>
    <xf numFmtId="0" fontId="54" fillId="0" borderId="35" xfId="66" applyFont="1" applyBorder="1">
      <alignment vertical="center"/>
    </xf>
    <xf numFmtId="49" fontId="54" fillId="0" borderId="32" xfId="66" applyNumberFormat="1" applyFont="1" applyBorder="1">
      <alignment vertical="center"/>
    </xf>
    <xf numFmtId="49" fontId="80" fillId="0" borderId="32" xfId="66" applyNumberFormat="1" applyFont="1" applyBorder="1">
      <alignment vertical="center"/>
    </xf>
    <xf numFmtId="49" fontId="54" fillId="0" borderId="75" xfId="66" applyNumberFormat="1" applyFont="1" applyBorder="1">
      <alignment vertical="center"/>
    </xf>
    <xf numFmtId="0" fontId="54" fillId="86" borderId="32" xfId="69" applyFont="1" applyBorder="1">
      <alignment horizontal="right" vertical="center" indent="1"/>
    </xf>
    <xf numFmtId="0" fontId="54" fillId="86" borderId="37" xfId="69" applyFont="1" applyBorder="1">
      <alignment horizontal="right" vertical="center" indent="1"/>
    </xf>
    <xf numFmtId="4" fontId="54" fillId="34" borderId="35" xfId="68" applyNumberFormat="1" applyFont="1" applyBorder="1">
      <alignment horizontal="right" vertical="center" indent="1"/>
    </xf>
    <xf numFmtId="0" fontId="54" fillId="0" borderId="128" xfId="66" applyFont="1" applyBorder="1">
      <alignment vertical="center"/>
    </xf>
    <xf numFmtId="0" fontId="54" fillId="85" borderId="75" xfId="66" applyFont="1" applyFill="1" applyBorder="1" applyAlignment="1">
      <alignment horizontal="center" vertical="center"/>
    </xf>
    <xf numFmtId="0" fontId="57" fillId="0" borderId="0" xfId="66" applyFont="1" applyProtection="1">
      <alignment vertical="center"/>
      <protection hidden="1"/>
    </xf>
    <xf numFmtId="0" fontId="54" fillId="87" borderId="35" xfId="70" applyFont="1" applyFill="1" applyBorder="1" applyAlignment="1">
      <alignment vertical="center" wrapText="1"/>
    </xf>
    <xf numFmtId="0" fontId="54" fillId="86" borderId="74" xfId="69" applyNumberFormat="1" applyFont="1" applyBorder="1">
      <alignment horizontal="right" vertical="center" indent="1"/>
    </xf>
    <xf numFmtId="0" fontId="54" fillId="0" borderId="37" xfId="66" applyFont="1" applyBorder="1">
      <alignment vertical="center"/>
    </xf>
    <xf numFmtId="0" fontId="54" fillId="88" borderId="34" xfId="66" applyFont="1" applyFill="1" applyBorder="1" applyAlignment="1">
      <alignment vertical="center" wrapText="1"/>
    </xf>
    <xf numFmtId="49" fontId="54" fillId="0" borderId="37" xfId="66" applyNumberFormat="1" applyFont="1" applyBorder="1">
      <alignment vertical="center"/>
    </xf>
    <xf numFmtId="49" fontId="80" fillId="0" borderId="37" xfId="66" applyNumberFormat="1" applyFont="1" applyBorder="1">
      <alignment vertical="center"/>
    </xf>
    <xf numFmtId="49" fontId="54" fillId="0" borderId="175" xfId="66" applyNumberFormat="1" applyFont="1" applyBorder="1">
      <alignment vertical="center"/>
    </xf>
    <xf numFmtId="0" fontId="54" fillId="2" borderId="32" xfId="71" applyNumberFormat="1" applyFont="1" applyBorder="1">
      <alignment horizontal="right" vertical="center" indent="1"/>
    </xf>
    <xf numFmtId="0" fontId="54" fillId="0" borderId="32" xfId="66" applyFont="1" applyBorder="1" applyProtection="1">
      <alignment vertical="center"/>
      <protection hidden="1"/>
    </xf>
    <xf numFmtId="49" fontId="50" fillId="0" borderId="32" xfId="66" applyNumberFormat="1" applyFont="1" applyBorder="1">
      <alignment vertical="center"/>
    </xf>
    <xf numFmtId="0" fontId="54" fillId="87" borderId="32" xfId="66" applyFont="1" applyFill="1" applyBorder="1" applyAlignment="1">
      <alignment vertical="center" wrapText="1"/>
    </xf>
    <xf numFmtId="0" fontId="54" fillId="2" borderId="37" xfId="71" applyNumberFormat="1" applyFont="1" applyBorder="1">
      <alignment horizontal="right" vertical="center" indent="1"/>
    </xf>
    <xf numFmtId="0" fontId="54" fillId="0" borderId="0" xfId="66" applyFont="1">
      <alignment vertical="center"/>
    </xf>
    <xf numFmtId="49" fontId="50" fillId="0" borderId="0" xfId="66" applyNumberFormat="1" applyFont="1">
      <alignment vertical="center"/>
    </xf>
    <xf numFmtId="49" fontId="80" fillId="0" borderId="0" xfId="66" applyNumberFormat="1" applyFont="1">
      <alignment vertical="center"/>
    </xf>
    <xf numFmtId="49" fontId="54" fillId="0" borderId="0" xfId="66" applyNumberFormat="1" applyFont="1">
      <alignment vertical="center"/>
    </xf>
    <xf numFmtId="0" fontId="80" fillId="0" borderId="32" xfId="66" applyFont="1" applyBorder="1">
      <alignment vertical="center"/>
    </xf>
    <xf numFmtId="175" fontId="67" fillId="0" borderId="32" xfId="0" applyNumberFormat="1" applyFont="1" applyBorder="1" applyAlignment="1">
      <alignment horizontal="left" vertical="center" indent="1"/>
    </xf>
    <xf numFmtId="0" fontId="89" fillId="0" borderId="34" xfId="0" applyFont="1" applyBorder="1" applyAlignment="1" applyProtection="1">
      <alignment horizontal="left" vertical="center" indent="1"/>
      <protection locked="0"/>
    </xf>
    <xf numFmtId="4" fontId="67" fillId="34" borderId="35" xfId="47" applyNumberFormat="1" applyFont="1" applyBorder="1">
      <alignment vertical="center"/>
    </xf>
    <xf numFmtId="175" fontId="82" fillId="86" borderId="32" xfId="69" applyNumberFormat="1" applyFont="1" applyBorder="1">
      <alignment horizontal="right" vertical="center" indent="1"/>
    </xf>
    <xf numFmtId="0" fontId="90" fillId="85" borderId="32" xfId="0" applyFont="1" applyFill="1" applyBorder="1" applyAlignment="1" applyProtection="1">
      <alignment horizontal="center" vertical="center"/>
      <protection locked="0"/>
    </xf>
    <xf numFmtId="49" fontId="50" fillId="0" borderId="32" xfId="0" applyNumberFormat="1" applyFont="1" applyBorder="1">
      <alignment vertical="center"/>
    </xf>
    <xf numFmtId="49" fontId="91" fillId="0" borderId="32" xfId="0" applyNumberFormat="1" applyFont="1" applyBorder="1">
      <alignment vertical="center"/>
    </xf>
    <xf numFmtId="49" fontId="54" fillId="0" borderId="75" xfId="0" applyNumberFormat="1" applyFont="1" applyBorder="1">
      <alignment vertical="center"/>
    </xf>
    <xf numFmtId="0" fontId="54" fillId="85" borderId="32" xfId="0" applyFont="1" applyFill="1" applyBorder="1" applyAlignment="1" applyProtection="1">
      <alignment horizontal="center" vertical="center"/>
      <protection locked="0"/>
    </xf>
    <xf numFmtId="49" fontId="80" fillId="0" borderId="32" xfId="0" applyNumberFormat="1" applyFont="1" applyBorder="1">
      <alignment vertical="center"/>
    </xf>
    <xf numFmtId="0" fontId="54" fillId="87" borderId="35" xfId="0" applyFont="1" applyFill="1" applyBorder="1" applyAlignment="1">
      <alignment vertical="center" wrapText="1"/>
    </xf>
    <xf numFmtId="0" fontId="54" fillId="85" borderId="32" xfId="0" applyFont="1" applyFill="1" applyBorder="1" applyAlignment="1">
      <alignment horizontal="center" vertical="center"/>
    </xf>
    <xf numFmtId="0" fontId="54" fillId="0" borderId="0" xfId="0" applyFont="1" applyProtection="1">
      <alignment vertical="center"/>
      <protection hidden="1"/>
    </xf>
    <xf numFmtId="0" fontId="54" fillId="0" borderId="34" xfId="66" applyFont="1" applyBorder="1">
      <alignment vertical="center"/>
    </xf>
    <xf numFmtId="14" fontId="54" fillId="86" borderId="32" xfId="69" applyNumberFormat="1" applyFont="1" applyBorder="1">
      <alignment horizontal="right" vertical="center" indent="1"/>
    </xf>
    <xf numFmtId="0" fontId="54" fillId="0" borderId="32" xfId="0" applyFont="1" applyBorder="1" applyProtection="1">
      <alignment vertical="center"/>
      <protection hidden="1"/>
    </xf>
    <xf numFmtId="0" fontId="54" fillId="0" borderId="128" xfId="69" applyNumberFormat="1" applyFont="1" applyFill="1" applyBorder="1">
      <alignment horizontal="right" vertical="center" indent="1"/>
    </xf>
    <xf numFmtId="0" fontId="54" fillId="85" borderId="75" xfId="0" applyFont="1" applyFill="1" applyBorder="1" applyAlignment="1">
      <alignment horizontal="center" vertical="center"/>
    </xf>
    <xf numFmtId="175" fontId="82" fillId="2" borderId="32" xfId="71" applyNumberFormat="1" applyFont="1" applyBorder="1" applyAlignment="1">
      <alignment horizontal="right" vertical="center" indent="1"/>
    </xf>
    <xf numFmtId="0" fontId="92" fillId="87" borderId="35" xfId="0" applyFont="1" applyFill="1" applyBorder="1" applyAlignment="1">
      <alignment vertical="center" wrapText="1"/>
    </xf>
    <xf numFmtId="49" fontId="93" fillId="0" borderId="32" xfId="0" applyNumberFormat="1" applyFont="1" applyBorder="1">
      <alignment vertical="center"/>
    </xf>
    <xf numFmtId="15" fontId="54" fillId="0" borderId="35" xfId="0" applyNumberFormat="1" applyFont="1" applyBorder="1">
      <alignment vertical="center"/>
    </xf>
    <xf numFmtId="0" fontId="54" fillId="84" borderId="37" xfId="67" applyFont="1" applyBorder="1">
      <alignment horizontal="left" vertical="center" wrapText="1"/>
    </xf>
    <xf numFmtId="0" fontId="90" fillId="85" borderId="37" xfId="0" applyFont="1" applyFill="1" applyBorder="1" applyAlignment="1" applyProtection="1">
      <alignment horizontal="center" vertical="center"/>
      <protection locked="0"/>
    </xf>
    <xf numFmtId="49" fontId="54" fillId="0" borderId="175" xfId="0" applyNumberFormat="1" applyFont="1" applyBorder="1">
      <alignment vertical="center"/>
    </xf>
    <xf numFmtId="49" fontId="0" fillId="35" borderId="32" xfId="53" applyNumberFormat="1" applyFont="1" applyBorder="1" applyAlignment="1">
      <alignment horizontal="left" vertical="center" wrapText="1"/>
    </xf>
    <xf numFmtId="49" fontId="0" fillId="35" borderId="37" xfId="53" applyNumberFormat="1" applyFont="1" applyBorder="1" applyAlignment="1">
      <alignment horizontal="left" vertical="center" wrapText="1"/>
    </xf>
    <xf numFmtId="49" fontId="0" fillId="69" borderId="116" xfId="0" applyNumberFormat="1" applyFill="1" applyBorder="1">
      <alignment vertical="center"/>
    </xf>
    <xf numFmtId="49" fontId="0" fillId="71" borderId="39" xfId="1" applyNumberFormat="1" applyFont="1" applyFill="1" applyBorder="1" applyAlignment="1">
      <alignment horizontal="center" vertical="center"/>
    </xf>
    <xf numFmtId="49" fontId="0" fillId="69" borderId="61" xfId="0" applyNumberFormat="1" applyFill="1" applyBorder="1">
      <alignment vertical="center"/>
    </xf>
    <xf numFmtId="49" fontId="0" fillId="71" borderId="32" xfId="1" applyNumberFormat="1" applyFont="1" applyFill="1" applyBorder="1" applyAlignment="1">
      <alignment horizontal="center" vertical="center"/>
    </xf>
    <xf numFmtId="0" fontId="4" fillId="0" borderId="10" xfId="0" applyFont="1" applyBorder="1" applyAlignment="1">
      <alignment wrapText="1"/>
    </xf>
    <xf numFmtId="0" fontId="94" fillId="89" borderId="1" xfId="0" applyFont="1" applyFill="1" applyBorder="1" applyAlignment="1">
      <alignment horizontal="center" vertical="center" wrapText="1"/>
    </xf>
    <xf numFmtId="0" fontId="94" fillId="90" borderId="130" xfId="0" applyFont="1" applyFill="1" applyBorder="1" applyAlignment="1">
      <alignment horizontal="center" vertical="center" wrapText="1"/>
    </xf>
    <xf numFmtId="0" fontId="7" fillId="0" borderId="169" xfId="0" applyFont="1" applyBorder="1" applyAlignment="1">
      <alignment wrapText="1"/>
    </xf>
    <xf numFmtId="0" fontId="7" fillId="0" borderId="170" xfId="0" applyFont="1" applyBorder="1" applyAlignment="1">
      <alignment wrapText="1"/>
    </xf>
    <xf numFmtId="0" fontId="7" fillId="0" borderId="171" xfId="0" applyFont="1" applyBorder="1" applyAlignment="1">
      <alignment wrapText="1"/>
    </xf>
    <xf numFmtId="0" fontId="7" fillId="0" borderId="169" xfId="0" applyFont="1" applyBorder="1">
      <alignment vertical="center"/>
    </xf>
    <xf numFmtId="0" fontId="7" fillId="0" borderId="171" xfId="0" applyFont="1" applyBorder="1">
      <alignment vertical="center"/>
    </xf>
    <xf numFmtId="9" fontId="0" fillId="0" borderId="67" xfId="0" applyNumberFormat="1" applyBorder="1">
      <alignment vertical="center"/>
    </xf>
    <xf numFmtId="0" fontId="7" fillId="0" borderId="10" xfId="0" applyFont="1" applyBorder="1">
      <alignment vertical="center"/>
    </xf>
    <xf numFmtId="0" fontId="0" fillId="0" borderId="154" xfId="0" applyBorder="1">
      <alignment vertical="center"/>
    </xf>
    <xf numFmtId="0" fontId="0" fillId="0" borderId="65" xfId="0" applyBorder="1">
      <alignment vertical="center"/>
    </xf>
    <xf numFmtId="174" fontId="0" fillId="0" borderId="0" xfId="2" applyNumberFormat="1" applyFont="1" applyAlignment="1">
      <alignment vertical="center"/>
    </xf>
    <xf numFmtId="9" fontId="0" fillId="41" borderId="0" xfId="1" applyFont="1" applyFill="1" applyAlignment="1"/>
    <xf numFmtId="174" fontId="0" fillId="41" borderId="0" xfId="2" applyNumberFormat="1" applyFont="1" applyFill="1" applyAlignment="1"/>
    <xf numFmtId="10" fontId="0" fillId="41" borderId="0" xfId="0" applyNumberFormat="1" applyFill="1">
      <alignment vertical="center"/>
    </xf>
    <xf numFmtId="170" fontId="0" fillId="0" borderId="0" xfId="0" applyNumberFormat="1">
      <alignment vertical="center"/>
    </xf>
    <xf numFmtId="1" fontId="0" fillId="0" borderId="0" xfId="0" applyNumberFormat="1">
      <alignment vertical="center"/>
    </xf>
    <xf numFmtId="2" fontId="0" fillId="41" borderId="0" xfId="0" applyNumberFormat="1" applyFill="1">
      <alignment vertical="center"/>
    </xf>
    <xf numFmtId="0" fontId="0" fillId="0" borderId="64" xfId="0" applyBorder="1" applyAlignment="1"/>
    <xf numFmtId="174" fontId="0" fillId="0" borderId="0" xfId="2" applyNumberFormat="1" applyFont="1" applyBorder="1"/>
    <xf numFmtId="174" fontId="0" fillId="0" borderId="0" xfId="2" applyNumberFormat="1" applyFont="1" applyBorder="1" applyAlignment="1">
      <alignment vertical="center"/>
    </xf>
    <xf numFmtId="174" fontId="0" fillId="0" borderId="139" xfId="2" applyNumberFormat="1" applyFont="1" applyBorder="1" applyAlignment="1">
      <alignment vertical="center"/>
    </xf>
    <xf numFmtId="0" fontId="7" fillId="0" borderId="169" xfId="0" applyFont="1" applyBorder="1" applyAlignment="1"/>
    <xf numFmtId="174" fontId="7" fillId="0" borderId="170" xfId="2" applyNumberFormat="1" applyFont="1" applyBorder="1" applyAlignment="1"/>
    <xf numFmtId="174" fontId="7" fillId="0" borderId="170" xfId="2" applyNumberFormat="1" applyFont="1" applyFill="1" applyBorder="1" applyAlignment="1"/>
    <xf numFmtId="174" fontId="7" fillId="0" borderId="171" xfId="2" applyNumberFormat="1" applyFont="1" applyFill="1" applyBorder="1" applyAlignment="1"/>
    <xf numFmtId="174" fontId="7" fillId="0" borderId="176" xfId="2" applyNumberFormat="1" applyFont="1" applyBorder="1" applyAlignment="1"/>
    <xf numFmtId="174" fontId="0" fillId="0" borderId="135" xfId="2" applyNumberFormat="1" applyFont="1" applyBorder="1"/>
    <xf numFmtId="174" fontId="7" fillId="0" borderId="177" xfId="2" applyNumberFormat="1" applyFont="1" applyFill="1" applyBorder="1" applyAlignment="1"/>
    <xf numFmtId="174" fontId="0" fillId="0" borderId="5" xfId="2" applyNumberFormat="1" applyFont="1" applyBorder="1" applyAlignment="1">
      <alignment vertical="center"/>
    </xf>
    <xf numFmtId="174" fontId="0" fillId="0" borderId="135" xfId="2" applyNumberFormat="1" applyFont="1" applyBorder="1" applyAlignment="1">
      <alignment vertical="center"/>
    </xf>
    <xf numFmtId="174" fontId="7" fillId="0" borderId="176" xfId="2" applyNumberFormat="1" applyFont="1" applyFill="1" applyBorder="1" applyAlignment="1"/>
    <xf numFmtId="0" fontId="0" fillId="0" borderId="134" xfId="0" applyBorder="1">
      <alignment vertical="center"/>
    </xf>
    <xf numFmtId="0" fontId="0" fillId="0" borderId="10" xfId="0" applyBorder="1">
      <alignment vertical="center"/>
    </xf>
    <xf numFmtId="0" fontId="7" fillId="0" borderId="134" xfId="0" applyFont="1" applyBorder="1">
      <alignment vertical="center"/>
    </xf>
    <xf numFmtId="174" fontId="7" fillId="0" borderId="134" xfId="2" applyNumberFormat="1" applyFont="1" applyFill="1" applyBorder="1" applyAlignment="1"/>
    <xf numFmtId="174" fontId="7" fillId="0" borderId="10" xfId="2" applyNumberFormat="1" applyFont="1" applyFill="1" applyBorder="1" applyAlignment="1"/>
    <xf numFmtId="0" fontId="7" fillId="0" borderId="170" xfId="0" applyFont="1" applyBorder="1" applyAlignment="1"/>
    <xf numFmtId="0" fontId="7" fillId="0" borderId="171" xfId="0" applyFont="1" applyBorder="1" applyAlignment="1"/>
    <xf numFmtId="174" fontId="0" fillId="0" borderId="10" xfId="2" applyNumberFormat="1" applyFont="1" applyBorder="1" applyAlignment="1">
      <alignment vertical="center"/>
    </xf>
    <xf numFmtId="2" fontId="0" fillId="0" borderId="127" xfId="0" applyNumberFormat="1" applyBorder="1">
      <alignment vertical="center"/>
    </xf>
    <xf numFmtId="174" fontId="0" fillId="0" borderId="65" xfId="2" applyNumberFormat="1" applyFont="1" applyBorder="1" applyAlignment="1">
      <alignment vertical="center"/>
    </xf>
    <xf numFmtId="10" fontId="0" fillId="0" borderId="0" xfId="1" applyNumberFormat="1" applyFont="1" applyAlignment="1">
      <alignment vertical="center"/>
    </xf>
    <xf numFmtId="182" fontId="94" fillId="90" borderId="1" xfId="2" applyNumberFormat="1" applyFont="1" applyFill="1" applyBorder="1" applyAlignment="1">
      <alignment horizontal="center" vertical="center" wrapText="1"/>
    </xf>
    <xf numFmtId="164" fontId="0" fillId="0" borderId="0" xfId="2" applyFont="1" applyBorder="1"/>
    <xf numFmtId="0" fontId="0" fillId="41" borderId="139" xfId="0" applyFill="1" applyBorder="1">
      <alignment vertical="center"/>
    </xf>
    <xf numFmtId="0" fontId="0" fillId="41" borderId="127" xfId="0" applyFill="1" applyBorder="1">
      <alignment vertical="center"/>
    </xf>
    <xf numFmtId="179" fontId="6" fillId="51" borderId="39" xfId="59" applyNumberFormat="1" applyFont="1" applyBorder="1" applyAlignment="1">
      <alignment horizontal="right" vertical="center" indent="3"/>
      <protection locked="0"/>
    </xf>
    <xf numFmtId="179" fontId="6" fillId="51" borderId="32" xfId="59" applyNumberFormat="1" applyFont="1" applyBorder="1" applyAlignment="1">
      <alignment horizontal="right" vertical="center" indent="3"/>
      <protection locked="0"/>
    </xf>
    <xf numFmtId="9" fontId="6" fillId="36" borderId="13" xfId="54" applyNumberFormat="1" applyBorder="1" applyAlignment="1">
      <alignment horizontal="center" vertical="center" wrapText="1"/>
      <protection locked="0"/>
    </xf>
    <xf numFmtId="0" fontId="40" fillId="38" borderId="11" xfId="56" applyFont="1" applyBorder="1" applyAlignment="1">
      <alignment horizontal="center" vertical="center"/>
      <protection locked="0"/>
    </xf>
    <xf numFmtId="0" fontId="40" fillId="38" borderId="12" xfId="56" applyFont="1" applyBorder="1" applyAlignment="1">
      <alignment horizontal="center" vertical="center"/>
      <protection locked="0"/>
    </xf>
    <xf numFmtId="0" fontId="0" fillId="0" borderId="0" xfId="0" applyProtection="1">
      <alignment vertical="center"/>
      <protection locked="0"/>
    </xf>
    <xf numFmtId="9" fontId="0" fillId="0" borderId="0" xfId="1" applyFont="1" applyAlignment="1" applyProtection="1">
      <alignment vertical="center"/>
      <protection locked="0"/>
    </xf>
    <xf numFmtId="174" fontId="0" fillId="0" borderId="0" xfId="0" applyNumberFormat="1">
      <alignment vertical="center"/>
    </xf>
    <xf numFmtId="3" fontId="0" fillId="0" borderId="139" xfId="0" applyNumberFormat="1" applyBorder="1">
      <alignment vertical="center"/>
    </xf>
    <xf numFmtId="9" fontId="0" fillId="0" borderId="0" xfId="1" applyFont="1" applyBorder="1" applyAlignment="1">
      <alignment vertical="center"/>
    </xf>
    <xf numFmtId="0" fontId="7" fillId="0" borderId="180" xfId="0" applyFont="1" applyBorder="1">
      <alignment vertical="center"/>
    </xf>
    <xf numFmtId="0" fontId="7" fillId="0" borderId="181" xfId="0" applyFont="1" applyBorder="1" applyAlignment="1">
      <alignment vertical="center" wrapText="1"/>
    </xf>
    <xf numFmtId="164" fontId="0" fillId="0" borderId="0" xfId="2" applyFont="1" applyBorder="1" applyAlignment="1">
      <alignment vertical="center"/>
    </xf>
    <xf numFmtId="174" fontId="7" fillId="0" borderId="177" xfId="2" applyNumberFormat="1" applyFont="1" applyBorder="1" applyAlignment="1"/>
    <xf numFmtId="174" fontId="0" fillId="0" borderId="5" xfId="2" applyNumberFormat="1" applyFont="1" applyBorder="1"/>
    <xf numFmtId="174" fontId="7" fillId="0" borderId="169" xfId="2" applyNumberFormat="1" applyFont="1" applyFill="1" applyBorder="1" applyAlignment="1"/>
    <xf numFmtId="0" fontId="0" fillId="0" borderId="178" xfId="0" applyBorder="1">
      <alignment vertical="center"/>
    </xf>
    <xf numFmtId="0" fontId="0" fillId="0" borderId="179" xfId="0" applyBorder="1">
      <alignment vertical="center"/>
    </xf>
    <xf numFmtId="9" fontId="0" fillId="0" borderId="139" xfId="0" applyNumberFormat="1" applyBorder="1">
      <alignment vertical="center"/>
    </xf>
    <xf numFmtId="9" fontId="0" fillId="0" borderId="179" xfId="0" applyNumberFormat="1" applyBorder="1">
      <alignment vertical="center"/>
    </xf>
    <xf numFmtId="10" fontId="0" fillId="0" borderId="64" xfId="1" applyNumberFormat="1" applyFont="1" applyBorder="1" applyAlignment="1">
      <alignment vertical="center"/>
    </xf>
    <xf numFmtId="9" fontId="0" fillId="0" borderId="139" xfId="1" applyFont="1" applyBorder="1" applyAlignment="1">
      <alignment vertical="center"/>
    </xf>
    <xf numFmtId="174" fontId="7" fillId="0" borderId="178" xfId="2" applyNumberFormat="1" applyFont="1" applyFill="1" applyBorder="1" applyAlignment="1"/>
    <xf numFmtId="174" fontId="7" fillId="0" borderId="179" xfId="2" applyNumberFormat="1" applyFont="1" applyFill="1" applyBorder="1" applyAlignment="1"/>
    <xf numFmtId="10" fontId="0" fillId="0" borderId="169" xfId="1" applyNumberFormat="1" applyFont="1" applyBorder="1" applyAlignment="1">
      <alignment vertical="center"/>
    </xf>
    <xf numFmtId="10" fontId="0" fillId="0" borderId="171" xfId="1" applyNumberFormat="1" applyFont="1" applyBorder="1" applyAlignment="1">
      <alignment vertical="center"/>
    </xf>
    <xf numFmtId="174" fontId="7" fillId="0" borderId="0" xfId="2" applyNumberFormat="1" applyFont="1" applyFill="1" applyBorder="1" applyAlignment="1"/>
    <xf numFmtId="1" fontId="0" fillId="0" borderId="10" xfId="2" applyNumberFormat="1" applyFont="1" applyBorder="1" applyAlignment="1">
      <alignment vertical="center"/>
    </xf>
    <xf numFmtId="10" fontId="0" fillId="0" borderId="10" xfId="1" applyNumberFormat="1" applyFont="1" applyBorder="1" applyAlignment="1">
      <alignment vertical="center"/>
    </xf>
    <xf numFmtId="0" fontId="0" fillId="0" borderId="0" xfId="53" applyFont="1" applyFill="1" applyBorder="1">
      <alignment horizontal="right" vertical="center" wrapText="1" indent="1"/>
    </xf>
    <xf numFmtId="0" fontId="6" fillId="0" borderId="0" xfId="63" applyFill="1" applyBorder="1" applyAlignment="1" applyProtection="1">
      <alignment horizontal="left" vertical="center"/>
      <protection locked="0"/>
    </xf>
    <xf numFmtId="0" fontId="49" fillId="0" borderId="0" xfId="47" applyFont="1" applyFill="1" applyBorder="1" applyAlignment="1">
      <alignment vertical="center"/>
    </xf>
    <xf numFmtId="0" fontId="6" fillId="51" borderId="39" xfId="59" applyNumberFormat="1" applyFont="1" applyBorder="1" applyAlignment="1">
      <alignment horizontal="center" vertical="center"/>
      <protection locked="0"/>
    </xf>
    <xf numFmtId="0" fontId="6" fillId="51" borderId="39" xfId="59" applyNumberFormat="1" applyFont="1" applyBorder="1" applyAlignment="1">
      <alignment vertical="center"/>
      <protection locked="0"/>
    </xf>
    <xf numFmtId="9" fontId="6" fillId="51" borderId="74" xfId="59" applyNumberFormat="1" applyFont="1" applyBorder="1" applyAlignment="1">
      <alignment horizontal="center" vertical="center"/>
      <protection locked="0"/>
    </xf>
    <xf numFmtId="0" fontId="6" fillId="51" borderId="32" xfId="59" applyNumberFormat="1" applyFont="1" applyBorder="1" applyAlignment="1">
      <alignment vertical="center"/>
      <protection locked="0"/>
    </xf>
    <xf numFmtId="9" fontId="6" fillId="51" borderId="35" xfId="59" applyNumberFormat="1" applyFont="1" applyBorder="1" applyAlignment="1">
      <alignment horizontal="center" vertical="center"/>
      <protection locked="0"/>
    </xf>
    <xf numFmtId="9" fontId="6" fillId="51" borderId="10" xfId="59" applyNumberFormat="1" applyFont="1" applyBorder="1" applyAlignment="1">
      <alignment horizontal="center" vertical="center" wrapText="1"/>
      <protection locked="0"/>
    </xf>
    <xf numFmtId="9" fontId="6" fillId="51" borderId="11" xfId="59" applyNumberFormat="1" applyFont="1" applyBorder="1" applyAlignment="1">
      <alignment horizontal="center" vertical="center"/>
      <protection locked="0"/>
    </xf>
    <xf numFmtId="9" fontId="6" fillId="51" borderId="12" xfId="59" applyNumberFormat="1" applyFont="1" applyBorder="1" applyAlignment="1">
      <alignment horizontal="center" vertical="center"/>
      <protection locked="0"/>
    </xf>
    <xf numFmtId="0" fontId="6" fillId="51" borderId="11" xfId="59" applyNumberFormat="1" applyFont="1" applyBorder="1" applyAlignment="1">
      <alignment vertical="center"/>
      <protection locked="0"/>
    </xf>
    <xf numFmtId="0" fontId="6" fillId="51" borderId="73" xfId="59" applyNumberFormat="1" applyFont="1" applyBorder="1" applyAlignment="1">
      <alignment vertical="center"/>
      <protection locked="0"/>
    </xf>
    <xf numFmtId="0" fontId="6" fillId="51" borderId="13" xfId="59" applyNumberFormat="1" applyFont="1" applyBorder="1" applyAlignment="1">
      <alignment vertical="center"/>
      <protection locked="0"/>
    </xf>
    <xf numFmtId="9" fontId="6" fillId="51" borderId="125" xfId="59" applyNumberFormat="1" applyFont="1" applyBorder="1" applyAlignment="1">
      <alignment horizontal="center" vertical="center"/>
      <protection locked="0"/>
    </xf>
    <xf numFmtId="178" fontId="6" fillId="51" borderId="11" xfId="59" applyNumberFormat="1" applyFont="1" applyBorder="1" applyAlignment="1">
      <alignment horizontal="right" vertical="center"/>
      <protection locked="0"/>
    </xf>
    <xf numFmtId="178" fontId="6" fillId="51" borderId="12" xfId="59" applyNumberFormat="1" applyFont="1" applyBorder="1" applyAlignment="1">
      <alignment horizontal="right" vertical="center"/>
      <protection locked="0"/>
    </xf>
    <xf numFmtId="178" fontId="6" fillId="51" borderId="13" xfId="59" applyNumberFormat="1" applyFont="1" applyBorder="1" applyAlignment="1">
      <alignment horizontal="right" vertical="center"/>
      <protection locked="0"/>
    </xf>
    <xf numFmtId="178" fontId="6" fillId="51" borderId="73" xfId="59" applyNumberFormat="1" applyFont="1" applyBorder="1" applyAlignment="1">
      <alignment horizontal="right" vertical="center"/>
      <protection locked="0"/>
    </xf>
    <xf numFmtId="178" fontId="6" fillId="51" borderId="88" xfId="59" applyNumberFormat="1" applyFont="1" applyBorder="1" applyAlignment="1">
      <alignment vertical="center"/>
      <protection locked="0"/>
    </xf>
    <xf numFmtId="178" fontId="6" fillId="51" borderId="90" xfId="59" applyNumberFormat="1" applyFont="1" applyBorder="1" applyAlignment="1">
      <alignment horizontal="right" vertical="center"/>
      <protection locked="0"/>
    </xf>
    <xf numFmtId="178" fontId="6" fillId="51" borderId="65" xfId="59" applyNumberFormat="1" applyFont="1" applyBorder="1" applyAlignment="1">
      <alignment horizontal="right" vertical="center"/>
      <protection locked="0"/>
    </xf>
    <xf numFmtId="3" fontId="6" fillId="51" borderId="10" xfId="59" applyNumberFormat="1" applyFont="1" applyBorder="1" applyAlignment="1">
      <alignment horizontal="center" vertical="center" wrapText="1"/>
      <protection locked="0"/>
    </xf>
    <xf numFmtId="178" fontId="6" fillId="51" borderId="79" xfId="59" applyNumberFormat="1" applyFont="1" applyBorder="1" applyAlignment="1">
      <alignment horizontal="right" vertical="center"/>
      <protection locked="0"/>
    </xf>
    <xf numFmtId="177" fontId="6" fillId="51" borderId="80" xfId="59" applyNumberFormat="1" applyFont="1" applyBorder="1" applyAlignment="1">
      <alignment horizontal="right" vertical="center" indent="2"/>
      <protection locked="0"/>
    </xf>
    <xf numFmtId="178" fontId="6" fillId="51" borderId="80" xfId="59" applyNumberFormat="1" applyFont="1" applyBorder="1" applyAlignment="1">
      <alignment horizontal="right" vertical="center"/>
      <protection locked="0"/>
    </xf>
    <xf numFmtId="178" fontId="6" fillId="51" borderId="81" xfId="59" applyNumberFormat="1" applyFont="1" applyBorder="1" applyAlignment="1">
      <alignment horizontal="right" vertical="center"/>
      <protection locked="0"/>
    </xf>
    <xf numFmtId="178" fontId="6" fillId="51" borderId="69" xfId="59" applyNumberFormat="1" applyFont="1" applyBorder="1" applyAlignment="1">
      <alignment horizontal="right" vertical="center"/>
      <protection locked="0"/>
    </xf>
    <xf numFmtId="177" fontId="6" fillId="51" borderId="70" xfId="59" applyNumberFormat="1" applyFont="1" applyBorder="1" applyAlignment="1">
      <alignment horizontal="right" vertical="center" indent="2"/>
      <protection locked="0"/>
    </xf>
    <xf numFmtId="178" fontId="6" fillId="51" borderId="70" xfId="59" applyNumberFormat="1" applyFont="1" applyBorder="1" applyAlignment="1">
      <alignment horizontal="right" vertical="center"/>
      <protection locked="0"/>
    </xf>
    <xf numFmtId="178" fontId="6" fillId="51" borderId="72" xfId="59" applyNumberFormat="1" applyFont="1" applyBorder="1" applyAlignment="1">
      <alignment horizontal="right" vertical="center"/>
      <protection locked="0"/>
    </xf>
    <xf numFmtId="178" fontId="6" fillId="51" borderId="85" xfId="59" applyNumberFormat="1" applyFont="1" applyBorder="1" applyAlignment="1">
      <alignment horizontal="right" vertical="center"/>
      <protection locked="0"/>
    </xf>
    <xf numFmtId="177" fontId="6" fillId="51" borderId="86" xfId="59" applyNumberFormat="1" applyFont="1" applyBorder="1" applyAlignment="1">
      <alignment horizontal="right" vertical="center" indent="2"/>
      <protection locked="0"/>
    </xf>
    <xf numFmtId="178" fontId="6" fillId="51" borderId="86" xfId="59" applyNumberFormat="1" applyFont="1" applyBorder="1" applyAlignment="1">
      <alignment horizontal="right" vertical="center"/>
      <protection locked="0"/>
    </xf>
    <xf numFmtId="178" fontId="6" fillId="51" borderId="87" xfId="59" applyNumberFormat="1" applyFont="1" applyBorder="1" applyAlignment="1">
      <alignment horizontal="right" vertical="center"/>
      <protection locked="0"/>
    </xf>
    <xf numFmtId="178" fontId="6" fillId="51" borderId="82" xfId="59" applyNumberFormat="1" applyFont="1" applyBorder="1" applyAlignment="1">
      <alignment horizontal="right" vertical="center"/>
      <protection locked="0"/>
    </xf>
    <xf numFmtId="177" fontId="6" fillId="51" borderId="83" xfId="59" applyNumberFormat="1" applyFont="1" applyBorder="1" applyAlignment="1">
      <alignment horizontal="right" vertical="center" indent="2"/>
      <protection locked="0"/>
    </xf>
    <xf numFmtId="178" fontId="6" fillId="51" borderId="83" xfId="59" applyNumberFormat="1" applyFont="1" applyBorder="1" applyAlignment="1">
      <alignment horizontal="right" vertical="center"/>
      <protection locked="0"/>
    </xf>
    <xf numFmtId="178" fontId="6" fillId="51" borderId="84" xfId="59" applyNumberFormat="1" applyFont="1" applyBorder="1" applyAlignment="1">
      <alignment horizontal="right" vertical="center"/>
      <protection locked="0"/>
    </xf>
    <xf numFmtId="0" fontId="0" fillId="0" borderId="0" xfId="53" applyFont="1" applyFill="1" applyBorder="1" applyAlignment="1">
      <alignment horizontal="center" vertical="center" wrapText="1"/>
    </xf>
    <xf numFmtId="0" fontId="72" fillId="0" borderId="0" xfId="47" applyFont="1" applyFill="1" applyBorder="1" applyAlignment="1">
      <alignment horizontal="left" vertical="center"/>
    </xf>
    <xf numFmtId="0" fontId="72" fillId="0" borderId="0" xfId="47" applyFont="1" applyFill="1" applyBorder="1" applyAlignment="1">
      <alignment horizontal="right" vertical="center"/>
    </xf>
    <xf numFmtId="0" fontId="0" fillId="0" borderId="0" xfId="53" applyFont="1" applyFill="1" applyBorder="1" applyAlignment="1">
      <alignment horizontal="right" vertical="center" wrapText="1"/>
    </xf>
    <xf numFmtId="0" fontId="33" fillId="0" borderId="0" xfId="47" applyFont="1" applyFill="1" applyBorder="1" applyAlignment="1">
      <alignment horizontal="right" vertical="center"/>
    </xf>
    <xf numFmtId="168" fontId="33" fillId="0" borderId="0" xfId="47" applyNumberFormat="1" applyFont="1" applyFill="1" applyBorder="1" applyAlignment="1">
      <alignment vertical="center"/>
    </xf>
    <xf numFmtId="0" fontId="0" fillId="0" borderId="0" xfId="47" applyFont="1" applyFill="1" applyBorder="1" applyAlignment="1">
      <alignment horizontal="left" vertical="center"/>
    </xf>
    <xf numFmtId="171" fontId="33" fillId="0" borderId="0" xfId="47" applyNumberFormat="1" applyFont="1" applyFill="1" applyBorder="1" applyAlignment="1">
      <alignment vertical="center"/>
    </xf>
    <xf numFmtId="0" fontId="30" fillId="0" borderId="0" xfId="50" applyFill="1" applyBorder="1" applyAlignment="1">
      <alignment horizontal="left" vertical="center"/>
    </xf>
    <xf numFmtId="0" fontId="30" fillId="0" borderId="0" xfId="50" applyFill="1" applyBorder="1" applyAlignment="1">
      <alignment vertical="center"/>
    </xf>
    <xf numFmtId="49" fontId="8" fillId="61" borderId="0" xfId="0" applyNumberFormat="1" applyFont="1" applyFill="1">
      <alignment vertical="center"/>
    </xf>
    <xf numFmtId="49" fontId="0" fillId="69" borderId="68" xfId="0" applyNumberFormat="1" applyFill="1" applyBorder="1">
      <alignment vertical="center"/>
    </xf>
    <xf numFmtId="0" fontId="0" fillId="35" borderId="37" xfId="53" applyFont="1" applyBorder="1" applyAlignment="1">
      <alignment horizontal="center" vertical="center" wrapText="1"/>
    </xf>
    <xf numFmtId="3" fontId="0" fillId="0" borderId="182" xfId="0" applyNumberFormat="1" applyBorder="1">
      <alignment vertical="center"/>
    </xf>
    <xf numFmtId="172" fontId="0" fillId="74" borderId="183" xfId="1" applyNumberFormat="1" applyFont="1" applyFill="1" applyBorder="1" applyAlignment="1">
      <alignment vertical="center"/>
    </xf>
    <xf numFmtId="3" fontId="0" fillId="0" borderId="184" xfId="0" applyNumberFormat="1" applyBorder="1">
      <alignment vertical="center"/>
    </xf>
    <xf numFmtId="3" fontId="0" fillId="74" borderId="185" xfId="0" applyNumberFormat="1" applyFill="1" applyBorder="1">
      <alignment vertical="center"/>
    </xf>
    <xf numFmtId="3" fontId="0" fillId="0" borderId="185" xfId="0" applyNumberFormat="1" applyBorder="1">
      <alignment vertical="center"/>
    </xf>
    <xf numFmtId="0" fontId="0" fillId="3" borderId="0" xfId="53" applyFont="1" applyFill="1" applyBorder="1" applyAlignment="1">
      <alignment horizontal="right" vertical="center" wrapText="1"/>
    </xf>
    <xf numFmtId="0" fontId="0" fillId="51" borderId="0" xfId="59" applyNumberFormat="1" applyFont="1" applyBorder="1" applyAlignment="1">
      <alignment vertical="center"/>
      <protection locked="0"/>
    </xf>
    <xf numFmtId="172" fontId="0" fillId="74" borderId="186" xfId="1" applyNumberFormat="1" applyFont="1" applyFill="1" applyBorder="1" applyAlignment="1">
      <alignment vertical="center"/>
    </xf>
    <xf numFmtId="0" fontId="0" fillId="91" borderId="0" xfId="0" applyFill="1" applyAlignment="1">
      <alignment horizontal="right" vertical="center"/>
    </xf>
    <xf numFmtId="0" fontId="0" fillId="35" borderId="34" xfId="53" applyFont="1" applyBorder="1" applyAlignment="1">
      <alignment horizontal="right" vertical="center" wrapText="1"/>
    </xf>
    <xf numFmtId="174" fontId="0" fillId="3" borderId="0" xfId="2" applyNumberFormat="1" applyFont="1" applyFill="1" applyBorder="1" applyAlignment="1">
      <alignment vertical="center"/>
    </xf>
    <xf numFmtId="172" fontId="0" fillId="3" borderId="0" xfId="1" applyNumberFormat="1" applyFont="1" applyFill="1" applyBorder="1" applyAlignment="1">
      <alignment vertical="center"/>
    </xf>
    <xf numFmtId="2" fontId="0" fillId="71" borderId="136" xfId="0" applyNumberFormat="1" applyFill="1" applyBorder="1" applyAlignment="1">
      <alignment horizontal="center" vertical="center"/>
    </xf>
    <xf numFmtId="2" fontId="0" fillId="92" borderId="0" xfId="0" applyNumberFormat="1" applyFill="1" applyAlignment="1">
      <alignment horizontal="center" vertical="center"/>
    </xf>
    <xf numFmtId="0" fontId="0" fillId="0" borderId="0" xfId="53" applyFont="1" applyFill="1" applyBorder="1" applyAlignment="1">
      <alignment horizontal="left" vertical="center"/>
    </xf>
    <xf numFmtId="174" fontId="0" fillId="0" borderId="0" xfId="2" applyNumberFormat="1" applyFont="1" applyAlignment="1" applyProtection="1">
      <alignment vertical="center"/>
      <protection locked="0"/>
    </xf>
    <xf numFmtId="174" fontId="0" fillId="69" borderId="68" xfId="2" applyNumberFormat="1" applyFont="1" applyFill="1" applyBorder="1" applyAlignment="1">
      <alignment vertical="center"/>
    </xf>
    <xf numFmtId="174" fontId="0" fillId="69" borderId="75" xfId="2" applyNumberFormat="1" applyFont="1" applyFill="1" applyBorder="1" applyAlignment="1">
      <alignment vertical="center"/>
    </xf>
    <xf numFmtId="9" fontId="0" fillId="69" borderId="119" xfId="1" applyFont="1" applyFill="1" applyBorder="1" applyAlignment="1">
      <alignment vertical="center"/>
    </xf>
    <xf numFmtId="0" fontId="6" fillId="51" borderId="187" xfId="59" applyNumberFormat="1" applyFont="1" applyBorder="1" applyAlignment="1">
      <alignment horizontal="right" vertical="center"/>
      <protection locked="0"/>
    </xf>
    <xf numFmtId="178" fontId="6" fillId="44" borderId="188" xfId="60" applyNumberFormat="1" applyFont="1" applyBorder="1" applyAlignment="1" applyProtection="1">
      <alignment horizontal="right" vertical="center"/>
      <protection locked="0"/>
    </xf>
    <xf numFmtId="178" fontId="6" fillId="44" borderId="10" xfId="60" applyNumberFormat="1" applyFont="1" applyBorder="1" applyAlignment="1" applyProtection="1">
      <alignment horizontal="right" vertical="center"/>
      <protection locked="0"/>
    </xf>
    <xf numFmtId="178" fontId="6" fillId="44" borderId="123" xfId="60" applyNumberFormat="1" applyFont="1" applyBorder="1" applyAlignment="1" applyProtection="1">
      <alignment horizontal="right" vertical="center"/>
      <protection locked="0"/>
    </xf>
    <xf numFmtId="177" fontId="6" fillId="44" borderId="124" xfId="60" applyNumberFormat="1" applyFont="1" applyBorder="1" applyAlignment="1" applyProtection="1">
      <alignment horizontal="right" vertical="center" indent="2"/>
      <protection locked="0"/>
    </xf>
    <xf numFmtId="178" fontId="6" fillId="44" borderId="124" xfId="60" applyNumberFormat="1" applyFont="1" applyBorder="1" applyAlignment="1" applyProtection="1">
      <alignment horizontal="right" vertical="center"/>
      <protection locked="0"/>
    </xf>
    <xf numFmtId="178" fontId="6" fillId="44" borderId="189" xfId="60" applyNumberFormat="1" applyFont="1" applyBorder="1" applyAlignment="1" applyProtection="1">
      <alignment horizontal="right" vertical="center"/>
      <protection locked="0"/>
    </xf>
    <xf numFmtId="178" fontId="6" fillId="44" borderId="190" xfId="60" applyNumberFormat="1" applyFont="1" applyBorder="1" applyAlignment="1" applyProtection="1">
      <alignment horizontal="right" vertical="center"/>
      <protection locked="0"/>
    </xf>
    <xf numFmtId="177" fontId="6" fillId="44" borderId="191" xfId="60" applyNumberFormat="1" applyFont="1" applyBorder="1" applyAlignment="1" applyProtection="1">
      <alignment horizontal="right" vertical="center" indent="2"/>
      <protection locked="0"/>
    </xf>
    <xf numFmtId="178" fontId="6" fillId="44" borderId="191" xfId="60" applyNumberFormat="1" applyFont="1" applyBorder="1" applyAlignment="1" applyProtection="1">
      <alignment horizontal="right" vertical="center"/>
      <protection locked="0"/>
    </xf>
    <xf numFmtId="178" fontId="6" fillId="44" borderId="192" xfId="60" applyNumberFormat="1" applyFont="1" applyBorder="1" applyAlignment="1" applyProtection="1">
      <alignment horizontal="right" vertical="center"/>
      <protection locked="0"/>
    </xf>
    <xf numFmtId="178" fontId="6" fillId="44" borderId="193" xfId="60" applyNumberFormat="1" applyFont="1" applyBorder="1" applyAlignment="1" applyProtection="1">
      <alignment horizontal="right" vertical="center"/>
      <protection locked="0"/>
    </xf>
    <xf numFmtId="174" fontId="0" fillId="0" borderId="0" xfId="2" applyNumberFormat="1" applyFont="1" applyFill="1" applyAlignment="1">
      <alignment vertical="center"/>
    </xf>
    <xf numFmtId="11" fontId="0" fillId="0" borderId="139" xfId="0" applyNumberFormat="1" applyBorder="1">
      <alignment vertical="center"/>
    </xf>
    <xf numFmtId="11" fontId="0" fillId="0" borderId="127" xfId="0" applyNumberFormat="1" applyBorder="1">
      <alignment vertical="center"/>
    </xf>
    <xf numFmtId="178" fontId="6" fillId="44" borderId="82" xfId="60" applyNumberFormat="1" applyFont="1" applyBorder="1" applyAlignment="1" applyProtection="1">
      <alignment horizontal="right" vertical="center"/>
      <protection locked="0"/>
    </xf>
    <xf numFmtId="177" fontId="6" fillId="44" borderId="83" xfId="60" applyNumberFormat="1" applyFont="1" applyBorder="1" applyAlignment="1" applyProtection="1">
      <alignment horizontal="right" vertical="center" indent="2"/>
      <protection locked="0"/>
    </xf>
    <xf numFmtId="178" fontId="6" fillId="44" borderId="83" xfId="60" applyNumberFormat="1" applyFont="1" applyBorder="1" applyAlignment="1" applyProtection="1">
      <alignment horizontal="right" vertical="center"/>
      <protection locked="0"/>
    </xf>
    <xf numFmtId="178" fontId="6" fillId="44" borderId="84" xfId="60" applyNumberFormat="1" applyFont="1" applyBorder="1" applyAlignment="1" applyProtection="1">
      <alignment horizontal="right" vertical="center"/>
      <protection locked="0"/>
    </xf>
    <xf numFmtId="0" fontId="0" fillId="35" borderId="58" xfId="53" applyFont="1" applyBorder="1" applyAlignment="1">
      <alignment horizontal="center" vertical="center" wrapText="1"/>
    </xf>
    <xf numFmtId="179" fontId="6" fillId="51" borderId="39" xfId="1" applyNumberFormat="1" applyFont="1" applyFill="1" applyBorder="1" applyAlignment="1" applyProtection="1">
      <alignment vertical="center"/>
      <protection locked="0"/>
    </xf>
    <xf numFmtId="174" fontId="0" fillId="61" borderId="134" xfId="2" applyNumberFormat="1" applyFont="1" applyFill="1" applyBorder="1" applyAlignment="1">
      <alignment vertical="center"/>
    </xf>
    <xf numFmtId="174" fontId="0" fillId="61" borderId="154" xfId="2" applyNumberFormat="1" applyFont="1" applyFill="1" applyBorder="1" applyAlignment="1">
      <alignment vertical="center"/>
    </xf>
    <xf numFmtId="9" fontId="0" fillId="61" borderId="154" xfId="1" applyFont="1" applyFill="1" applyBorder="1" applyAlignment="1">
      <alignment vertical="center"/>
    </xf>
    <xf numFmtId="164" fontId="0" fillId="61" borderId="65" xfId="2" applyFont="1" applyFill="1" applyBorder="1" applyAlignment="1">
      <alignment vertical="center"/>
    </xf>
    <xf numFmtId="172" fontId="0" fillId="61" borderId="154" xfId="1" applyNumberFormat="1" applyFont="1" applyFill="1" applyBorder="1" applyAlignment="1">
      <alignment vertical="center"/>
    </xf>
    <xf numFmtId="0" fontId="0" fillId="61" borderId="154" xfId="0" applyFill="1" applyBorder="1">
      <alignment vertical="center"/>
    </xf>
    <xf numFmtId="174" fontId="0" fillId="61" borderId="65" xfId="2" applyNumberFormat="1" applyFont="1" applyFill="1" applyBorder="1" applyAlignment="1">
      <alignment vertical="center"/>
    </xf>
    <xf numFmtId="172" fontId="0" fillId="61" borderId="65" xfId="1" applyNumberFormat="1" applyFont="1" applyFill="1" applyBorder="1" applyAlignment="1">
      <alignment vertical="center"/>
    </xf>
    <xf numFmtId="179" fontId="0" fillId="35" borderId="58" xfId="53" applyNumberFormat="1" applyFont="1" applyBorder="1" applyAlignment="1">
      <alignment horizontal="center" vertical="center" wrapText="1"/>
    </xf>
    <xf numFmtId="174" fontId="6" fillId="36" borderId="11" xfId="2" applyNumberFormat="1" applyFont="1" applyFill="1" applyBorder="1" applyAlignment="1" applyProtection="1">
      <alignment horizontal="right" vertical="center"/>
      <protection locked="0"/>
    </xf>
    <xf numFmtId="9" fontId="0" fillId="71" borderId="5" xfId="1" applyFont="1" applyFill="1" applyBorder="1" applyAlignment="1">
      <alignment horizontal="center" vertical="center"/>
    </xf>
    <xf numFmtId="9" fontId="0" fillId="71" borderId="6" xfId="1" applyFont="1" applyFill="1" applyBorder="1" applyAlignment="1">
      <alignment horizontal="center" vertical="center"/>
    </xf>
    <xf numFmtId="0" fontId="33" fillId="62" borderId="194" xfId="47" applyFont="1" applyFill="1" applyBorder="1" applyAlignment="1">
      <alignment vertical="center"/>
    </xf>
    <xf numFmtId="9" fontId="33" fillId="62" borderId="195" xfId="47" applyNumberFormat="1" applyFont="1" applyFill="1" applyBorder="1" applyAlignment="1">
      <alignment vertical="center"/>
    </xf>
    <xf numFmtId="0" fontId="0" fillId="34" borderId="194" xfId="47" applyFont="1" applyBorder="1" applyAlignment="1">
      <alignment vertical="center"/>
    </xf>
    <xf numFmtId="2" fontId="33" fillId="62" borderId="194" xfId="47" applyNumberFormat="1" applyFont="1" applyFill="1" applyBorder="1" applyAlignment="1">
      <alignment vertical="center"/>
    </xf>
    <xf numFmtId="3" fontId="33" fillId="64" borderId="195" xfId="47" applyNumberFormat="1" applyFont="1" applyFill="1" applyBorder="1" applyAlignment="1">
      <alignment vertical="center"/>
    </xf>
    <xf numFmtId="3" fontId="33" fillId="62" borderId="195" xfId="47" applyNumberFormat="1" applyFont="1" applyFill="1" applyBorder="1" applyAlignment="1">
      <alignment vertical="center"/>
    </xf>
    <xf numFmtId="0" fontId="0" fillId="34" borderId="163" xfId="47" applyFont="1" applyBorder="1" applyAlignment="1">
      <alignment vertical="center"/>
    </xf>
    <xf numFmtId="0" fontId="33" fillId="64" borderId="39" xfId="47" applyNumberFormat="1" applyFont="1" applyFill="1" applyBorder="1" applyAlignment="1">
      <alignment vertical="center"/>
    </xf>
    <xf numFmtId="0" fontId="33" fillId="64" borderId="36" xfId="2" applyNumberFormat="1" applyFont="1" applyFill="1" applyBorder="1" applyAlignment="1">
      <alignment vertical="center"/>
    </xf>
    <xf numFmtId="0" fontId="33" fillId="64" borderId="148" xfId="47" applyFont="1" applyFill="1" applyBorder="1" applyAlignment="1">
      <alignment horizontal="right" vertical="center"/>
    </xf>
    <xf numFmtId="174" fontId="33" fillId="64" borderId="37" xfId="47" applyNumberFormat="1" applyFont="1" applyFill="1" applyBorder="1" applyAlignment="1">
      <alignment vertical="center"/>
    </xf>
    <xf numFmtId="164" fontId="33" fillId="64" borderId="34" xfId="47" applyNumberFormat="1" applyFont="1" applyFill="1" applyBorder="1" applyAlignment="1">
      <alignment horizontal="right" vertical="center"/>
    </xf>
    <xf numFmtId="4" fontId="33" fillId="64" borderId="175" xfId="47" applyNumberFormat="1" applyFont="1" applyFill="1" applyBorder="1" applyAlignment="1">
      <alignment vertical="center"/>
    </xf>
    <xf numFmtId="174" fontId="33" fillId="64" borderId="37" xfId="2" applyNumberFormat="1" applyFont="1" applyFill="1" applyBorder="1" applyAlignment="1">
      <alignment vertical="center"/>
    </xf>
    <xf numFmtId="164" fontId="33" fillId="64" borderId="149" xfId="2" applyFont="1" applyFill="1" applyBorder="1" applyAlignment="1">
      <alignment vertical="center"/>
    </xf>
    <xf numFmtId="174" fontId="33" fillId="64" borderId="149" xfId="2" applyNumberFormat="1" applyFont="1" applyFill="1" applyBorder="1" applyAlignment="1">
      <alignment vertical="center"/>
    </xf>
    <xf numFmtId="0" fontId="6" fillId="0" borderId="0" xfId="63" applyFill="1" applyBorder="1" applyAlignment="1" applyProtection="1">
      <alignment horizontal="center" vertical="center" wrapText="1"/>
      <protection locked="0"/>
    </xf>
    <xf numFmtId="2" fontId="0" fillId="71" borderId="104" xfId="0" applyNumberFormat="1" applyFill="1" applyBorder="1" applyAlignment="1">
      <alignment horizontal="center" vertical="center"/>
    </xf>
    <xf numFmtId="2" fontId="0" fillId="71" borderId="96" xfId="0" applyNumberFormat="1" applyFill="1" applyBorder="1" applyAlignment="1">
      <alignment horizontal="center" vertical="center"/>
    </xf>
    <xf numFmtId="2" fontId="0" fillId="71" borderId="97" xfId="0" applyNumberFormat="1" applyFill="1" applyBorder="1" applyAlignment="1">
      <alignment horizontal="center" vertical="center"/>
    </xf>
    <xf numFmtId="174" fontId="0" fillId="79" borderId="0" xfId="2" applyNumberFormat="1" applyFont="1" applyFill="1" applyAlignment="1">
      <alignment vertical="center"/>
    </xf>
    <xf numFmtId="2" fontId="33" fillId="81" borderId="194" xfId="47" applyNumberFormat="1" applyFont="1" applyFill="1" applyBorder="1" applyAlignment="1">
      <alignment vertical="center"/>
    </xf>
    <xf numFmtId="168" fontId="0" fillId="71" borderId="194" xfId="0" applyNumberFormat="1" applyFill="1" applyBorder="1" applyAlignment="1">
      <alignment horizontal="center" vertical="center"/>
    </xf>
    <xf numFmtId="2" fontId="0" fillId="71" borderId="194" xfId="0" applyNumberFormat="1" applyFill="1" applyBorder="1" applyAlignment="1">
      <alignment horizontal="center" vertical="center"/>
    </xf>
    <xf numFmtId="178" fontId="6" fillId="44" borderId="203" xfId="60" applyNumberFormat="1" applyFont="1" applyBorder="1" applyAlignment="1" applyProtection="1">
      <alignment horizontal="right" vertical="center"/>
      <protection locked="0"/>
    </xf>
    <xf numFmtId="177" fontId="6" fillId="44" borderId="204" xfId="60" applyNumberFormat="1" applyFont="1" applyBorder="1" applyAlignment="1" applyProtection="1">
      <alignment horizontal="right" vertical="center" indent="2"/>
      <protection locked="0"/>
    </xf>
    <xf numFmtId="178" fontId="6" fillId="44" borderId="204" xfId="60" applyNumberFormat="1" applyFont="1" applyBorder="1" applyAlignment="1" applyProtection="1">
      <alignment horizontal="right" vertical="center"/>
      <protection locked="0"/>
    </xf>
    <xf numFmtId="178" fontId="6" fillId="44" borderId="205" xfId="60" applyNumberFormat="1" applyFont="1" applyBorder="1" applyAlignment="1" applyProtection="1">
      <alignment horizontal="right" vertical="center"/>
      <protection locked="0"/>
    </xf>
    <xf numFmtId="0" fontId="0" fillId="0" borderId="206" xfId="0" applyBorder="1">
      <alignment vertical="center"/>
    </xf>
    <xf numFmtId="0" fontId="0" fillId="0" borderId="135" xfId="0" applyBorder="1" applyProtection="1">
      <alignment vertical="center"/>
      <protection locked="0"/>
    </xf>
    <xf numFmtId="182" fontId="0" fillId="0" borderId="0" xfId="2" applyNumberFormat="1" applyFont="1" applyAlignment="1" applyProtection="1">
      <alignment vertical="center"/>
      <protection locked="0"/>
    </xf>
    <xf numFmtId="0" fontId="0" fillId="41" borderId="10" xfId="0" applyFill="1" applyBorder="1" applyAlignment="1" applyProtection="1">
      <protection locked="0"/>
    </xf>
    <xf numFmtId="0" fontId="0" fillId="0" borderId="0" xfId="0" applyAlignment="1" applyProtection="1">
      <protection locked="0"/>
    </xf>
    <xf numFmtId="9" fontId="0" fillId="0" borderId="0" xfId="1" applyFont="1" applyBorder="1" applyProtection="1">
      <protection locked="0"/>
    </xf>
    <xf numFmtId="9" fontId="0" fillId="0" borderId="0" xfId="1" applyFont="1" applyProtection="1">
      <protection locked="0"/>
    </xf>
    <xf numFmtId="0" fontId="0" fillId="0" borderId="0" xfId="0" applyAlignment="1">
      <alignment horizontal="center" wrapText="1"/>
    </xf>
    <xf numFmtId="0" fontId="0" fillId="41" borderId="0" xfId="0" applyFill="1" applyAlignment="1" applyProtection="1">
      <protection locked="0"/>
    </xf>
    <xf numFmtId="174" fontId="0" fillId="41" borderId="0" xfId="2" applyNumberFormat="1" applyFont="1" applyFill="1" applyAlignment="1" applyProtection="1">
      <protection locked="0"/>
    </xf>
    <xf numFmtId="9" fontId="0" fillId="0" borderId="5" xfId="1" applyFont="1" applyBorder="1" applyAlignment="1" applyProtection="1">
      <alignment vertical="center"/>
      <protection locked="0"/>
    </xf>
    <xf numFmtId="174" fontId="0" fillId="0" borderId="135" xfId="0" applyNumberFormat="1" applyBorder="1">
      <alignment vertical="center"/>
    </xf>
    <xf numFmtId="0" fontId="103" fillId="3" borderId="0" xfId="0" applyFont="1" applyFill="1" applyAlignment="1">
      <alignment horizontal="center" vertical="center" wrapText="1"/>
    </xf>
    <xf numFmtId="0" fontId="34" fillId="35" borderId="1" xfId="53" applyFont="1" applyBorder="1" applyAlignment="1">
      <alignment horizontal="center" vertical="center" wrapText="1"/>
    </xf>
    <xf numFmtId="0" fontId="0" fillId="35" borderId="1" xfId="53" applyFont="1" applyBorder="1" applyAlignment="1">
      <alignment horizontal="center" vertical="center" wrapText="1"/>
    </xf>
    <xf numFmtId="0" fontId="0" fillId="35" borderId="133" xfId="53" applyFont="1" applyBorder="1" applyAlignment="1">
      <alignment horizontal="right" vertical="center" wrapText="1" indent="1"/>
    </xf>
    <xf numFmtId="0" fontId="0" fillId="0" borderId="35" xfId="0" applyBorder="1" applyAlignment="1">
      <alignment horizontal="right" vertical="center" indent="1"/>
    </xf>
    <xf numFmtId="0" fontId="0" fillId="35" borderId="138" xfId="53" applyFont="1" applyBorder="1" applyAlignment="1">
      <alignment horizontal="right" vertical="center" wrapText="1" indent="1"/>
    </xf>
    <xf numFmtId="0" fontId="0" fillId="0" borderId="34" xfId="0" applyBorder="1" applyAlignment="1">
      <alignment horizontal="right" vertical="center" indent="1"/>
    </xf>
    <xf numFmtId="0" fontId="0" fillId="35" borderId="123" xfId="53" applyFont="1" applyBorder="1" applyAlignment="1">
      <alignment horizontal="right" vertical="center" wrapText="1" indent="1"/>
    </xf>
    <xf numFmtId="0" fontId="0" fillId="0" borderId="142" xfId="0" applyBorder="1" applyAlignment="1">
      <alignment horizontal="right" vertical="center" indent="1"/>
    </xf>
    <xf numFmtId="0" fontId="58" fillId="0" borderId="0" xfId="47" applyFont="1" applyFill="1" applyBorder="1" applyAlignment="1">
      <alignment horizontal="center" vertical="center" wrapText="1"/>
    </xf>
    <xf numFmtId="0" fontId="6" fillId="51" borderId="124" xfId="59" applyNumberFormat="1" applyFont="1" applyBorder="1" applyAlignment="1">
      <alignment vertical="center"/>
      <protection locked="0"/>
    </xf>
    <xf numFmtId="0" fontId="59" fillId="0" borderId="0" xfId="47" applyFont="1" applyFill="1" applyBorder="1" applyAlignment="1">
      <alignment vertical="center" wrapText="1"/>
    </xf>
    <xf numFmtId="0" fontId="59" fillId="0" borderId="0" xfId="0" applyFont="1">
      <alignment vertical="center"/>
    </xf>
    <xf numFmtId="0" fontId="51" fillId="34" borderId="64" xfId="47" applyFont="1" applyBorder="1" applyAlignment="1">
      <alignment horizontal="center" vertical="center" wrapText="1"/>
    </xf>
    <xf numFmtId="0" fontId="51" fillId="34" borderId="0" xfId="47" applyFont="1" applyBorder="1" applyAlignment="1">
      <alignment horizontal="center" vertical="center" wrapText="1"/>
    </xf>
    <xf numFmtId="0" fontId="52" fillId="50" borderId="0" xfId="61" applyFont="1" applyFill="1" applyAlignment="1">
      <alignment horizontal="center" vertical="center" wrapText="1"/>
    </xf>
    <xf numFmtId="0" fontId="6" fillId="51" borderId="122" xfId="59" applyNumberFormat="1" applyFont="1" applyBorder="1" applyAlignment="1">
      <alignment vertical="center"/>
      <protection locked="0"/>
    </xf>
    <xf numFmtId="0" fontId="0" fillId="35" borderId="35" xfId="53" applyFont="1" applyBorder="1" applyAlignment="1">
      <alignment horizontal="right" vertical="center" wrapText="1" indent="1"/>
    </xf>
    <xf numFmtId="0" fontId="0" fillId="35" borderId="58" xfId="53" applyFont="1" applyBorder="1" applyAlignment="1">
      <alignment horizontal="right" vertical="center" wrapText="1" indent="1"/>
    </xf>
    <xf numFmtId="0" fontId="0" fillId="35" borderId="34" xfId="53" applyFont="1" applyBorder="1" applyAlignment="1">
      <alignment horizontal="right" vertical="center" wrapText="1" indent="1"/>
    </xf>
    <xf numFmtId="0" fontId="0" fillId="35" borderId="48" xfId="53" applyFont="1" applyBorder="1" applyAlignment="1">
      <alignment horizontal="right" vertical="center" wrapText="1" indent="1"/>
    </xf>
    <xf numFmtId="0" fontId="6" fillId="51" borderId="165" xfId="59" applyNumberFormat="1" applyFont="1" applyBorder="1" applyAlignment="1">
      <alignment horizontal="center" vertical="center"/>
      <protection locked="0"/>
    </xf>
    <xf numFmtId="0" fontId="6" fillId="51" borderId="166" xfId="59" applyNumberFormat="1" applyFont="1" applyBorder="1" applyAlignment="1">
      <alignment horizontal="center" vertical="center"/>
      <protection locked="0"/>
    </xf>
    <xf numFmtId="0" fontId="6" fillId="51" borderId="37" xfId="59" applyNumberFormat="1" applyFont="1" applyBorder="1" applyAlignment="1">
      <alignment vertical="center"/>
      <protection locked="0"/>
    </xf>
    <xf numFmtId="0" fontId="6" fillId="51" borderId="167" xfId="59" applyNumberFormat="1" applyFont="1" applyBorder="1" applyAlignment="1">
      <alignment horizontal="center" vertical="center"/>
      <protection locked="0"/>
    </xf>
    <xf numFmtId="0" fontId="6" fillId="51" borderId="168" xfId="59" applyNumberFormat="1" applyFont="1" applyBorder="1" applyAlignment="1">
      <alignment horizontal="center" vertical="center"/>
      <protection locked="0"/>
    </xf>
    <xf numFmtId="0" fontId="47" fillId="0" borderId="0" xfId="62" applyFont="1">
      <alignment vertical="center"/>
    </xf>
    <xf numFmtId="0" fontId="0" fillId="0" borderId="0" xfId="0">
      <alignment vertical="center"/>
    </xf>
    <xf numFmtId="0" fontId="0" fillId="35" borderId="121" xfId="53" applyFont="1" applyBorder="1" applyAlignment="1">
      <alignment horizontal="right" vertical="center" wrapText="1" indent="1"/>
    </xf>
    <xf numFmtId="0" fontId="0" fillId="0" borderId="122" xfId="0" applyBorder="1" applyAlignment="1">
      <alignment horizontal="right" vertical="center" indent="1"/>
    </xf>
    <xf numFmtId="0" fontId="6" fillId="51" borderId="32" xfId="59" applyNumberFormat="1" applyFont="1" applyBorder="1" applyAlignment="1">
      <alignment vertical="center"/>
      <protection locked="0"/>
    </xf>
    <xf numFmtId="0" fontId="6" fillId="51" borderId="14" xfId="59" applyNumberFormat="1" applyFont="1" applyBorder="1" applyAlignment="1">
      <alignment horizontal="left" vertical="center" wrapText="1"/>
      <protection locked="0"/>
    </xf>
    <xf numFmtId="0" fontId="6" fillId="51" borderId="15" xfId="59" applyNumberFormat="1" applyFont="1" applyBorder="1" applyAlignment="1">
      <alignment horizontal="left" vertical="center" wrapText="1"/>
      <protection locked="0"/>
    </xf>
    <xf numFmtId="0" fontId="6" fillId="51" borderId="16" xfId="59" applyNumberFormat="1" applyFont="1" applyBorder="1" applyAlignment="1">
      <alignment horizontal="left" vertical="center" wrapText="1"/>
      <protection locked="0"/>
    </xf>
    <xf numFmtId="0" fontId="6" fillId="51" borderId="17" xfId="59" applyNumberFormat="1" applyFont="1" applyBorder="1" applyAlignment="1">
      <alignment vertical="center"/>
      <protection locked="0"/>
    </xf>
    <xf numFmtId="0" fontId="6" fillId="51" borderId="1" xfId="59" applyNumberFormat="1" applyFont="1" applyBorder="1" applyAlignment="1">
      <alignment vertical="center"/>
      <protection locked="0"/>
    </xf>
    <xf numFmtId="0" fontId="6" fillId="51" borderId="18" xfId="59" applyNumberFormat="1" applyFont="1" applyBorder="1" applyAlignment="1">
      <alignment vertical="center"/>
      <protection locked="0"/>
    </xf>
    <xf numFmtId="0" fontId="0" fillId="35" borderId="74" xfId="53" applyFont="1" applyBorder="1" applyAlignment="1">
      <alignment horizontal="right" vertical="center" wrapText="1" indent="1"/>
    </xf>
    <xf numFmtId="0" fontId="0" fillId="35" borderId="57" xfId="53" applyFont="1" applyBorder="1" applyAlignment="1">
      <alignment horizontal="right" vertical="center" wrapText="1" indent="1"/>
    </xf>
    <xf numFmtId="0" fontId="6" fillId="51" borderId="19" xfId="59" applyNumberFormat="1" applyFont="1" applyBorder="1" applyAlignment="1">
      <alignment vertical="center"/>
      <protection locked="0"/>
    </xf>
    <xf numFmtId="0" fontId="6" fillId="51" borderId="20" xfId="59" applyNumberFormat="1" applyFont="1" applyBorder="1" applyAlignment="1">
      <alignment vertical="center"/>
      <protection locked="0"/>
    </xf>
    <xf numFmtId="0" fontId="6" fillId="51" borderId="21" xfId="59" applyNumberFormat="1" applyFont="1" applyBorder="1" applyAlignment="1">
      <alignment vertical="center"/>
      <protection locked="0"/>
    </xf>
    <xf numFmtId="0" fontId="40" fillId="34" borderId="64" xfId="47" applyFont="1" applyBorder="1" applyAlignment="1">
      <alignment vertical="center" wrapText="1"/>
    </xf>
    <xf numFmtId="0" fontId="0" fillId="0" borderId="64" xfId="0" applyBorder="1" applyAlignment="1">
      <alignment vertical="center" wrapText="1"/>
    </xf>
    <xf numFmtId="0" fontId="0" fillId="0" borderId="140" xfId="0" applyBorder="1" applyAlignment="1">
      <alignment horizontal="right" vertical="center" indent="1"/>
    </xf>
    <xf numFmtId="0" fontId="0" fillId="0" borderId="37" xfId="0" applyBorder="1" applyAlignment="1">
      <alignment horizontal="right" vertical="center" indent="1"/>
    </xf>
    <xf numFmtId="0" fontId="30" fillId="43" borderId="0" xfId="50" applyBorder="1" applyAlignment="1">
      <alignment horizontal="center" vertical="center"/>
    </xf>
    <xf numFmtId="0" fontId="30" fillId="43" borderId="160" xfId="50" applyBorder="1" applyAlignment="1">
      <alignment horizontal="center" vertical="center"/>
    </xf>
    <xf numFmtId="0" fontId="0" fillId="61" borderId="37" xfId="0" applyFill="1" applyBorder="1" applyAlignment="1">
      <alignment horizontal="right" vertical="center" indent="1"/>
    </xf>
    <xf numFmtId="0" fontId="0" fillId="0" borderId="32" xfId="0" applyBorder="1" applyAlignment="1">
      <alignment horizontal="right" vertical="center" indent="1"/>
    </xf>
    <xf numFmtId="0" fontId="44" fillId="61" borderId="0" xfId="62" applyFill="1">
      <alignment vertical="center"/>
    </xf>
    <xf numFmtId="0" fontId="0" fillId="91" borderId="0" xfId="0" applyFill="1" applyAlignment="1">
      <alignment horizontal="center" vertical="center"/>
    </xf>
    <xf numFmtId="0" fontId="0" fillId="61" borderId="0" xfId="0" applyFill="1">
      <alignment vertical="center"/>
    </xf>
    <xf numFmtId="9" fontId="0" fillId="0" borderId="135" xfId="1" applyFont="1" applyBorder="1" applyAlignment="1" applyProtection="1">
      <alignment horizontal="center" vertical="center" wrapText="1"/>
      <protection locked="0"/>
    </xf>
    <xf numFmtId="9" fontId="0" fillId="0" borderId="0" xfId="1" applyFont="1" applyBorder="1" applyAlignment="1" applyProtection="1">
      <alignment horizontal="center" vertical="center" wrapText="1"/>
      <protection locked="0"/>
    </xf>
    <xf numFmtId="9" fontId="0" fillId="0" borderId="135" xfId="1" applyFont="1" applyBorder="1" applyAlignment="1">
      <alignment horizontal="center" vertical="center" wrapText="1"/>
    </xf>
    <xf numFmtId="9" fontId="0" fillId="0" borderId="0" xfId="1" applyFont="1" applyBorder="1" applyAlignment="1">
      <alignment horizontal="center" vertical="center" wrapText="1"/>
    </xf>
    <xf numFmtId="0" fontId="74" fillId="0" borderId="169" xfId="0" applyFont="1" applyBorder="1" applyAlignment="1">
      <alignment horizontal="center" vertical="center" wrapText="1"/>
    </xf>
    <xf numFmtId="0" fontId="74" fillId="0" borderId="171" xfId="0" applyFont="1" applyBorder="1" applyAlignment="1">
      <alignment horizontal="center" vertical="center" wrapText="1"/>
    </xf>
    <xf numFmtId="0" fontId="7" fillId="0" borderId="0" xfId="0" applyFont="1" applyAlignment="1">
      <alignment horizontal="center" vertical="center" wrapText="1"/>
    </xf>
    <xf numFmtId="0" fontId="96" fillId="0" borderId="0" xfId="0" quotePrefix="1" applyFont="1" applyAlignment="1">
      <alignment horizontal="center" vertical="center"/>
    </xf>
    <xf numFmtId="0" fontId="96" fillId="0" borderId="5" xfId="0" quotePrefix="1" applyFont="1" applyBorder="1" applyAlignment="1">
      <alignment horizontal="center" vertical="center"/>
    </xf>
    <xf numFmtId="0" fontId="0" fillId="0" borderId="134" xfId="0" applyBorder="1" applyAlignment="1">
      <alignment horizontal="center" vertical="center" wrapText="1"/>
    </xf>
    <xf numFmtId="0" fontId="0" fillId="0" borderId="65" xfId="0" applyBorder="1" applyAlignment="1">
      <alignment horizontal="center" vertical="center" wrapText="1"/>
    </xf>
    <xf numFmtId="0" fontId="0" fillId="0" borderId="154" xfId="0" applyBorder="1" applyAlignment="1">
      <alignment horizontal="center" vertical="center" wrapText="1"/>
    </xf>
    <xf numFmtId="0" fontId="7" fillId="0" borderId="169" xfId="0" applyFont="1" applyBorder="1" applyAlignment="1">
      <alignment horizontal="center" vertical="center"/>
    </xf>
    <xf numFmtId="0" fontId="7" fillId="0" borderId="171" xfId="0" applyFont="1" applyBorder="1" applyAlignment="1">
      <alignment horizontal="center" vertical="center"/>
    </xf>
    <xf numFmtId="0" fontId="44" fillId="0" borderId="0" xfId="62">
      <alignment vertical="center"/>
    </xf>
    <xf numFmtId="0" fontId="73" fillId="0" borderId="0" xfId="0" applyFont="1" applyAlignment="1">
      <alignment horizontal="center" vertical="center" wrapText="1"/>
    </xf>
    <xf numFmtId="0" fontId="0" fillId="0" borderId="0" xfId="0" applyAlignment="1">
      <alignment horizontal="center" vertical="center"/>
    </xf>
    <xf numFmtId="0" fontId="102" fillId="41" borderId="0" xfId="0" applyFont="1" applyFill="1" applyAlignment="1">
      <alignment horizontal="center" vertical="center" wrapText="1"/>
    </xf>
    <xf numFmtId="0" fontId="75" fillId="0" borderId="0" xfId="0" applyFont="1" applyAlignment="1">
      <alignment horizontal="center" vertical="center" wrapText="1"/>
    </xf>
    <xf numFmtId="3" fontId="105" fillId="74" borderId="196" xfId="0" applyNumberFormat="1" applyFont="1" applyFill="1" applyBorder="1" applyAlignment="1">
      <alignment horizontal="center" vertical="center" wrapText="1"/>
    </xf>
    <xf numFmtId="3" fontId="105" fillId="74" borderId="3" xfId="0" applyNumberFormat="1" applyFont="1" applyFill="1" applyBorder="1" applyAlignment="1">
      <alignment horizontal="center" vertical="center" wrapText="1"/>
    </xf>
    <xf numFmtId="3" fontId="105" fillId="74" borderId="197" xfId="0" applyNumberFormat="1" applyFont="1" applyFill="1" applyBorder="1" applyAlignment="1">
      <alignment horizontal="center" vertical="center" wrapText="1"/>
    </xf>
    <xf numFmtId="3" fontId="105" fillId="74" borderId="198" xfId="0" applyNumberFormat="1" applyFont="1" applyFill="1" applyBorder="1" applyAlignment="1">
      <alignment horizontal="center" vertical="center" wrapText="1"/>
    </xf>
    <xf numFmtId="3" fontId="105" fillId="74" borderId="0" xfId="0" applyNumberFormat="1" applyFont="1" applyFill="1" applyAlignment="1">
      <alignment horizontal="center" vertical="center" wrapText="1"/>
    </xf>
    <xf numFmtId="3" fontId="105" fillId="74" borderId="199" xfId="0" applyNumberFormat="1" applyFont="1" applyFill="1" applyBorder="1" applyAlignment="1">
      <alignment horizontal="center" vertical="center" wrapText="1"/>
    </xf>
    <xf numFmtId="3" fontId="105" fillId="74" borderId="200" xfId="0" applyNumberFormat="1" applyFont="1" applyFill="1" applyBorder="1" applyAlignment="1">
      <alignment horizontal="center" vertical="center" wrapText="1"/>
    </xf>
    <xf numFmtId="3" fontId="105" fillId="74" borderId="201" xfId="0" applyNumberFormat="1" applyFont="1" applyFill="1" applyBorder="1" applyAlignment="1">
      <alignment horizontal="center" vertical="center" wrapText="1"/>
    </xf>
    <xf numFmtId="3" fontId="105" fillId="74" borderId="202" xfId="0" applyNumberFormat="1" applyFont="1" applyFill="1" applyBorder="1" applyAlignment="1">
      <alignment horizontal="center" vertical="center" wrapText="1"/>
    </xf>
    <xf numFmtId="0" fontId="0" fillId="79" borderId="3" xfId="0" applyFill="1" applyBorder="1" applyAlignment="1">
      <alignment horizontal="center" vertical="center"/>
    </xf>
    <xf numFmtId="0" fontId="0" fillId="79" borderId="0" xfId="0" applyFill="1" applyAlignment="1">
      <alignment horizontal="center" vertical="center"/>
    </xf>
    <xf numFmtId="0" fontId="0" fillId="79" borderId="2" xfId="0" applyFill="1" applyBorder="1" applyAlignment="1">
      <alignment horizontal="center" vertical="center"/>
    </xf>
    <xf numFmtId="0" fontId="0" fillId="80" borderId="3" xfId="0" applyFill="1" applyBorder="1" applyAlignment="1">
      <alignment horizontal="center" vertical="center"/>
    </xf>
    <xf numFmtId="0" fontId="0" fillId="80" borderId="0" xfId="0" applyFill="1" applyAlignment="1">
      <alignment horizontal="center" vertical="center"/>
    </xf>
    <xf numFmtId="0" fontId="0" fillId="80" borderId="2" xfId="0" applyFill="1" applyBorder="1" applyAlignment="1">
      <alignment horizontal="center" vertical="center"/>
    </xf>
    <xf numFmtId="0" fontId="0" fillId="0" borderId="0" xfId="0" applyAlignment="1">
      <alignment horizontal="center" vertical="center" wrapText="1"/>
    </xf>
    <xf numFmtId="0" fontId="0" fillId="0" borderId="2" xfId="0" applyBorder="1" applyAlignment="1">
      <alignment horizontal="center" vertical="center" wrapText="1"/>
    </xf>
    <xf numFmtId="0" fontId="0" fillId="41" borderId="3" xfId="0" applyFill="1" applyBorder="1" applyAlignment="1">
      <alignment horizontal="center" vertical="center"/>
    </xf>
    <xf numFmtId="0" fontId="0" fillId="41" borderId="0" xfId="0" applyFill="1" applyAlignment="1">
      <alignment horizontal="center" vertical="center"/>
    </xf>
    <xf numFmtId="0" fontId="0" fillId="41" borderId="2" xfId="0" applyFill="1" applyBorder="1" applyAlignment="1">
      <alignment horizontal="center" vertical="center"/>
    </xf>
    <xf numFmtId="0" fontId="0" fillId="79" borderId="3" xfId="0" applyFill="1" applyBorder="1" applyAlignment="1">
      <alignment horizontal="center" vertical="center" wrapText="1"/>
    </xf>
    <xf numFmtId="0" fontId="0" fillId="79" borderId="0" xfId="0" applyFill="1" applyAlignment="1">
      <alignment horizontal="center" vertical="center" wrapText="1"/>
    </xf>
    <xf numFmtId="0" fontId="0" fillId="79" borderId="2" xfId="0" applyFill="1" applyBorder="1" applyAlignment="1">
      <alignment horizontal="center" vertical="center" wrapText="1"/>
    </xf>
    <xf numFmtId="0" fontId="0" fillId="0" borderId="3" xfId="0" applyBorder="1" applyAlignment="1">
      <alignment horizontal="center" vertical="center" wrapText="1"/>
    </xf>
    <xf numFmtId="0" fontId="0" fillId="80" borderId="3" xfId="0" applyFill="1" applyBorder="1" applyAlignment="1">
      <alignment horizontal="center" vertical="center" wrapText="1"/>
    </xf>
    <xf numFmtId="0" fontId="0" fillId="80" borderId="0" xfId="0" applyFill="1" applyAlignment="1">
      <alignment horizontal="center" vertical="center" wrapText="1"/>
    </xf>
    <xf numFmtId="0" fontId="0" fillId="80" borderId="2" xfId="0" applyFill="1" applyBorder="1" applyAlignment="1">
      <alignment horizontal="center" vertical="center" wrapText="1"/>
    </xf>
    <xf numFmtId="0" fontId="0" fillId="41" borderId="3" xfId="0" applyFill="1" applyBorder="1" applyAlignment="1">
      <alignment horizontal="center" vertical="center" wrapText="1"/>
    </xf>
    <xf numFmtId="0" fontId="0" fillId="41" borderId="0" xfId="0" applyFill="1" applyAlignment="1">
      <alignment horizontal="center" vertical="center" wrapText="1"/>
    </xf>
    <xf numFmtId="0" fontId="0" fillId="41" borderId="2" xfId="0" applyFill="1" applyBorder="1" applyAlignment="1">
      <alignment horizontal="center" vertical="center" wrapText="1"/>
    </xf>
  </cellXfs>
  <cellStyles count="72">
    <cellStyle name="_Dropdown" xfId="56" xr:uid="{6F43FDF8-4250-4B0C-938C-BF459EFFEAA9}"/>
    <cellStyle name="_DropKopf" xfId="55" xr:uid="{0744C206-AC7A-446C-B92C-2E80B332092C}"/>
    <cellStyle name="_Eingabefeld" xfId="54" xr:uid="{1B6264DF-868B-4BBC-B78C-A64091076A3B}"/>
    <cellStyle name="_Eingabefeld2" xfId="59" xr:uid="{1C4546BC-F821-47C6-9A4B-127258432DB7}"/>
    <cellStyle name="_Feldbezeichner" xfId="53" xr:uid="{F53AC60C-5BBB-4373-979E-D61FC8E77ED9}"/>
    <cellStyle name="_Feldbezeichner 2" xfId="67" xr:uid="{F3DDF61D-EBFF-4FC2-A979-9DF66128CC5F}"/>
    <cellStyle name="_Formel" xfId="47" xr:uid="{24777C84-B7E7-4FA6-B043-8176A76F525F}"/>
    <cellStyle name="_Formel 2" xfId="68" xr:uid="{A9ABF755-C0E4-43AC-B27E-39B982FB33C9}"/>
    <cellStyle name="_FormelExt" xfId="49" xr:uid="{6851015F-3CAE-411F-B8E2-40E184D62EF5}"/>
    <cellStyle name="_FormelExt 2" xfId="69" xr:uid="{D42BAB35-EF84-410F-9086-D0BC5EFB2CCA}"/>
    <cellStyle name="_FormelNum" xfId="48" xr:uid="{6B47ED4B-BE90-469B-A6D7-2A234844F39E}"/>
    <cellStyle name="_FormelU" xfId="60" xr:uid="{5C6442E5-26B4-4EC3-9EA9-0302F6DED088}"/>
    <cellStyle name="_Kommentare" xfId="61" xr:uid="{8C61145D-138C-427E-A404-C2A637B7F90D}"/>
    <cellStyle name="_leer" xfId="71" xr:uid="{926F5820-A5DA-4C47-AE93-E4426A64472C}"/>
    <cellStyle name="_Makro" xfId="63" xr:uid="{FFFBEE09-904F-484D-BBA7-7A3E713E3ABC}"/>
    <cellStyle name="_sonstDatNum" xfId="58" xr:uid="{79D3014B-0F74-4FA9-993E-205396E08CD9}"/>
    <cellStyle name="_sonstDatÜ" xfId="57" xr:uid="{FCA1798A-9E79-47E5-B6CE-7A2B549ABC86}"/>
    <cellStyle name="_Stand_leer" xfId="46" xr:uid="{DA5B7A37-8DE7-4F3E-B83E-A8DA8C15B82F}"/>
    <cellStyle name="_Stand_leer 2" xfId="70" xr:uid="{0294CFA1-BAAE-4374-AC11-74814EFB69FD}"/>
    <cellStyle name="_TabKopf" xfId="65" xr:uid="{37B50F2F-1AEF-4CF6-9790-346B57081DE2}"/>
    <cellStyle name="_Tabkopf_0" xfId="62" xr:uid="{F4818856-6F89-4F56-BBA2-1D84B4107821}"/>
    <cellStyle name="_TabKopf_1" xfId="50" xr:uid="{400A2A5C-1DAF-4B4C-BF8B-A5B3F70065EB}"/>
    <cellStyle name="_TabKopf_2" xfId="51" xr:uid="{FCEB4CB8-AFB0-4C6E-B2AE-503D169DB94A}"/>
    <cellStyle name="_TabKopf_3" xfId="52" xr:uid="{60AA60B5-308A-480C-89F0-68CBBD1F1271}"/>
    <cellStyle name="_Variablen" xfId="64" xr:uid="{23755E20-5F2F-4A87-90A7-7F1D25F803A1}"/>
    <cellStyle name="20 % - Akzent1" xfId="23" builtinId="30" hidden="1"/>
    <cellStyle name="20 % - Akzent2" xfId="27" builtinId="34" hidden="1"/>
    <cellStyle name="20 % - Akzent3" xfId="31" builtinId="38" hidden="1"/>
    <cellStyle name="20 % - Akzent4" xfId="35" builtinId="42" hidden="1"/>
    <cellStyle name="20 % - Akzent5" xfId="39" builtinId="46" hidden="1"/>
    <cellStyle name="20 % - Akzent6" xfId="43" builtinId="50" hidden="1"/>
    <cellStyle name="40 % - Akzent1" xfId="24" builtinId="31" hidden="1"/>
    <cellStyle name="40 % - Akzent2" xfId="28" builtinId="35" hidden="1"/>
    <cellStyle name="40 % - Akzent3" xfId="32" builtinId="39" hidden="1"/>
    <cellStyle name="40 % - Akzent4" xfId="36" builtinId="43" hidden="1"/>
    <cellStyle name="40 % - Akzent5" xfId="40" builtinId="47" hidden="1"/>
    <cellStyle name="40 % - Akzent6" xfId="44" builtinId="51" hidden="1"/>
    <cellStyle name="60 % - Akzent1" xfId="25" builtinId="32" hidden="1"/>
    <cellStyle name="60 % - Akzent2" xfId="29" builtinId="36" hidden="1"/>
    <cellStyle name="60 % - Akzent3" xfId="33" builtinId="40" hidden="1"/>
    <cellStyle name="60 % - Akzent4" xfId="37" builtinId="44" hidden="1"/>
    <cellStyle name="60 % - Akzent5" xfId="41" builtinId="48" hidden="1"/>
    <cellStyle name="60 % - Akzent6" xfId="45" builtinId="52" hidden="1"/>
    <cellStyle name="Akzent1" xfId="22" builtinId="29" hidden="1"/>
    <cellStyle name="Akzent2" xfId="26" builtinId="33" hidden="1"/>
    <cellStyle name="Akzent3" xfId="30" builtinId="37" hidden="1"/>
    <cellStyle name="Akzent4" xfId="34" builtinId="41" hidden="1"/>
    <cellStyle name="Akzent5" xfId="38" builtinId="45" hidden="1"/>
    <cellStyle name="Akzent6" xfId="42" builtinId="49" hidden="1"/>
    <cellStyle name="Ausgabe" xfId="14" builtinId="21" hidden="1"/>
    <cellStyle name="Berechnung" xfId="15" builtinId="22" hidden="1"/>
    <cellStyle name="Dezimal [0]" xfId="3" builtinId="6" hidden="1"/>
    <cellStyle name="Eingabe" xfId="13" builtinId="20" hidden="1"/>
    <cellStyle name="Ergebnis" xfId="21" builtinId="25" hidden="1"/>
    <cellStyle name="Erklärender Text" xfId="20" builtinId="53" hidden="1"/>
    <cellStyle name="Komma" xfId="2" builtinId="3"/>
    <cellStyle name="Neutral" xfId="12" builtinId="28" hidden="1"/>
    <cellStyle name="Normal 2" xfId="66" xr:uid="{B3E8DD05-06EC-4D86-A9C9-99D3E88CEEBA}"/>
    <cellStyle name="Notiz" xfId="19" builtinId="10" hidden="1"/>
    <cellStyle name="Prozent" xfId="1" builtinId="5"/>
    <cellStyle name="Schlecht" xfId="11" builtinId="27" hidden="1"/>
    <cellStyle name="Standard" xfId="0" builtinId="0" customBuiltin="1"/>
    <cellStyle name="Überschrift" xfId="6" builtinId="15" hidden="1"/>
    <cellStyle name="Überschrift 1" xfId="7" builtinId="16" hidden="1"/>
    <cellStyle name="Überschrift 2" xfId="8" builtinId="17" hidden="1"/>
    <cellStyle name="Überschrift 3" xfId="9" builtinId="18" hidden="1"/>
    <cellStyle name="Überschrift 4" xfId="10" builtinId="19" hidden="1"/>
    <cellStyle name="Verknüpfte Zelle" xfId="16" builtinId="24" hidden="1"/>
    <cellStyle name="Währung" xfId="4" builtinId="4" hidden="1"/>
    <cellStyle name="Währung [0]" xfId="5" builtinId="7" hidden="1"/>
    <cellStyle name="Warnender Text" xfId="18" builtinId="11" hidden="1"/>
    <cellStyle name="Zelle überprüfen" xfId="17" builtinId="23" hidden="1"/>
  </cellStyles>
  <dxfs count="140">
    <dxf>
      <fill>
        <patternFill>
          <bgColor rgb="FFFFFF00"/>
        </patternFill>
      </fill>
    </dxf>
    <dxf>
      <font>
        <b/>
        <i val="0"/>
        <color rgb="FF0000FF"/>
      </font>
    </dxf>
    <dxf>
      <font>
        <b/>
        <i val="0"/>
        <color rgb="FFFF0000"/>
      </font>
    </dxf>
    <dxf>
      <fill>
        <patternFill>
          <bgColor rgb="FFCCFF33"/>
        </patternFill>
      </fill>
    </dxf>
    <dxf>
      <fill>
        <patternFill>
          <bgColor rgb="FFFFFF00"/>
        </patternFill>
      </fill>
    </dxf>
    <dxf>
      <font>
        <b/>
        <i val="0"/>
        <color rgb="FFFFFF00"/>
      </font>
      <fill>
        <patternFill>
          <bgColor rgb="FFFF0000"/>
        </patternFill>
      </fill>
    </dxf>
    <dxf>
      <font>
        <b/>
        <i val="0"/>
        <color rgb="FF0000FF"/>
      </font>
    </dxf>
    <dxf>
      <font>
        <b/>
        <i val="0"/>
        <color rgb="FFFF0000"/>
      </font>
    </dxf>
    <dxf>
      <fill>
        <patternFill>
          <bgColor rgb="FFCCFF33"/>
        </patternFill>
      </fill>
    </dxf>
    <dxf>
      <font>
        <b/>
        <i val="0"/>
        <color rgb="FFFFFF00"/>
      </font>
      <fill>
        <patternFill>
          <bgColor rgb="FFFF0000"/>
        </patternFill>
      </fill>
    </dxf>
    <dxf>
      <font>
        <b/>
        <i val="0"/>
        <color rgb="FF0000FF"/>
      </font>
    </dxf>
    <dxf>
      <font>
        <b/>
        <i val="0"/>
        <color rgb="FFFF0000"/>
      </font>
    </dxf>
    <dxf>
      <fill>
        <patternFill>
          <bgColor rgb="FFCCFF33"/>
        </patternFill>
      </fill>
    </dxf>
    <dxf>
      <font>
        <b/>
        <i val="0"/>
        <color rgb="FFFFFF00"/>
      </font>
      <fill>
        <patternFill>
          <bgColor rgb="FFFF0000"/>
        </patternFill>
      </fill>
    </dxf>
    <dxf>
      <font>
        <b/>
        <i val="0"/>
        <color rgb="FFFFFF00"/>
      </font>
      <fill>
        <patternFill>
          <bgColor rgb="FFFF0000"/>
        </patternFill>
      </fill>
    </dxf>
    <dxf>
      <font>
        <b/>
        <i val="0"/>
        <color rgb="FF0000FF"/>
      </font>
    </dxf>
    <dxf>
      <font>
        <b/>
        <i val="0"/>
        <color rgb="FFFF0000"/>
      </font>
    </dxf>
    <dxf>
      <fill>
        <patternFill>
          <bgColor rgb="FFCCFF33"/>
        </patternFill>
      </fill>
    </dxf>
    <dxf>
      <font>
        <b/>
        <i val="0"/>
        <color rgb="FFFFFF00"/>
      </font>
      <fill>
        <patternFill>
          <bgColor rgb="FFFF0000"/>
        </patternFill>
      </fill>
    </dxf>
    <dxf>
      <fill>
        <patternFill>
          <bgColor rgb="FFFFFF00"/>
        </patternFill>
      </fill>
    </dxf>
    <dxf>
      <font>
        <b/>
        <i val="0"/>
        <color rgb="FF0000FF"/>
      </font>
    </dxf>
    <dxf>
      <font>
        <b/>
        <i val="0"/>
        <color rgb="FFFF0000"/>
      </font>
    </dxf>
    <dxf>
      <fill>
        <patternFill>
          <bgColor rgb="FFCCFF33"/>
        </patternFill>
      </fill>
    </dxf>
    <dxf>
      <font>
        <b/>
        <i val="0"/>
        <color rgb="FFFFFF00"/>
      </font>
      <fill>
        <patternFill>
          <bgColor rgb="FFFF0000"/>
        </patternFill>
      </fill>
    </dxf>
    <dxf>
      <fill>
        <patternFill>
          <bgColor rgb="FFFFFF00"/>
        </patternFill>
      </fill>
    </dxf>
    <dxf>
      <fill>
        <patternFill>
          <bgColor rgb="FFFFFF00"/>
        </patternFill>
      </fill>
    </dxf>
    <dxf>
      <font>
        <b/>
        <i val="0"/>
      </font>
      <fill>
        <patternFill>
          <bgColor rgb="FFAAE6FF"/>
        </patternFill>
      </fill>
    </dxf>
    <dxf>
      <font>
        <b/>
        <i val="0"/>
      </font>
      <fill>
        <patternFill>
          <bgColor rgb="FF64D2FF"/>
        </patternFill>
      </fill>
    </dxf>
    <dxf>
      <font>
        <b/>
        <i val="0"/>
        <color rgb="FFFF0000"/>
      </font>
    </dxf>
    <dxf>
      <font>
        <b/>
        <i val="0"/>
        <color rgb="FF0000FF"/>
      </font>
    </dxf>
    <dxf>
      <fill>
        <patternFill>
          <bgColor rgb="FFCCFF33"/>
        </patternFill>
      </fill>
    </dxf>
    <dxf>
      <fill>
        <patternFill>
          <bgColor rgb="FFFFFF00"/>
        </patternFill>
      </fill>
    </dxf>
    <dxf>
      <fill>
        <patternFill>
          <bgColor rgb="FFFFFF00"/>
        </patternFill>
      </fill>
    </dxf>
    <dxf>
      <font>
        <color rgb="FFFFFF00"/>
      </font>
      <fill>
        <patternFill>
          <bgColor rgb="FFFF0000"/>
        </patternFill>
      </fill>
    </dxf>
    <dxf>
      <border>
        <top style="thin">
          <color rgb="FF0000FF"/>
        </top>
        <vertical/>
        <horizontal/>
      </border>
    </dxf>
    <dxf>
      <font>
        <color rgb="FFFFFF00"/>
      </font>
      <fill>
        <patternFill>
          <bgColor rgb="FFFF0000"/>
        </patternFill>
      </fill>
    </dxf>
    <dxf>
      <fill>
        <patternFill>
          <bgColor rgb="FF00FFFF"/>
        </patternFill>
      </fill>
    </dxf>
    <dxf>
      <font>
        <color rgb="FFFFFF00"/>
      </font>
      <fill>
        <patternFill>
          <bgColor rgb="FFFF0000"/>
        </patternFill>
      </fill>
    </dxf>
    <dxf>
      <fill>
        <patternFill>
          <bgColor rgb="FFFFFF00"/>
        </patternFill>
      </fill>
    </dxf>
    <dxf>
      <font>
        <color theme="6"/>
      </font>
      <fill>
        <patternFill>
          <bgColor rgb="FFFF0000"/>
        </patternFill>
      </fill>
    </dxf>
    <dxf>
      <font>
        <color rgb="FFFF0000"/>
      </font>
      <fill>
        <patternFill>
          <bgColor rgb="FFFFFF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rgb="FFFFFF00"/>
        </patternFill>
      </fill>
    </dxf>
    <dxf>
      <numFmt numFmtId="14" formatCode="0.00%"/>
    </dxf>
    <dxf>
      <font>
        <color rgb="FFFF0000"/>
      </font>
      <fill>
        <patternFill>
          <bgColor rgb="FFFFFF00"/>
        </patternFill>
      </fill>
    </dxf>
    <dxf>
      <fill>
        <patternFill>
          <bgColor rgb="FFFFFF00"/>
        </patternFill>
      </fill>
    </dxf>
    <dxf>
      <font>
        <color rgb="FFFF0000"/>
      </font>
      <fill>
        <patternFill>
          <bgColor rgb="FFFFFF00"/>
        </patternFill>
      </fill>
    </dxf>
    <dxf>
      <fill>
        <patternFill>
          <bgColor rgb="FFFFFF00"/>
        </patternFill>
      </fill>
    </dxf>
    <dxf>
      <font>
        <strike val="0"/>
        <color rgb="FFFFFF00"/>
      </font>
      <fill>
        <patternFill>
          <bgColor rgb="FFFF0000"/>
        </patternFill>
      </fill>
    </dxf>
    <dxf>
      <fill>
        <patternFill>
          <bgColor rgb="FFFFFF00"/>
        </patternFill>
      </fill>
    </dxf>
    <dxf>
      <font>
        <color theme="0"/>
      </font>
    </dxf>
    <dxf>
      <border>
        <bottom style="thin">
          <color auto="1"/>
        </bottom>
        <vertical/>
        <horizontal/>
      </border>
    </dxf>
    <dxf>
      <border>
        <right style="thin">
          <color auto="1"/>
        </right>
        <vertical/>
        <horizontal/>
      </border>
    </dxf>
    <dxf>
      <font>
        <color rgb="FFFFFF00"/>
      </font>
      <fill>
        <patternFill>
          <bgColor rgb="FFFF0000"/>
        </patternFill>
      </fill>
    </dxf>
    <dxf>
      <fill>
        <patternFill>
          <bgColor rgb="FFFFC000"/>
        </patternFill>
      </fill>
    </dxf>
    <dxf>
      <border>
        <left style="thin">
          <color auto="1"/>
        </left>
        <vertical/>
        <horizontal/>
      </border>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DEFFBD"/>
        </patternFill>
      </fill>
    </dxf>
    <dxf>
      <font>
        <color rgb="FFFFFF00"/>
      </font>
      <fill>
        <patternFill>
          <bgColor rgb="FFFF0000"/>
        </patternFill>
      </fill>
    </dxf>
    <dxf>
      <fill>
        <patternFill>
          <bgColor rgb="FFFFFF00"/>
        </patternFill>
      </fill>
    </dxf>
    <dxf>
      <fill>
        <patternFill>
          <bgColor rgb="FF996633"/>
        </patternFill>
      </fill>
    </dxf>
    <dxf>
      <fill>
        <patternFill patternType="solid">
          <fgColor auto="1"/>
          <bgColor rgb="FFFFFF00"/>
        </patternFill>
      </fill>
      <border>
        <left style="thin">
          <color rgb="FFFF0000"/>
        </left>
        <right style="thin">
          <color rgb="FFFF0000"/>
        </right>
        <top style="thin">
          <color rgb="FFFF0000"/>
        </top>
        <bottom style="thin">
          <color rgb="FFFF0000"/>
        </bottom>
      </border>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color theme="0"/>
      </font>
      <fill>
        <patternFill patternType="none">
          <bgColor auto="1"/>
        </patternFill>
      </fill>
      <border>
        <left/>
        <right/>
        <top style="thin">
          <color auto="1"/>
        </top>
        <bottom style="thin">
          <color auto="1"/>
        </bottom>
      </border>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theme="0"/>
      </font>
      <fill>
        <patternFill>
          <fgColor theme="0"/>
          <bgColor theme="0"/>
        </patternFill>
      </fill>
      <border>
        <left/>
        <right/>
        <top/>
        <bottom/>
      </border>
    </dxf>
    <dxf>
      <font>
        <color rgb="FFFFFF00"/>
      </font>
      <fill>
        <patternFill>
          <bgColor rgb="FFFF0000"/>
        </patternFill>
      </fill>
    </dxf>
    <dxf>
      <font>
        <color rgb="FFFFFF00"/>
      </font>
      <fill>
        <patternFill>
          <bgColor rgb="FFFF0000"/>
        </patternFill>
      </fill>
    </dxf>
    <dxf>
      <fill>
        <patternFill patternType="solid">
          <fgColor auto="1"/>
          <bgColor rgb="FFFFFF00"/>
        </patternFill>
      </fill>
      <border>
        <left style="thin">
          <color rgb="FFFF0000"/>
        </left>
        <right style="thin">
          <color rgb="FFFF0000"/>
        </right>
        <top style="thin">
          <color rgb="FFFF0000"/>
        </top>
        <bottom style="thin">
          <color rgb="FFFF0000"/>
        </bottom>
        <vertical/>
        <horizontal/>
      </border>
    </dxf>
    <dxf>
      <fill>
        <patternFill patternType="solid">
          <fgColor auto="1"/>
          <bgColor rgb="FFFFFF00"/>
        </patternFill>
      </fill>
      <border>
        <left style="thin">
          <color rgb="FFFF0000"/>
        </left>
        <right style="thin">
          <color rgb="FFFF0000"/>
        </right>
        <top style="thin">
          <color rgb="FFFF0000"/>
        </top>
        <bottom style="thin">
          <color rgb="FFFF0000"/>
        </bottom>
        <vertical/>
        <horizontal/>
      </border>
    </dxf>
    <dxf>
      <fill>
        <patternFill>
          <bgColor rgb="FFCDFFFF"/>
        </patternFill>
      </fill>
    </dxf>
    <dxf>
      <fill>
        <patternFill>
          <bgColor theme="8" tint="0.59996337778862885"/>
        </patternFill>
      </fill>
    </dxf>
    <dxf>
      <font>
        <color theme="1"/>
      </font>
      <fill>
        <patternFill>
          <bgColor theme="0" tint="-0.14996795556505021"/>
        </patternFill>
      </fill>
    </dxf>
    <dxf>
      <fill>
        <patternFill>
          <bgColor theme="0"/>
        </patternFill>
      </fill>
    </dxf>
    <dxf>
      <fill>
        <patternFill>
          <bgColor rgb="FFCCFF33"/>
        </patternFill>
      </fill>
    </dxf>
    <dxf>
      <fill>
        <patternFill>
          <bgColor rgb="FFFFFF00"/>
        </patternFill>
      </fill>
      <border>
        <left style="thin">
          <color rgb="FFFF0000"/>
        </left>
        <right style="thin">
          <color rgb="FFFF0000"/>
        </right>
        <top style="thin">
          <color rgb="FFFF0000"/>
        </top>
        <bottom style="thin">
          <color rgb="FFFF0000"/>
        </bottom>
      </border>
    </dxf>
    <dxf>
      <font>
        <color theme="0"/>
      </font>
      <fill>
        <patternFill>
          <bgColor rgb="FFFF0000"/>
        </patternFill>
      </fill>
    </dxf>
    <dxf>
      <fill>
        <patternFill>
          <bgColor rgb="FFFFFF00"/>
        </patternFill>
      </fill>
    </dxf>
    <dxf>
      <fill>
        <patternFill>
          <bgColor theme="8"/>
        </patternFill>
      </fill>
    </dxf>
    <dxf>
      <font>
        <b/>
        <i val="0"/>
        <color theme="0"/>
      </font>
      <fill>
        <patternFill>
          <bgColor rgb="FF008000"/>
        </patternFill>
      </fill>
    </dxf>
    <dxf>
      <fill>
        <patternFill patternType="solid">
          <fgColor auto="1"/>
          <bgColor rgb="FFFFFF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50021"/>
      <rgbColor rgb="00FFFFFF"/>
      <rgbColor rgb="00FF0000"/>
      <rgbColor rgb="0000FF00"/>
      <rgbColor rgb="000000FF"/>
      <rgbColor rgb="00FFFF00"/>
      <rgbColor rgb="00FF6699"/>
      <rgbColor rgb="0000FFFF"/>
      <rgbColor rgb="00CC0000"/>
      <rgbColor rgb="0033CC33"/>
      <rgbColor rgb="00000099"/>
      <rgbColor rgb="00CC6600"/>
      <rgbColor rgb="00CC00FF"/>
      <rgbColor rgb="002AACA9"/>
      <rgbColor rgb="00DDDDDD"/>
      <rgbColor rgb="005F5F5F"/>
      <rgbColor rgb="00BDBDFF"/>
      <rgbColor rgb="00BDFFBD"/>
      <rgbColor rgb="00FFBDBD"/>
      <rgbColor rgb="00F9F987"/>
      <rgbColor rgb="00CC99FF"/>
      <rgbColor rgb="00FFCC66"/>
      <rgbColor rgb="00D9FF35"/>
      <rgbColor rgb="00E98BFF"/>
      <rgbColor rgb="003366FF"/>
      <rgbColor rgb="0000FF99"/>
      <rgbColor rgb="00FF7C80"/>
      <rgbColor rgb="00FFFF00"/>
      <rgbColor rgb="00CC00FF"/>
      <rgbColor rgb="00FF9933"/>
      <rgbColor rgb="0000CC66"/>
      <rgbColor rgb="00FF00FF"/>
      <rgbColor rgb="00A3E0FF"/>
      <rgbColor rgb="00CCFFFF"/>
      <rgbColor rgb="00BEFFAA"/>
      <rgbColor rgb="00FFFF99"/>
      <rgbColor rgb="00CCECFF"/>
      <rgbColor rgb="00FFE5E5"/>
      <rgbColor rgb="00DBB7FF"/>
      <rgbColor rgb="00FFD685"/>
      <rgbColor rgb="006699FF"/>
      <rgbColor rgb="0000CCFF"/>
      <rgbColor rgb="00CC9900"/>
      <rgbColor rgb="00FFCC00"/>
      <rgbColor rgb="00FF9900"/>
      <rgbColor rgb="00FF66CC"/>
      <rgbColor rgb="009900CC"/>
      <rgbColor rgb="00A9A9A9"/>
      <rgbColor rgb="0000827F"/>
      <rgbColor rgb="0099CC00"/>
      <rgbColor rgb="00009900"/>
      <rgbColor rgb="00612A19"/>
      <rgbColor rgb="00CC0099"/>
      <rgbColor rgb="00CC99FF"/>
      <rgbColor rgb="00800080"/>
      <rgbColor rgb="00000000"/>
    </indexedColors>
    <mruColors>
      <color rgb="FFBD00BD"/>
      <color rgb="FFDEFFBD"/>
      <color rgb="FFC6EFCE"/>
      <color rgb="FFF2F2F2"/>
      <color rgb="FF66D5FF"/>
      <color rgb="FF00FFFF"/>
      <color rgb="FFAFAFAF"/>
      <color rgb="FF008000"/>
      <color rgb="FF996633"/>
      <color rgb="FFCD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Types" Target="richData/rdRichValueTyp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1028700</xdr:colOff>
          <xdr:row>60</xdr:row>
          <xdr:rowOff>12700</xdr:rowOff>
        </xdr:from>
        <xdr:to>
          <xdr:col>1</xdr:col>
          <xdr:colOff>2609850</xdr:colOff>
          <xdr:row>60</xdr:row>
          <xdr:rowOff>184150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More countries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1028700</xdr:colOff>
          <xdr:row>62</xdr:row>
          <xdr:rowOff>12700</xdr:rowOff>
        </xdr:from>
        <xdr:to>
          <xdr:col>1</xdr:col>
          <xdr:colOff>2609850</xdr:colOff>
          <xdr:row>62</xdr:row>
          <xdr:rowOff>184150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More countries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34</xdr:row>
          <xdr:rowOff>38100</xdr:rowOff>
        </xdr:from>
        <xdr:to>
          <xdr:col>1</xdr:col>
          <xdr:colOff>831850</xdr:colOff>
          <xdr:row>34</xdr:row>
          <xdr:rowOff>336550</xdr:rowOff>
        </xdr:to>
        <xdr:sp macro="" textlink="">
          <xdr:nvSpPr>
            <xdr:cNvPr id="7230" name="Button 62" hidden="1">
              <a:extLst>
                <a:ext uri="{63B3BB69-23CF-44E3-9099-C40C66FF867C}">
                  <a14:compatExt spid="_x0000_s7230"/>
                </a:ext>
                <a:ext uri="{FF2B5EF4-FFF2-40B4-BE49-F238E27FC236}">
                  <a16:creationId xmlns:a16="http://schemas.microsoft.com/office/drawing/2014/main" id="{00000000-0008-0000-0100-00003E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774700</xdr:colOff>
          <xdr:row>0</xdr:row>
          <xdr:rowOff>12700</xdr:rowOff>
        </xdr:from>
        <xdr:to>
          <xdr:col>10</xdr:col>
          <xdr:colOff>603250</xdr:colOff>
          <xdr:row>0</xdr:row>
          <xdr:rowOff>266700</xdr:rowOff>
        </xdr:to>
        <xdr:sp macro="" textlink="">
          <xdr:nvSpPr>
            <xdr:cNvPr id="7234" name="Button 66" hidden="1">
              <a:extLst>
                <a:ext uri="{63B3BB69-23CF-44E3-9099-C40C66FF867C}">
                  <a14:compatExt spid="_x0000_s7234"/>
                </a:ext>
                <a:ext uri="{FF2B5EF4-FFF2-40B4-BE49-F238E27FC236}">
                  <a16:creationId xmlns:a16="http://schemas.microsoft.com/office/drawing/2014/main" id="{00000000-0008-0000-0100-00004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FF0000"/>
                  </a:solidFill>
                  <a:latin typeface="Calibri"/>
                  <a:ea typeface="Calibri"/>
                  <a:cs typeface="Calibri"/>
                </a:rPr>
                <a:t>Clear All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12700</xdr:rowOff>
        </xdr:from>
        <xdr:to>
          <xdr:col>7</xdr:col>
          <xdr:colOff>19050</xdr:colOff>
          <xdr:row>1</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Feedback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12700</xdr:rowOff>
        </xdr:from>
        <xdr:to>
          <xdr:col>8</xdr:col>
          <xdr:colOff>69850</xdr:colOff>
          <xdr:row>1</xdr:row>
          <xdr:rowOff>0</xdr:rowOff>
        </xdr:to>
        <xdr:sp macro="" textlink="">
          <xdr:nvSpPr>
            <xdr:cNvPr id="7236" name="Button 68" hidden="1">
              <a:extLst>
                <a:ext uri="{63B3BB69-23CF-44E3-9099-C40C66FF867C}">
                  <a14:compatExt spid="_x0000_s7236"/>
                </a:ext>
                <a:ext uri="{FF2B5EF4-FFF2-40B4-BE49-F238E27FC236}">
                  <a16:creationId xmlns:a16="http://schemas.microsoft.com/office/drawing/2014/main" id="{00000000-0008-0000-0100-00004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31</xdr:row>
          <xdr:rowOff>31750</xdr:rowOff>
        </xdr:from>
        <xdr:to>
          <xdr:col>5</xdr:col>
          <xdr:colOff>1162050</xdr:colOff>
          <xdr:row>44</xdr:row>
          <xdr:rowOff>184150</xdr:rowOff>
        </xdr:to>
        <xdr:sp macro="" textlink="">
          <xdr:nvSpPr>
            <xdr:cNvPr id="7242" name="CB_DetailedGeographicalScope" descr="Are detailed shipment/purchase routes available?"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solidFill>
              <a:srgbClr val="DEFFBD"/>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Are detailed shipment/purchase routes available?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431800</xdr:colOff>
          <xdr:row>23</xdr:row>
          <xdr:rowOff>0</xdr:rowOff>
        </xdr:from>
        <xdr:to>
          <xdr:col>3</xdr:col>
          <xdr:colOff>12700</xdr:colOff>
          <xdr:row>30</xdr:row>
          <xdr:rowOff>31750</xdr:rowOff>
        </xdr:to>
        <xdr:sp macro="" textlink="">
          <xdr:nvSpPr>
            <xdr:cNvPr id="7244" name="CB_TransportationType" descr="Type of transportation split available?"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solidFill>
              <a:srgbClr val="DEFFBD"/>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Type of transportation split available?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56</xdr:row>
          <xdr:rowOff>0</xdr:rowOff>
        </xdr:from>
        <xdr:to>
          <xdr:col>1</xdr:col>
          <xdr:colOff>2755900</xdr:colOff>
          <xdr:row>57</xdr:row>
          <xdr:rowOff>0</xdr:rowOff>
        </xdr:to>
        <xdr:sp macro="" textlink="">
          <xdr:nvSpPr>
            <xdr:cNvPr id="7251" name="CB_Exhibitions" hidden="1">
              <a:extLst>
                <a:ext uri="{63B3BB69-23CF-44E3-9099-C40C66FF867C}">
                  <a14:compatExt spid="_x0000_s7251"/>
                </a:ext>
                <a:ext uri="{FF2B5EF4-FFF2-40B4-BE49-F238E27FC236}">
                  <a16:creationId xmlns:a16="http://schemas.microsoft.com/office/drawing/2014/main" id="{00000000-0008-0000-0100-00005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12700</xdr:rowOff>
        </xdr:from>
        <xdr:to>
          <xdr:col>1</xdr:col>
          <xdr:colOff>2755900</xdr:colOff>
          <xdr:row>57</xdr:row>
          <xdr:rowOff>184150</xdr:rowOff>
        </xdr:to>
        <xdr:sp macro="" textlink="">
          <xdr:nvSpPr>
            <xdr:cNvPr id="7254" name="CB_ConsequentialDamage" hidden="1">
              <a:extLst>
                <a:ext uri="{63B3BB69-23CF-44E3-9099-C40C66FF867C}">
                  <a14:compatExt spid="_x0000_s7254"/>
                </a:ext>
                <a:ext uri="{FF2B5EF4-FFF2-40B4-BE49-F238E27FC236}">
                  <a16:creationId xmlns:a16="http://schemas.microsoft.com/office/drawing/2014/main" id="{00000000-0008-0000-0100-00005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12700</xdr:rowOff>
        </xdr:from>
        <xdr:to>
          <xdr:col>1</xdr:col>
          <xdr:colOff>2755900</xdr:colOff>
          <xdr:row>58</xdr:row>
          <xdr:rowOff>184150</xdr:rowOff>
        </xdr:to>
        <xdr:sp macro="" textlink="">
          <xdr:nvSpPr>
            <xdr:cNvPr id="7255" name="CB_FinancialLoss"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59</xdr:row>
          <xdr:rowOff>12700</xdr:rowOff>
        </xdr:from>
        <xdr:to>
          <xdr:col>1</xdr:col>
          <xdr:colOff>2755900</xdr:colOff>
          <xdr:row>59</xdr:row>
          <xdr:rowOff>184150</xdr:rowOff>
        </xdr:to>
        <xdr:sp macro="" textlink="">
          <xdr:nvSpPr>
            <xdr:cNvPr id="7256" name="CB_War" hidden="1">
              <a:extLst>
                <a:ext uri="{63B3BB69-23CF-44E3-9099-C40C66FF867C}">
                  <a14:compatExt spid="_x0000_s7256"/>
                </a:ext>
                <a:ext uri="{FF2B5EF4-FFF2-40B4-BE49-F238E27FC236}">
                  <a16:creationId xmlns:a16="http://schemas.microsoft.com/office/drawing/2014/main" id="{00000000-0008-0000-0100-00005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63</xdr:row>
          <xdr:rowOff>12700</xdr:rowOff>
        </xdr:from>
        <xdr:to>
          <xdr:col>1</xdr:col>
          <xdr:colOff>2755900</xdr:colOff>
          <xdr:row>64</xdr:row>
          <xdr:rowOff>0</xdr:rowOff>
        </xdr:to>
        <xdr:sp macro="" textlink="">
          <xdr:nvSpPr>
            <xdr:cNvPr id="7258" name="CB_Luggage" hidden="1">
              <a:extLst>
                <a:ext uri="{63B3BB69-23CF-44E3-9099-C40C66FF867C}">
                  <a14:compatExt spid="_x0000_s7258"/>
                </a:ext>
                <a:ext uri="{FF2B5EF4-FFF2-40B4-BE49-F238E27FC236}">
                  <a16:creationId xmlns:a16="http://schemas.microsoft.com/office/drawing/2014/main" id="{00000000-0008-0000-0100-00005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12700</xdr:rowOff>
        </xdr:from>
        <xdr:to>
          <xdr:col>1</xdr:col>
          <xdr:colOff>2755900</xdr:colOff>
          <xdr:row>65</xdr:row>
          <xdr:rowOff>0</xdr:rowOff>
        </xdr:to>
        <xdr:sp macro="" textlink="">
          <xdr:nvSpPr>
            <xdr:cNvPr id="7259" name="CB_Cyber" hidden="1">
              <a:extLst>
                <a:ext uri="{63B3BB69-23CF-44E3-9099-C40C66FF867C}">
                  <a14:compatExt spid="_x0000_s7259"/>
                </a:ext>
                <a:ext uri="{FF2B5EF4-FFF2-40B4-BE49-F238E27FC236}">
                  <a16:creationId xmlns:a16="http://schemas.microsoft.com/office/drawing/2014/main" id="{00000000-0008-0000-0100-00005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12700</xdr:rowOff>
        </xdr:from>
        <xdr:to>
          <xdr:col>1</xdr:col>
          <xdr:colOff>2755900</xdr:colOff>
          <xdr:row>66</xdr:row>
          <xdr:rowOff>0</xdr:rowOff>
        </xdr:to>
        <xdr:sp macro="" textlink="">
          <xdr:nvSpPr>
            <xdr:cNvPr id="7260" name="CB_Pandemic" hidden="1">
              <a:extLst>
                <a:ext uri="{63B3BB69-23CF-44E3-9099-C40C66FF867C}">
                  <a14:compatExt spid="_x0000_s7260"/>
                </a:ext>
                <a:ext uri="{FF2B5EF4-FFF2-40B4-BE49-F238E27FC236}">
                  <a16:creationId xmlns:a16="http://schemas.microsoft.com/office/drawing/2014/main" id="{00000000-0008-0000-0100-00005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1</xdr:col>
          <xdr:colOff>2755900</xdr:colOff>
          <xdr:row>61</xdr:row>
          <xdr:rowOff>184150</xdr:rowOff>
        </xdr:to>
        <xdr:sp macro="" textlink="">
          <xdr:nvSpPr>
            <xdr:cNvPr id="7262" name="CB_StrikeAndRiot"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17</xdr:col>
      <xdr:colOff>202406</xdr:colOff>
      <xdr:row>254</xdr:row>
      <xdr:rowOff>35720</xdr:rowOff>
    </xdr:from>
    <xdr:ext cx="15487651" cy="1701312"/>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21847969" y="23002876"/>
              <a:ext cx="15487651" cy="1701312"/>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f>
                      <m:fPr>
                        <m:ctrlPr>
                          <a:rPr lang="de-DE" sz="1600" b="0" i="1">
                            <a:latin typeface="Cambria Math" panose="02040503050406030204" pitchFamily="18" charset="0"/>
                          </a:rPr>
                        </m:ctrlPr>
                      </m:fPr>
                      <m:num>
                        <m:r>
                          <a:rPr lang="de-DE" sz="1600" b="0" i="1">
                            <a:latin typeface="Cambria Math"/>
                          </a:rPr>
                          <m:t>𝑒𝑥𝑝𝑒𝑐𝑡𝑒𝑑</m:t>
                        </m:r>
                        <m:r>
                          <a:rPr lang="de-DE" sz="1600" b="0" i="1">
                            <a:latin typeface="Cambria Math"/>
                          </a:rPr>
                          <m:t> </m:t>
                        </m:r>
                        <m:r>
                          <a:rPr lang="de-DE" sz="1600" b="0" i="1">
                            <a:latin typeface="Cambria Math"/>
                          </a:rPr>
                          <m:t>𝑠𝑒𝑣𝑒𝑟𝑖𝑡𝑦</m:t>
                        </m:r>
                        <m:r>
                          <a:rPr lang="de-DE" sz="1600" b="0" i="1">
                            <a:latin typeface="Cambria Math"/>
                          </a:rPr>
                          <m:t> </m:t>
                        </m:r>
                        <m:r>
                          <a:rPr lang="de-DE" sz="1600" b="0" i="1">
                            <a:latin typeface="Cambria Math"/>
                          </a:rPr>
                          <m:t>𝑎𝑓𝑡𝑒𝑟</m:t>
                        </m:r>
                        <m:r>
                          <a:rPr lang="de-DE" sz="1600" b="0" i="1">
                            <a:latin typeface="Cambria Math"/>
                          </a:rPr>
                          <m:t> </m:t>
                        </m:r>
                        <m:r>
                          <a:rPr lang="de-DE" sz="1600" b="0" i="1">
                            <a:latin typeface="Cambria Math"/>
                          </a:rPr>
                          <m:t>𝑑𝑒𝑑</m:t>
                        </m:r>
                      </m:num>
                      <m:den>
                        <m:r>
                          <a:rPr lang="de-DE" sz="1600" b="0" i="1">
                            <a:latin typeface="Cambria Math"/>
                          </a:rPr>
                          <m:t>𝑒𝑥𝑝𝑒𝑐𝑡𝑒𝑑</m:t>
                        </m:r>
                        <m:r>
                          <a:rPr lang="de-DE" sz="1600" b="0" i="1">
                            <a:latin typeface="Cambria Math"/>
                          </a:rPr>
                          <m:t> </m:t>
                        </m:r>
                        <m:r>
                          <a:rPr lang="de-DE" sz="1600" b="0" i="1">
                            <a:latin typeface="Cambria Math"/>
                          </a:rPr>
                          <m:t>𝑠𝑒𝑣𝑒𝑟𝑖𝑡𝑦</m:t>
                        </m:r>
                        <m:r>
                          <a:rPr lang="de-DE" sz="1600" b="0" i="1">
                            <a:latin typeface="Cambria Math"/>
                          </a:rPr>
                          <m:t> </m:t>
                        </m:r>
                        <m:r>
                          <a:rPr lang="de-DE" sz="1600" b="0" i="1">
                            <a:latin typeface="Cambria Math"/>
                          </a:rPr>
                          <m:t>𝑏𝑒𝑓𝑜𝑟𝑒</m:t>
                        </m:r>
                        <m:r>
                          <a:rPr lang="de-DE" sz="1600" b="0" i="1">
                            <a:latin typeface="Cambria Math"/>
                          </a:rPr>
                          <m:t> </m:t>
                        </m:r>
                        <m:r>
                          <a:rPr lang="de-DE" sz="1600" b="0" i="1">
                            <a:latin typeface="Cambria Math"/>
                          </a:rPr>
                          <m:t>𝑑𝑒𝑑</m:t>
                        </m:r>
                      </m:den>
                    </m:f>
                    <m:r>
                      <a:rPr lang="de-DE" sz="1600" b="0" i="0">
                        <a:latin typeface="Cambria Math"/>
                      </a:rPr>
                      <m:t>=</m:t>
                    </m:r>
                    <m:f>
                      <m:fPr>
                        <m:ctrlPr>
                          <a:rPr lang="de-DE" sz="1600" i="1">
                            <a:latin typeface="Cambria Math" panose="02040503050406030204" pitchFamily="18" charset="0"/>
                          </a:rPr>
                        </m:ctrlPr>
                      </m:fPr>
                      <m:num>
                        <m:sSup>
                          <m:sSupPr>
                            <m:ctrlPr>
                              <a:rPr lang="de-DE" sz="110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𝑒</m:t>
                            </m:r>
                          </m:e>
                          <m:sup>
                            <m:r>
                              <a:rPr lang="de-DE" sz="110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sup>
                        </m:sSup>
                        <m:d>
                          <m:dPr>
                            <m:ctrlPr>
                              <a:rPr lang="de-DE" sz="110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a:ea typeface="+mn-ea"/>
                                <a:cs typeface="+mn-cs"/>
                              </a:rPr>
                              <m:t>1−</m:t>
                            </m:r>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f>
                                              <m:fPr>
                                                <m:type m:val="skw"/>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en>
                                            </m:f>
                                          </m:e>
                                        </m:d>
                                      </m:e>
                                    </m:func>
                                    <m:r>
                                      <a:rPr lang="de-DE" sz="1100" b="0" i="1">
                                        <a:solidFill>
                                          <a:schemeClr val="tx1"/>
                                        </a:solidFill>
                                        <a:effectLst/>
                                        <a:latin typeface="Cambria Math"/>
                                        <a:ea typeface="+mn-ea"/>
                                        <a:cs typeface="+mn-cs"/>
                                      </a:rPr>
                                      <m:t>−</m:t>
                                    </m:r>
                                    <m:r>
                                      <a:rPr lang="de-DE" sz="1100" b="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𝜎</m:t>
                                    </m:r>
                                  </m:den>
                                </m:f>
                              </m:e>
                            </m:d>
                          </m:e>
                        </m:d>
                        <m:r>
                          <a:rPr lang="de-DE" sz="1100" b="0" i="0">
                            <a:solidFill>
                              <a:schemeClr val="tx1"/>
                            </a:solidFill>
                            <a:effectLst/>
                            <a:latin typeface="Cambria Math"/>
                            <a:ea typeface="+mn-ea"/>
                            <a:cs typeface="+mn-cs"/>
                          </a:rPr>
                          <m:t>+</m:t>
                        </m:r>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d>
                          <m:dPr>
                            <m:ctrlPr>
                              <a:rPr lang="de-DE" sz="1100" i="1">
                                <a:solidFill>
                                  <a:schemeClr val="tx1"/>
                                </a:solidFill>
                                <a:effectLst/>
                                <a:latin typeface="Cambria Math" panose="02040503050406030204" pitchFamily="18" charset="0"/>
                                <a:ea typeface="+mn-ea"/>
                                <a:cs typeface="+mn-cs"/>
                              </a:rPr>
                            </m:ctrlPr>
                          </m:dPr>
                          <m:e>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f>
                                              <m:fPr>
                                                <m:type m:val="skw"/>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en>
                                            </m:f>
                                          </m:e>
                                        </m:d>
                                      </m:e>
                                    </m:func>
                                    <m:r>
                                      <a:rPr lang="de-DE" sz="1100" b="0" i="1">
                                        <a:solidFill>
                                          <a:schemeClr val="tx1"/>
                                        </a:solidFill>
                                        <a:effectLst/>
                                        <a:latin typeface="Cambria Math"/>
                                        <a:ea typeface="+mn-ea"/>
                                        <a:cs typeface="+mn-cs"/>
                                      </a:rPr>
                                      <m:t>−</m:t>
                                    </m:r>
                                    <m:r>
                                      <a:rPr lang="de-DE" sz="1100" b="0" i="1">
                                        <a:solidFill>
                                          <a:schemeClr val="tx1"/>
                                        </a:solidFill>
                                        <a:effectLst/>
                                        <a:latin typeface="Cambria Math"/>
                                        <a:ea typeface="+mn-ea"/>
                                        <a:cs typeface="+mn-cs"/>
                                      </a:rPr>
                                      <m:t>𝜇</m:t>
                                    </m:r>
                                  </m:num>
                                  <m:den>
                                    <m:r>
                                      <a:rPr lang="de-DE" sz="1100" b="0" i="1">
                                        <a:solidFill>
                                          <a:schemeClr val="tx1"/>
                                        </a:solidFill>
                                        <a:effectLst/>
                                        <a:latin typeface="Cambria Math"/>
                                        <a:ea typeface="+mn-ea"/>
                                        <a:cs typeface="+mn-cs"/>
                                      </a:rPr>
                                      <m:t>𝜎</m:t>
                                    </m:r>
                                  </m:den>
                                </m:f>
                              </m:e>
                            </m:d>
                            <m:r>
                              <a:rPr lang="de-DE" sz="1100" b="0" i="1">
                                <a:solidFill>
                                  <a:schemeClr val="tx1"/>
                                </a:solidFill>
                                <a:effectLst/>
                                <a:latin typeface="Cambria Math"/>
                                <a:ea typeface="+mn-ea"/>
                                <a:cs typeface="+mn-cs"/>
                              </a:rPr>
                              <m:t>−1</m:t>
                            </m:r>
                          </m:e>
                        </m:d>
                      </m:num>
                      <m:den>
                        <m:sSup>
                          <m:sSupPr>
                            <m:ctrlPr>
                              <a:rPr lang="de-DE" sz="110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𝑒</m:t>
                            </m:r>
                          </m:e>
                          <m:sup>
                            <m:r>
                              <a:rPr lang="de-DE" sz="110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sup>
                        </m:sSup>
                      </m:den>
                    </m:f>
                    <m:r>
                      <a:rPr lang="de-DE" sz="1600" b="0" i="1">
                        <a:latin typeface="Cambria Math"/>
                      </a:rPr>
                      <m:t>=</m:t>
                    </m:r>
                    <m:d>
                      <m:dPr>
                        <m:ctrlPr>
                          <a:rPr lang="de-DE" sz="110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a:ea typeface="+mn-ea"/>
                            <a:cs typeface="+mn-cs"/>
                          </a:rPr>
                          <m:t>1−</m:t>
                        </m:r>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f>
                                          <m:fPr>
                                            <m:type m:val="skw"/>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en>
                                        </m:f>
                                      </m:e>
                                    </m:d>
                                  </m:e>
                                </m:func>
                                <m:r>
                                  <a:rPr lang="de-DE" sz="1100" b="0" i="1">
                                    <a:solidFill>
                                      <a:schemeClr val="tx1"/>
                                    </a:solidFill>
                                    <a:effectLst/>
                                    <a:latin typeface="Cambria Math"/>
                                    <a:ea typeface="+mn-ea"/>
                                    <a:cs typeface="+mn-cs"/>
                                  </a:rPr>
                                  <m:t>−</m:t>
                                </m:r>
                                <m:r>
                                  <a:rPr lang="de-DE" sz="1100" b="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𝜎</m:t>
                                </m:r>
                              </m:den>
                            </m:f>
                          </m:e>
                        </m:d>
                      </m:e>
                    </m:d>
                    <m:r>
                      <a:rPr lang="de-DE" sz="1100" b="0" i="0">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p>
                          <m:sSupPr>
                            <m:ctrlPr>
                              <a:rPr lang="de-DE" sz="110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𝑒</m:t>
                            </m:r>
                          </m:e>
                          <m:sup>
                            <m:r>
                              <a:rPr lang="de-DE" sz="110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sup>
                        </m:sSup>
                      </m:den>
                    </m:f>
                    <m:d>
                      <m:dPr>
                        <m:ctrlPr>
                          <a:rPr lang="de-DE" sz="1100" i="1">
                            <a:solidFill>
                              <a:schemeClr val="tx1"/>
                            </a:solidFill>
                            <a:effectLst/>
                            <a:latin typeface="Cambria Math" panose="02040503050406030204" pitchFamily="18" charset="0"/>
                            <a:ea typeface="+mn-ea"/>
                            <a:cs typeface="+mn-cs"/>
                          </a:rPr>
                        </m:ctrlPr>
                      </m:dPr>
                      <m:e>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f>
                                          <m:fPr>
                                            <m:type m:val="skw"/>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en>
                                        </m:f>
                                      </m:e>
                                    </m:d>
                                  </m:e>
                                </m:func>
                                <m:r>
                                  <a:rPr lang="de-DE" sz="1100" b="0" i="1">
                                    <a:solidFill>
                                      <a:schemeClr val="tx1"/>
                                    </a:solidFill>
                                    <a:effectLst/>
                                    <a:latin typeface="Cambria Math"/>
                                    <a:ea typeface="+mn-ea"/>
                                    <a:cs typeface="+mn-cs"/>
                                  </a:rPr>
                                  <m:t>−</m:t>
                                </m:r>
                                <m:r>
                                  <a:rPr lang="de-DE" sz="1100" b="0" i="1">
                                    <a:solidFill>
                                      <a:schemeClr val="tx1"/>
                                    </a:solidFill>
                                    <a:effectLst/>
                                    <a:latin typeface="Cambria Math"/>
                                    <a:ea typeface="+mn-ea"/>
                                    <a:cs typeface="+mn-cs"/>
                                  </a:rPr>
                                  <m:t>𝜇</m:t>
                                </m:r>
                              </m:num>
                              <m:den>
                                <m:r>
                                  <a:rPr lang="de-DE" sz="1100" b="0" i="1">
                                    <a:solidFill>
                                      <a:schemeClr val="tx1"/>
                                    </a:solidFill>
                                    <a:effectLst/>
                                    <a:latin typeface="Cambria Math"/>
                                    <a:ea typeface="+mn-ea"/>
                                    <a:cs typeface="+mn-cs"/>
                                  </a:rPr>
                                  <m:t>𝜎</m:t>
                                </m:r>
                              </m:den>
                            </m:f>
                          </m:e>
                        </m:d>
                        <m:r>
                          <a:rPr lang="de-DE" sz="1100" b="0" i="1">
                            <a:solidFill>
                              <a:schemeClr val="tx1"/>
                            </a:solidFill>
                            <a:effectLst/>
                            <a:latin typeface="Cambria Math"/>
                            <a:ea typeface="+mn-ea"/>
                            <a:cs typeface="+mn-cs"/>
                          </a:rPr>
                          <m:t>−1</m:t>
                        </m:r>
                      </m:e>
                    </m:d>
                  </m:oMath>
                </m:oMathPara>
              </a14:m>
              <a:endParaRPr lang="de-DE" sz="1100" b="0" i="1">
                <a:solidFill>
                  <a:schemeClr val="tx1"/>
                </a:solidFill>
                <a:effectLst/>
                <a:latin typeface="+mn-lt"/>
                <a:ea typeface="+mn-ea"/>
                <a:cs typeface="+mn-cs"/>
              </a:endParaRPr>
            </a:p>
            <a:p>
              <a:pPr/>
              <a14:m>
                <m:oMathPara xmlns:m="http://schemas.openxmlformats.org/officeDocument/2006/math">
                  <m:oMathParaPr>
                    <m:jc m:val="centerGroup"/>
                  </m:oMathParaPr>
                  <m:oMath xmlns:m="http://schemas.openxmlformats.org/officeDocument/2006/math">
                    <m:r>
                      <a:rPr lang="de-DE" sz="1100" b="0" i="0">
                        <a:solidFill>
                          <a:schemeClr val="tx1"/>
                        </a:solidFill>
                        <a:effectLst/>
                        <a:latin typeface="Cambria Math"/>
                        <a:ea typeface="+mn-ea"/>
                        <a:cs typeface="+mn-cs"/>
                      </a:rPr>
                      <m:t>=</m:t>
                    </m:r>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
                      <m:dPr>
                        <m:ctrlPr>
                          <a:rPr lang="de-DE" sz="1100" b="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r>
                              <a:rPr lang="de-DE" sz="1100" b="0" i="1">
                                <a:solidFill>
                                  <a:schemeClr val="tx1"/>
                                </a:solidFill>
                                <a:effectLst/>
                                <a:latin typeface="Cambria Math"/>
                                <a:ea typeface="+mn-ea"/>
                                <a:cs typeface="+mn-cs"/>
                              </a:rPr>
                              <m:t>1</m:t>
                            </m:r>
                          </m:num>
                          <m:den>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den>
                        </m:f>
                        <m:r>
                          <a:rPr lang="de-DE" sz="1100" b="0" i="1">
                            <a:solidFill>
                              <a:schemeClr val="tx1"/>
                            </a:solidFill>
                            <a:effectLst/>
                            <a:latin typeface="Cambria Math"/>
                            <a:ea typeface="+mn-ea"/>
                            <a:cs typeface="+mn-cs"/>
                          </a:rPr>
                          <m:t>−</m:t>
                        </m:r>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a:ea typeface="+mn-ea"/>
                                            <a:cs typeface="+mn-cs"/>
                                          </a:rPr>
                                          <m:t>𝑀</m:t>
                                        </m:r>
                                      </m:e>
                                    </m:d>
                                  </m:e>
                                </m:func>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num>
                              <m:den>
                                <m:r>
                                  <a:rPr lang="de-DE" sz="1100" b="0" i="1">
                                    <a:solidFill>
                                      <a:schemeClr val="tx1"/>
                                    </a:solidFill>
                                    <a:effectLst/>
                                    <a:latin typeface="Cambria Math"/>
                                    <a:ea typeface="+mn-ea"/>
                                    <a:cs typeface="+mn-cs"/>
                                  </a:rPr>
                                  <m:t>𝜎</m:t>
                                </m:r>
                              </m:den>
                            </m:f>
                          </m:e>
                        </m:d>
                        <m:r>
                          <a:rPr lang="de-DE" sz="1100" b="0" i="1">
                            <a:solidFill>
                              <a:schemeClr val="tx1"/>
                            </a:solidFill>
                            <a:effectLst/>
                            <a:latin typeface="Cambria Math"/>
                            <a:ea typeface="+mn-ea"/>
                            <a:cs typeface="+mn-cs"/>
                          </a:rPr>
                          <m:t>+</m:t>
                        </m:r>
                        <m:r>
                          <a:rPr lang="de-DE" sz="1100" b="0" i="1">
                            <a:solidFill>
                              <a:schemeClr val="tx1"/>
                            </a:solidFill>
                            <a:effectLst/>
                            <a:latin typeface="Cambria Math"/>
                            <a:ea typeface="+mn-ea"/>
                            <a:cs typeface="+mn-cs"/>
                          </a:rPr>
                          <m:t>𝑀</m:t>
                        </m:r>
                        <m:d>
                          <m:dPr>
                            <m:ctrlPr>
                              <a:rPr lang="de-DE" sz="1100" b="0" i="1">
                                <a:solidFill>
                                  <a:schemeClr val="tx1"/>
                                </a:solidFill>
                                <a:effectLst/>
                                <a:latin typeface="Cambria Math" panose="02040503050406030204" pitchFamily="18" charset="0"/>
                                <a:ea typeface="+mn-ea"/>
                                <a:cs typeface="+mn-cs"/>
                              </a:rPr>
                            </m:ctrlPr>
                          </m:dPr>
                          <m:e>
                            <m:r>
                              <m:rPr>
                                <m:sty m:val="p"/>
                              </m:rPr>
                              <a:rPr lang="el-GR" sz="1100" i="1">
                                <a:solidFill>
                                  <a:schemeClr val="tx1"/>
                                </a:solidFill>
                                <a:effectLst/>
                                <a:latin typeface="Cambria Math"/>
                                <a:ea typeface="+mn-ea"/>
                                <a:cs typeface="+mn-cs"/>
                              </a:rPr>
                              <m:t>Φ</m:t>
                            </m:r>
                            <m:d>
                              <m:dPr>
                                <m:ctrlPr>
                                  <a:rPr lang="el-GR" sz="1100" i="1">
                                    <a:solidFill>
                                      <a:schemeClr val="tx1"/>
                                    </a:solidFill>
                                    <a:effectLst/>
                                    <a:latin typeface="Cambria Math" panose="02040503050406030204" pitchFamily="18" charset="0"/>
                                    <a:ea typeface="+mn-ea"/>
                                    <a:cs typeface="+mn-cs"/>
                                  </a:rPr>
                                </m:ctrlPr>
                              </m:dPr>
                              <m:e>
                                <m:f>
                                  <m:fPr>
                                    <m:ctrlPr>
                                      <a:rPr lang="de-DE" sz="1100" b="0" i="1">
                                        <a:solidFill>
                                          <a:schemeClr val="tx1"/>
                                        </a:solidFill>
                                        <a:effectLst/>
                                        <a:latin typeface="Cambria Math" panose="02040503050406030204" pitchFamily="18" charset="0"/>
                                        <a:ea typeface="+mn-ea"/>
                                        <a:cs typeface="+mn-cs"/>
                                      </a:rPr>
                                    </m:ctrlPr>
                                  </m:fPr>
                                  <m:num>
                                    <m:func>
                                      <m:funcPr>
                                        <m:ctrlPr>
                                          <a:rPr lang="de-DE" sz="1100" b="0" i="1">
                                            <a:solidFill>
                                              <a:schemeClr val="tx1"/>
                                            </a:solidFill>
                                            <a:effectLst/>
                                            <a:latin typeface="Cambria Math" panose="02040503050406030204" pitchFamily="18" charset="0"/>
                                            <a:ea typeface="+mn-ea"/>
                                            <a:cs typeface="+mn-cs"/>
                                          </a:rPr>
                                        </m:ctrlPr>
                                      </m:funcPr>
                                      <m:fName>
                                        <m:r>
                                          <m:rPr>
                                            <m:sty m:val="p"/>
                                          </m:rPr>
                                          <a:rPr lang="de-DE" sz="1100" b="0" i="0">
                                            <a:solidFill>
                                              <a:schemeClr val="tx1"/>
                                            </a:solidFill>
                                            <a:effectLst/>
                                            <a:latin typeface="Cambria Math"/>
                                            <a:ea typeface="+mn-ea"/>
                                            <a:cs typeface="+mn-cs"/>
                                          </a:rPr>
                                          <m:t>ln</m:t>
                                        </m:r>
                                      </m:fName>
                                      <m:e>
                                        <m:d>
                                          <m:dPr>
                                            <m:ctrlPr>
                                              <a:rPr lang="de-DE" sz="1100" b="0" i="1">
                                                <a:solidFill>
                                                  <a:schemeClr val="tx1"/>
                                                </a:solidFill>
                                                <a:effectLst/>
                                                <a:latin typeface="Cambria Math" panose="02040503050406030204" pitchFamily="18" charset="0"/>
                                                <a:ea typeface="+mn-ea"/>
                                                <a:cs typeface="+mn-cs"/>
                                              </a:rPr>
                                            </m:ctrlPr>
                                          </m:dPr>
                                          <m:e>
                                            <m:r>
                                              <a:rPr lang="de-DE" sz="1100" b="0" i="1">
                                                <a:solidFill>
                                                  <a:schemeClr val="tx1"/>
                                                </a:solidFill>
                                                <a:effectLst/>
                                                <a:latin typeface="Cambria Math"/>
                                                <a:ea typeface="+mn-ea"/>
                                                <a:cs typeface="+mn-cs"/>
                                              </a:rPr>
                                              <m:t>𝑀</m:t>
                                            </m:r>
                                          </m:e>
                                        </m:d>
                                      </m:e>
                                    </m:func>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num>
                                  <m:den>
                                    <m:r>
                                      <a:rPr lang="de-DE" sz="1100" b="0" i="1">
                                        <a:solidFill>
                                          <a:schemeClr val="tx1"/>
                                        </a:solidFill>
                                        <a:effectLst/>
                                        <a:latin typeface="Cambria Math"/>
                                        <a:ea typeface="+mn-ea"/>
                                        <a:cs typeface="+mn-cs"/>
                                      </a:rPr>
                                      <m:t>𝜎</m:t>
                                    </m:r>
                                  </m:den>
                                </m:f>
                              </m:e>
                            </m:d>
                            <m:r>
                              <a:rPr lang="de-DE" sz="1100" b="0" i="1">
                                <a:solidFill>
                                  <a:schemeClr val="tx1"/>
                                </a:solidFill>
                                <a:effectLst/>
                                <a:latin typeface="Cambria Math"/>
                                <a:ea typeface="+mn-ea"/>
                                <a:cs typeface="+mn-cs"/>
                              </a:rPr>
                              <m:t>−1</m:t>
                            </m:r>
                          </m:e>
                        </m:d>
                      </m:e>
                    </m:d>
                    <m:r>
                      <a:rPr lang="de-DE" sz="1100" b="0" i="1">
                        <a:solidFill>
                          <a:schemeClr val="tx1"/>
                        </a:solidFill>
                        <a:effectLst/>
                        <a:latin typeface="Cambria Math"/>
                        <a:ea typeface="+mn-ea"/>
                        <a:cs typeface="+mn-cs"/>
                      </a:rPr>
                      <m:t>, </m:t>
                    </m:r>
                    <m:r>
                      <a:rPr lang="de-DE" sz="1100" b="0" i="1">
                        <a:solidFill>
                          <a:schemeClr val="tx1"/>
                        </a:solidFill>
                        <a:effectLst/>
                        <a:latin typeface="Cambria Math"/>
                        <a:ea typeface="+mn-ea"/>
                        <a:cs typeface="+mn-cs"/>
                      </a:rPr>
                      <m:t>𝑀</m:t>
                    </m:r>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𝑚𝑎𝑥</m:t>
                            </m:r>
                          </m:sub>
                        </m:sSub>
                      </m:num>
                      <m:den>
                        <m:sSup>
                          <m:sSupPr>
                            <m:ctrlPr>
                              <a:rPr lang="de-DE" sz="1100" i="1">
                                <a:solidFill>
                                  <a:schemeClr val="tx1"/>
                                </a:solidFill>
                                <a:effectLst/>
                                <a:latin typeface="Cambria Math" panose="02040503050406030204" pitchFamily="18" charset="0"/>
                                <a:ea typeface="+mn-ea"/>
                                <a:cs typeface="+mn-cs"/>
                              </a:rPr>
                            </m:ctrlPr>
                          </m:sSupPr>
                          <m:e>
                            <m:sSub>
                              <m:sSubPr>
                                <m:ctrlPr>
                                  <a:rPr lang="de-DE" sz="1100" b="0" i="1">
                                    <a:solidFill>
                                      <a:schemeClr val="tx1"/>
                                    </a:solidFill>
                                    <a:effectLst/>
                                    <a:latin typeface="Cambria Math" panose="02040503050406030204" pitchFamily="18" charset="0"/>
                                    <a:ea typeface="+mn-ea"/>
                                    <a:cs typeface="+mn-cs"/>
                                  </a:rPr>
                                </m:ctrlPr>
                              </m:sSubPr>
                              <m:e>
                                <m:r>
                                  <a:rPr lang="de-DE" sz="1100" b="0" i="1">
                                    <a:solidFill>
                                      <a:schemeClr val="tx1"/>
                                    </a:solidFill>
                                    <a:effectLst/>
                                    <a:latin typeface="Cambria Math"/>
                                    <a:ea typeface="+mn-ea"/>
                                    <a:cs typeface="+mn-cs"/>
                                  </a:rPr>
                                  <m:t>𝑑</m:t>
                                </m:r>
                              </m:e>
                              <m:sub>
                                <m:r>
                                  <a:rPr lang="de-DE" sz="1100" b="0" i="1">
                                    <a:solidFill>
                                      <a:schemeClr val="tx1"/>
                                    </a:solidFill>
                                    <a:effectLst/>
                                    <a:latin typeface="Cambria Math"/>
                                    <a:ea typeface="+mn-ea"/>
                                    <a:cs typeface="+mn-cs"/>
                                  </a:rPr>
                                  <m:t>𝑝𝑟𝑜𝑝</m:t>
                                </m:r>
                              </m:sub>
                            </m:sSub>
                            <m:r>
                              <a:rPr lang="de-DE" sz="1100" b="0" i="1">
                                <a:solidFill>
                                  <a:schemeClr val="tx1"/>
                                </a:solidFill>
                                <a:effectLst/>
                                <a:latin typeface="Cambria Math"/>
                                <a:ea typeface="+mn-ea"/>
                                <a:cs typeface="+mn-cs"/>
                              </a:rPr>
                              <m:t>𝑒</m:t>
                            </m:r>
                          </m:e>
                          <m:sup>
                            <m:r>
                              <a:rPr lang="de-DE" sz="1100" i="1">
                                <a:solidFill>
                                  <a:schemeClr val="tx1"/>
                                </a:solidFill>
                                <a:effectLst/>
                                <a:latin typeface="Cambria Math"/>
                                <a:ea typeface="+mn-ea"/>
                                <a:cs typeface="+mn-cs"/>
                              </a:rPr>
                              <m:t>𝜇</m:t>
                            </m:r>
                            <m:r>
                              <a:rPr lang="de-DE" sz="1100" b="0" i="1">
                                <a:solidFill>
                                  <a:schemeClr val="tx1"/>
                                </a:solidFill>
                                <a:effectLst/>
                                <a:latin typeface="Cambria Math"/>
                                <a:ea typeface="+mn-ea"/>
                                <a:cs typeface="+mn-cs"/>
                              </a:rPr>
                              <m:t>+</m:t>
                            </m:r>
                            <m:f>
                              <m:fPr>
                                <m:ctrlPr>
                                  <a:rPr lang="de-DE" sz="1100" b="0" i="1">
                                    <a:solidFill>
                                      <a:schemeClr val="tx1"/>
                                    </a:solidFill>
                                    <a:effectLst/>
                                    <a:latin typeface="Cambria Math" panose="02040503050406030204" pitchFamily="18" charset="0"/>
                                    <a:ea typeface="+mn-ea"/>
                                    <a:cs typeface="+mn-cs"/>
                                  </a:rPr>
                                </m:ctrlPr>
                              </m:fPr>
                              <m:num>
                                <m:sSup>
                                  <m:sSupPr>
                                    <m:ctrlPr>
                                      <a:rPr lang="de-DE" sz="1100" b="0" i="1">
                                        <a:solidFill>
                                          <a:schemeClr val="tx1"/>
                                        </a:solidFill>
                                        <a:effectLst/>
                                        <a:latin typeface="Cambria Math" panose="02040503050406030204" pitchFamily="18" charset="0"/>
                                        <a:ea typeface="+mn-ea"/>
                                        <a:cs typeface="+mn-cs"/>
                                      </a:rPr>
                                    </m:ctrlPr>
                                  </m:sSupPr>
                                  <m:e>
                                    <m:r>
                                      <a:rPr lang="de-DE" sz="1100" b="0" i="1">
                                        <a:solidFill>
                                          <a:schemeClr val="tx1"/>
                                        </a:solidFill>
                                        <a:effectLst/>
                                        <a:latin typeface="Cambria Math"/>
                                        <a:ea typeface="+mn-ea"/>
                                        <a:cs typeface="+mn-cs"/>
                                      </a:rPr>
                                      <m:t>𝜎</m:t>
                                    </m:r>
                                  </m:e>
                                  <m:sup>
                                    <m:r>
                                      <a:rPr lang="de-DE" sz="1100" b="0" i="1">
                                        <a:solidFill>
                                          <a:schemeClr val="tx1"/>
                                        </a:solidFill>
                                        <a:effectLst/>
                                        <a:latin typeface="Cambria Math"/>
                                        <a:ea typeface="+mn-ea"/>
                                        <a:cs typeface="+mn-cs"/>
                                      </a:rPr>
                                      <m:t>2</m:t>
                                    </m:r>
                                  </m:sup>
                                </m:sSup>
                              </m:num>
                              <m:den>
                                <m:r>
                                  <a:rPr lang="de-DE" sz="1100" b="0" i="1">
                                    <a:solidFill>
                                      <a:schemeClr val="tx1"/>
                                    </a:solidFill>
                                    <a:effectLst/>
                                    <a:latin typeface="Cambria Math"/>
                                    <a:ea typeface="+mn-ea"/>
                                    <a:cs typeface="+mn-cs"/>
                                  </a:rPr>
                                  <m:t>2</m:t>
                                </m:r>
                              </m:den>
                            </m:f>
                          </m:sup>
                        </m:sSup>
                      </m:den>
                    </m:f>
                    <m:r>
                      <a:rPr lang="de-DE" sz="1100" b="0" i="1">
                        <a:solidFill>
                          <a:schemeClr val="tx1"/>
                        </a:solidFill>
                        <a:effectLst/>
                        <a:latin typeface="Cambria Math"/>
                        <a:ea typeface="+mn-ea"/>
                        <a:cs typeface="+mn-cs"/>
                      </a:rPr>
                      <m:t> </m:t>
                    </m:r>
                  </m:oMath>
                </m:oMathPara>
              </a14:m>
              <a:endParaRPr lang="de-DE" sz="1600"/>
            </a:p>
          </xdr:txBody>
        </xdr:sp>
      </mc:Choice>
      <mc:Fallback xmlns="">
        <xdr:sp macro="" textlink="">
          <xdr:nvSpPr>
            <xdr:cNvPr id="2" name="Textfeld 1"/>
            <xdr:cNvSpPr txBox="1"/>
          </xdr:nvSpPr>
          <xdr:spPr>
            <a:xfrm>
              <a:off x="21847969" y="23002876"/>
              <a:ext cx="15487651" cy="1701312"/>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de-DE" sz="1600" b="0" i="0">
                  <a:latin typeface="Cambria Math"/>
                </a:rPr>
                <a:t>(𝑒𝑥𝑝𝑒𝑐𝑡𝑒𝑑 𝑠𝑒𝑣𝑒𝑟𝑖𝑡𝑦 𝑎𝑓𝑡𝑒𝑟 𝑑𝑒𝑑)/(𝑒𝑥𝑝𝑒𝑐𝑡𝑒𝑑 𝑠𝑒𝑣𝑒𝑟𝑖𝑡𝑦 𝑏𝑒𝑓𝑜𝑟𝑒 𝑑𝑒𝑑)=</a:t>
              </a:r>
              <a:r>
                <a:rPr lang="de-DE" sz="1600" i="0">
                  <a:latin typeface="Cambria Math"/>
                </a:rPr>
                <a:t>(</a:t>
              </a:r>
              <a:r>
                <a:rPr lang="de-DE" sz="1100" b="0" i="0">
                  <a:solidFill>
                    <a:schemeClr val="tx1"/>
                  </a:solidFill>
                  <a:effectLst/>
                  <a:latin typeface="Cambria Math"/>
                  <a:ea typeface="+mn-ea"/>
                  <a:cs typeface="+mn-cs"/>
                </a:rPr>
                <a:t>𝑒^(</a:t>
              </a:r>
              <a:r>
                <a:rPr lang="de-DE" sz="1100" i="0">
                  <a:solidFill>
                    <a:schemeClr val="tx1"/>
                  </a:solidFill>
                  <a:effectLst/>
                  <a:latin typeface="Cambria Math"/>
                  <a:ea typeface="+mn-ea"/>
                  <a:cs typeface="+mn-cs"/>
                </a:rPr>
                <a:t>𝜇</a:t>
              </a:r>
              <a:r>
                <a:rPr lang="de-DE" sz="1100" b="0" i="0">
                  <a:solidFill>
                    <a:schemeClr val="tx1"/>
                  </a:solidFill>
                  <a:effectLst/>
                  <a:latin typeface="Cambria Math"/>
                  <a:ea typeface="+mn-ea"/>
                  <a:cs typeface="+mn-cs"/>
                </a:rPr>
                <a:t>+𝜎^2/2) (1−𝑑_𝑝𝑟𝑜𝑝</a:t>
              </a:r>
              <a:r>
                <a:rPr lang="el-GR" sz="1100" b="0" i="0">
                  <a:solidFill>
                    <a:schemeClr val="tx1"/>
                  </a:solidFill>
                  <a:effectLst/>
                  <a:latin typeface="Cambria Math"/>
                  <a:ea typeface="+mn-ea"/>
                  <a:cs typeface="+mn-cs"/>
                </a:rPr>
                <a:t> </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(ln⁡(𝑑_𝑚𝑎𝑥⁄𝑑_𝑝𝑟𝑜𝑝 )−𝜇−𝜎^2)/𝜎))+𝑑_𝑚𝑎𝑥 (</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(ln⁡(𝑑_𝑚𝑎𝑥⁄𝑑_𝑝𝑟𝑜𝑝 )−𝜇)/𝜎)−1)</a:t>
              </a:r>
              <a:r>
                <a:rPr lang="de-DE" sz="1600" b="0" i="0">
                  <a:solidFill>
                    <a:schemeClr val="tx1"/>
                  </a:solidFill>
                  <a:effectLst/>
                  <a:latin typeface="Cambria Math"/>
                  <a:ea typeface="+mn-ea"/>
                  <a:cs typeface="+mn-cs"/>
                </a:rPr>
                <a:t>)/</a:t>
              </a:r>
              <a:r>
                <a:rPr lang="de-DE" sz="1100" b="0" i="0">
                  <a:solidFill>
                    <a:schemeClr val="tx1"/>
                  </a:solidFill>
                  <a:effectLst/>
                  <a:latin typeface="Cambria Math"/>
                  <a:ea typeface="+mn-ea"/>
                  <a:cs typeface="+mn-cs"/>
                </a:rPr>
                <a:t>𝑒^(</a:t>
              </a:r>
              <a:r>
                <a:rPr lang="de-DE" sz="1100" i="0">
                  <a:solidFill>
                    <a:schemeClr val="tx1"/>
                  </a:solidFill>
                  <a:effectLst/>
                  <a:latin typeface="Cambria Math"/>
                  <a:ea typeface="+mn-ea"/>
                  <a:cs typeface="+mn-cs"/>
                </a:rPr>
                <a:t>𝜇</a:t>
              </a:r>
              <a:r>
                <a:rPr lang="de-DE" sz="1100" b="0" i="0">
                  <a:solidFill>
                    <a:schemeClr val="tx1"/>
                  </a:solidFill>
                  <a:effectLst/>
                  <a:latin typeface="Cambria Math"/>
                  <a:ea typeface="+mn-ea"/>
                  <a:cs typeface="+mn-cs"/>
                </a:rPr>
                <a:t>+𝜎^2/2) </a:t>
              </a:r>
              <a:r>
                <a:rPr lang="de-DE" sz="1600" b="0" i="0">
                  <a:latin typeface="Cambria Math"/>
                </a:rPr>
                <a:t>=</a:t>
              </a:r>
              <a:r>
                <a:rPr lang="de-DE" sz="1100" i="0">
                  <a:solidFill>
                    <a:schemeClr val="tx1"/>
                  </a:solidFill>
                  <a:effectLst/>
                  <a:latin typeface="Cambria Math"/>
                  <a:ea typeface="+mn-ea"/>
                  <a:cs typeface="+mn-cs"/>
                </a:rPr>
                <a:t>(</a:t>
              </a:r>
              <a:r>
                <a:rPr lang="de-DE" sz="1100" b="0" i="0">
                  <a:solidFill>
                    <a:schemeClr val="tx1"/>
                  </a:solidFill>
                  <a:effectLst/>
                  <a:latin typeface="Cambria Math"/>
                  <a:ea typeface="+mn-ea"/>
                  <a:cs typeface="+mn-cs"/>
                </a:rPr>
                <a:t>1−𝑑_𝑝𝑟𝑜𝑝</a:t>
              </a:r>
              <a:r>
                <a:rPr lang="el-GR" sz="1100" b="0" i="0">
                  <a:solidFill>
                    <a:schemeClr val="tx1"/>
                  </a:solidFill>
                  <a:effectLst/>
                  <a:latin typeface="Cambria Math"/>
                  <a:ea typeface="+mn-ea"/>
                  <a:cs typeface="+mn-cs"/>
                </a:rPr>
                <a:t> </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(ln⁡(𝑑_𝑚𝑎𝑥⁄𝑑_𝑝𝑟𝑜𝑝 )−𝜇−𝜎^2)/𝜎))+𝑑_𝑚𝑎𝑥/𝑒^(</a:t>
              </a:r>
              <a:r>
                <a:rPr lang="de-DE" sz="1100" i="0">
                  <a:solidFill>
                    <a:schemeClr val="tx1"/>
                  </a:solidFill>
                  <a:effectLst/>
                  <a:latin typeface="Cambria Math"/>
                  <a:ea typeface="+mn-ea"/>
                  <a:cs typeface="+mn-cs"/>
                </a:rPr>
                <a:t>𝜇</a:t>
              </a:r>
              <a:r>
                <a:rPr lang="de-DE" sz="1100" b="0" i="0">
                  <a:solidFill>
                    <a:schemeClr val="tx1"/>
                  </a:solidFill>
                  <a:effectLst/>
                  <a:latin typeface="Cambria Math"/>
                  <a:ea typeface="+mn-ea"/>
                  <a:cs typeface="+mn-cs"/>
                </a:rPr>
                <a:t>+𝜎^2/2)  </a:t>
              </a:r>
              <a:r>
                <a:rPr lang="de-DE" sz="1100" i="0">
                  <a:solidFill>
                    <a:schemeClr val="tx1"/>
                  </a:solidFill>
                  <a:effectLst/>
                  <a:latin typeface="Cambria Math"/>
                  <a:ea typeface="+mn-ea"/>
                  <a:cs typeface="+mn-cs"/>
                </a:rPr>
                <a:t>(</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(ln⁡(𝑑_𝑚𝑎𝑥⁄𝑑_𝑝𝑟𝑜𝑝 )−𝜇)/𝜎)−1)</a:t>
              </a:r>
              <a:endParaRPr lang="de-DE" sz="1100" b="0" i="1">
                <a:solidFill>
                  <a:schemeClr val="tx1"/>
                </a:solidFill>
                <a:effectLst/>
                <a:latin typeface="+mn-lt"/>
                <a:ea typeface="+mn-ea"/>
                <a:cs typeface="+mn-cs"/>
              </a:endParaRPr>
            </a:p>
            <a:p>
              <a:pPr/>
              <a:r>
                <a:rPr lang="de-DE" sz="1100" b="0" i="0">
                  <a:solidFill>
                    <a:schemeClr val="tx1"/>
                  </a:solidFill>
                  <a:effectLst/>
                  <a:latin typeface="Cambria Math"/>
                  <a:ea typeface="+mn-ea"/>
                  <a:cs typeface="+mn-cs"/>
                </a:rPr>
                <a:t>=𝑑_𝑝𝑟𝑜𝑝 (1/𝑑_𝑝𝑟𝑜𝑝 −</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(ln⁡(𝑀)−𝜎^2/2)/𝜎)+𝑀(</a:t>
              </a:r>
              <a:r>
                <a:rPr lang="el-GR" sz="1100" i="0">
                  <a:solidFill>
                    <a:schemeClr val="tx1"/>
                  </a:solidFill>
                  <a:effectLst/>
                  <a:latin typeface="Cambria Math"/>
                  <a:ea typeface="+mn-ea"/>
                  <a:cs typeface="+mn-cs"/>
                </a:rPr>
                <a:t>Φ(</a:t>
              </a:r>
              <a:r>
                <a:rPr lang="de-DE" sz="1100" b="0" i="0">
                  <a:solidFill>
                    <a:schemeClr val="tx1"/>
                  </a:solidFill>
                  <a:effectLst/>
                  <a:latin typeface="Cambria Math"/>
                  <a:ea typeface="+mn-ea"/>
                  <a:cs typeface="+mn-cs"/>
                </a:rPr>
                <a:t>(ln⁡(𝑀)+𝜎^2/2)/𝜎)−1)), 𝑀=𝑑_𝑚𝑎𝑥/〖𝑑_𝑝𝑟𝑜𝑝 𝑒〗^(</a:t>
              </a:r>
              <a:r>
                <a:rPr lang="de-DE" sz="1100" i="0">
                  <a:solidFill>
                    <a:schemeClr val="tx1"/>
                  </a:solidFill>
                  <a:effectLst/>
                  <a:latin typeface="Cambria Math"/>
                  <a:ea typeface="+mn-ea"/>
                  <a:cs typeface="+mn-cs"/>
                </a:rPr>
                <a:t>𝜇</a:t>
              </a:r>
              <a:r>
                <a:rPr lang="de-DE" sz="1100" b="0" i="0">
                  <a:solidFill>
                    <a:schemeClr val="tx1"/>
                  </a:solidFill>
                  <a:effectLst/>
                  <a:latin typeface="Cambria Math"/>
                  <a:ea typeface="+mn-ea"/>
                  <a:cs typeface="+mn-cs"/>
                </a:rPr>
                <a:t>+𝜎^2/2)   </a:t>
              </a:r>
              <a:endParaRPr lang="de-DE" sz="16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2</xdr:row>
          <xdr:rowOff>50800</xdr:rowOff>
        </xdr:from>
        <xdr:to>
          <xdr:col>0</xdr:col>
          <xdr:colOff>1231900</xdr:colOff>
          <xdr:row>13</xdr:row>
          <xdr:rowOff>127000</xdr:rowOff>
        </xdr:to>
        <xdr:sp macro="" textlink="">
          <xdr:nvSpPr>
            <xdr:cNvPr id="58382" name="Button 14" hidden="1">
              <a:extLst>
                <a:ext uri="{63B3BB69-23CF-44E3-9099-C40C66FF867C}">
                  <a14:compatExt spid="_x0000_s58382"/>
                </a:ext>
                <a:ext uri="{FF2B5EF4-FFF2-40B4-BE49-F238E27FC236}">
                  <a16:creationId xmlns:a16="http://schemas.microsoft.com/office/drawing/2014/main" id="{00000000-0008-0000-0600-00000EE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400" b="0" i="0" u="none" strike="noStrike" baseline="0">
                  <a:solidFill>
                    <a:srgbClr val="000000"/>
                  </a:solidFill>
                  <a:latin typeface="Calibri"/>
                  <a:ea typeface="Calibri"/>
                  <a:cs typeface="Calibri"/>
                </a:rPr>
                <a:t>Import Storage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24</xdr:row>
          <xdr:rowOff>184150</xdr:rowOff>
        </xdr:from>
        <xdr:to>
          <xdr:col>2</xdr:col>
          <xdr:colOff>1619250</xdr:colOff>
          <xdr:row>24</xdr:row>
          <xdr:rowOff>438150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Another option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660400</xdr:colOff>
          <xdr:row>23</xdr:row>
          <xdr:rowOff>50800</xdr:rowOff>
        </xdr:from>
        <xdr:to>
          <xdr:col>2</xdr:col>
          <xdr:colOff>1619250</xdr:colOff>
          <xdr:row>23</xdr:row>
          <xdr:rowOff>279400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9900"/>
                  </a:solidFill>
                  <a:latin typeface="Calibri"/>
                  <a:ea typeface="Calibri"/>
                  <a:cs typeface="Calibri"/>
                </a:rPr>
                <a:t>Save option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25</xdr:row>
          <xdr:rowOff>19050</xdr:rowOff>
        </xdr:from>
        <xdr:to>
          <xdr:col>2</xdr:col>
          <xdr:colOff>1619250</xdr:colOff>
          <xdr:row>25</xdr:row>
          <xdr:rowOff>298450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0000"/>
                  </a:solidFill>
                  <a:latin typeface="Calibri"/>
                  <a:ea typeface="Calibri"/>
                  <a:cs typeface="Calibri"/>
                </a:rPr>
                <a:t>ARGOS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21</xdr:row>
          <xdr:rowOff>69850</xdr:rowOff>
        </xdr:from>
        <xdr:to>
          <xdr:col>2</xdr:col>
          <xdr:colOff>1581150</xdr:colOff>
          <xdr:row>21</xdr:row>
          <xdr:rowOff>247650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2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More countries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641350</xdr:colOff>
          <xdr:row>0</xdr:row>
          <xdr:rowOff>0</xdr:rowOff>
        </xdr:from>
        <xdr:to>
          <xdr:col>9</xdr:col>
          <xdr:colOff>2336800</xdr:colOff>
          <xdr:row>1</xdr:row>
          <xdr:rowOff>171450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8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Calibri"/>
                  <a:ea typeface="Calibri"/>
                  <a:cs typeface="Calibri"/>
                </a:rPr>
                <a:t>zum Namensbereich springen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641350</xdr:colOff>
          <xdr:row>0</xdr:row>
          <xdr:rowOff>0</xdr:rowOff>
        </xdr:from>
        <xdr:to>
          <xdr:col>9</xdr:col>
          <xdr:colOff>2336800</xdr:colOff>
          <xdr:row>1</xdr:row>
          <xdr:rowOff>171450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800-000002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Calibri"/>
                  <a:ea typeface="Calibri"/>
                  <a:cs typeface="Calibri"/>
                </a:rPr>
                <a:t>zum Namensbereich springen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641350</xdr:colOff>
          <xdr:row>0</xdr:row>
          <xdr:rowOff>0</xdr:rowOff>
        </xdr:from>
        <xdr:to>
          <xdr:col>9</xdr:col>
          <xdr:colOff>2336800</xdr:colOff>
          <xdr:row>1</xdr:row>
          <xdr:rowOff>171450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9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Calibri"/>
                  <a:ea typeface="Calibri"/>
                  <a:cs typeface="Calibri"/>
                </a:rPr>
                <a:t>zum Namensbereich springen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a:themeElements>
    <a:clrScheme name="ky_bunt">
      <a:dk1>
        <a:sysClr val="windowText" lastClr="000000"/>
      </a:dk1>
      <a:lt1>
        <a:srgbClr val="FFFFFF"/>
      </a:lt1>
      <a:dk2>
        <a:srgbClr val="5353FF"/>
      </a:dk2>
      <a:lt2>
        <a:srgbClr val="DCF5FF"/>
      </a:lt2>
      <a:accent1>
        <a:srgbClr val="FF7171"/>
      </a:accent1>
      <a:accent2>
        <a:srgbClr val="9AD749"/>
      </a:accent2>
      <a:accent3>
        <a:srgbClr val="FFF014"/>
      </a:accent3>
      <a:accent4>
        <a:srgbClr val="F2B336"/>
      </a:accent4>
      <a:accent5>
        <a:srgbClr val="A8FE52"/>
      </a:accent5>
      <a:accent6>
        <a:srgbClr val="CF90FE"/>
      </a:accent6>
      <a:hlink>
        <a:srgbClr val="0000FF"/>
      </a:hlink>
      <a:folHlink>
        <a:srgbClr val="CC00CC"/>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5.xml"/><Relationship Id="rId4" Type="http://schemas.openxmlformats.org/officeDocument/2006/relationships/ctrlProp" Target="../ctrlProps/ctrlProp23.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9.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19D-A4D8-4584-BA2B-A1CF3DF6987D}">
  <sheetPr codeName="Sheet16"/>
  <dimension ref="B2:J17"/>
  <sheetViews>
    <sheetView tabSelected="1" workbookViewId="0">
      <selection activeCell="K10" sqref="K10"/>
    </sheetView>
  </sheetViews>
  <sheetFormatPr baseColWidth="10" defaultColWidth="8.7265625" defaultRowHeight="14.5" x14ac:dyDescent="0.35"/>
  <cols>
    <col min="1" max="16384" width="8.7265625" style="385"/>
  </cols>
  <sheetData>
    <row r="2" spans="2:10" ht="14.5" customHeight="1" x14ac:dyDescent="0.35">
      <c r="B2" s="899" t="s">
        <v>4652</v>
      </c>
      <c r="C2" s="899"/>
      <c r="D2" s="899"/>
      <c r="E2" s="899"/>
      <c r="F2" s="899"/>
      <c r="G2" s="899"/>
      <c r="H2" s="899"/>
      <c r="I2" s="899"/>
      <c r="J2" s="899"/>
    </row>
    <row r="3" spans="2:10" ht="14.5" customHeight="1" x14ac:dyDescent="0.35">
      <c r="B3" s="899"/>
      <c r="C3" s="899"/>
      <c r="D3" s="899"/>
      <c r="E3" s="899"/>
      <c r="F3" s="899"/>
      <c r="G3" s="899"/>
      <c r="H3" s="899"/>
      <c r="I3" s="899"/>
      <c r="J3" s="899"/>
    </row>
    <row r="4" spans="2:10" ht="14.5" customHeight="1" x14ac:dyDescent="0.35">
      <c r="B4" s="899"/>
      <c r="C4" s="899"/>
      <c r="D4" s="899"/>
      <c r="E4" s="899"/>
      <c r="F4" s="899"/>
      <c r="G4" s="899"/>
      <c r="H4" s="899"/>
      <c r="I4" s="899"/>
      <c r="J4" s="899"/>
    </row>
    <row r="5" spans="2:10" ht="14.5" customHeight="1" x14ac:dyDescent="0.35">
      <c r="B5" s="899"/>
      <c r="C5" s="899"/>
      <c r="D5" s="899"/>
      <c r="E5" s="899"/>
      <c r="F5" s="899"/>
      <c r="G5" s="899"/>
      <c r="H5" s="899"/>
      <c r="I5" s="899"/>
      <c r="J5" s="899"/>
    </row>
    <row r="6" spans="2:10" ht="14.5" customHeight="1" x14ac:dyDescent="0.35">
      <c r="B6" s="899"/>
      <c r="C6" s="899"/>
      <c r="D6" s="899"/>
      <c r="E6" s="899"/>
      <c r="F6" s="899"/>
      <c r="G6" s="899"/>
      <c r="H6" s="899"/>
      <c r="I6" s="899"/>
      <c r="J6" s="899"/>
    </row>
    <row r="7" spans="2:10" ht="14.5" customHeight="1" x14ac:dyDescent="0.35">
      <c r="B7" s="899"/>
      <c r="C7" s="899"/>
      <c r="D7" s="899"/>
      <c r="E7" s="899"/>
      <c r="F7" s="899"/>
      <c r="G7" s="899"/>
      <c r="H7" s="899"/>
      <c r="I7" s="899"/>
      <c r="J7" s="899"/>
    </row>
    <row r="8" spans="2:10" ht="14.5" customHeight="1" x14ac:dyDescent="0.35">
      <c r="B8" s="899"/>
      <c r="C8" s="899"/>
      <c r="D8" s="899"/>
      <c r="E8" s="899"/>
      <c r="F8" s="899"/>
      <c r="G8" s="899"/>
      <c r="H8" s="899"/>
      <c r="I8" s="899"/>
      <c r="J8" s="899"/>
    </row>
    <row r="9" spans="2:10" ht="14.5" customHeight="1" x14ac:dyDescent="0.35">
      <c r="B9" s="899"/>
      <c r="C9" s="899"/>
      <c r="D9" s="899"/>
      <c r="E9" s="899"/>
      <c r="F9" s="899"/>
      <c r="G9" s="899"/>
      <c r="H9" s="899"/>
      <c r="I9" s="899"/>
      <c r="J9" s="899"/>
    </row>
    <row r="10" spans="2:10" ht="14.5" customHeight="1" x14ac:dyDescent="0.35">
      <c r="B10" s="899"/>
      <c r="C10" s="899"/>
      <c r="D10" s="899"/>
      <c r="E10" s="899"/>
      <c r="F10" s="899"/>
      <c r="G10" s="899"/>
      <c r="H10" s="899"/>
      <c r="I10" s="899"/>
      <c r="J10" s="899"/>
    </row>
    <row r="11" spans="2:10" ht="14.5" customHeight="1" x14ac:dyDescent="0.35">
      <c r="B11" s="899"/>
      <c r="C11" s="899"/>
      <c r="D11" s="899"/>
      <c r="E11" s="899"/>
      <c r="F11" s="899"/>
      <c r="G11" s="899"/>
      <c r="H11" s="899"/>
      <c r="I11" s="899"/>
      <c r="J11" s="899"/>
    </row>
    <row r="12" spans="2:10" ht="14.5" customHeight="1" x14ac:dyDescent="0.35">
      <c r="B12" s="899"/>
      <c r="C12" s="899"/>
      <c r="D12" s="899"/>
      <c r="E12" s="899"/>
      <c r="F12" s="899"/>
      <c r="G12" s="899"/>
      <c r="H12" s="899"/>
      <c r="I12" s="899"/>
      <c r="J12" s="899"/>
    </row>
    <row r="13" spans="2:10" ht="14.5" customHeight="1" x14ac:dyDescent="0.35">
      <c r="B13" s="899"/>
      <c r="C13" s="899"/>
      <c r="D13" s="899"/>
      <c r="E13" s="899"/>
      <c r="F13" s="899"/>
      <c r="G13" s="899"/>
      <c r="H13" s="899"/>
      <c r="I13" s="899"/>
      <c r="J13" s="899"/>
    </row>
    <row r="14" spans="2:10" ht="14.5" customHeight="1" x14ac:dyDescent="0.35">
      <c r="B14" s="899"/>
      <c r="C14" s="899"/>
      <c r="D14" s="899"/>
      <c r="E14" s="899"/>
      <c r="F14" s="899"/>
      <c r="G14" s="899"/>
      <c r="H14" s="899"/>
      <c r="I14" s="899"/>
      <c r="J14" s="899"/>
    </row>
    <row r="15" spans="2:10" ht="14.5" customHeight="1" x14ac:dyDescent="0.35">
      <c r="B15" s="899"/>
      <c r="C15" s="899"/>
      <c r="D15" s="899"/>
      <c r="E15" s="899"/>
      <c r="F15" s="899"/>
      <c r="G15" s="899"/>
      <c r="H15" s="899"/>
      <c r="I15" s="899"/>
      <c r="J15" s="899"/>
    </row>
    <row r="16" spans="2:10" ht="14.5" customHeight="1" x14ac:dyDescent="0.35">
      <c r="B16" s="899"/>
      <c r="C16" s="899"/>
      <c r="D16" s="899"/>
      <c r="E16" s="899"/>
      <c r="F16" s="899"/>
      <c r="G16" s="899"/>
      <c r="H16" s="899"/>
      <c r="I16" s="899"/>
      <c r="J16" s="899"/>
    </row>
    <row r="17" spans="2:10" x14ac:dyDescent="0.35">
      <c r="B17" s="899"/>
      <c r="C17" s="899"/>
      <c r="D17" s="899"/>
      <c r="E17" s="899"/>
      <c r="F17" s="899"/>
      <c r="G17" s="899"/>
      <c r="H17" s="899"/>
      <c r="I17" s="899"/>
      <c r="J17" s="899"/>
    </row>
  </sheetData>
  <mergeCells count="1">
    <mergeCell ref="B2:J1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rgb="FFC6EFCE"/>
    <pageSetUpPr fitToPage="1"/>
  </sheetPr>
  <dimension ref="A1:O76"/>
  <sheetViews>
    <sheetView showGridLines="0" zoomScaleNormal="100" workbookViewId="0">
      <pane ySplit="1" topLeftCell="A2" activePane="bottomLeft" state="frozen"/>
      <selection pane="bottomLeft" activeCell="C4" sqref="C4:F4"/>
    </sheetView>
  </sheetViews>
  <sheetFormatPr baseColWidth="10" defaultColWidth="11.453125" defaultRowHeight="14.5" x14ac:dyDescent="0.35"/>
  <cols>
    <col min="1" max="1" width="6.1796875" style="2" customWidth="1"/>
    <col min="2" max="2" width="39.453125" customWidth="1"/>
    <col min="3" max="4" width="16.7265625" customWidth="1"/>
    <col min="5" max="5" width="13.81640625" customWidth="1"/>
    <col min="6" max="6" width="17" customWidth="1"/>
    <col min="7" max="7" width="15.7265625" customWidth="1"/>
    <col min="8" max="8" width="15.81640625" customWidth="1"/>
    <col min="9" max="9" width="17.26953125" bestFit="1" customWidth="1"/>
    <col min="10" max="10" width="19.453125" customWidth="1"/>
    <col min="11" max="11" width="15" customWidth="1"/>
    <col min="12" max="12" width="16.54296875" bestFit="1" customWidth="1"/>
    <col min="13" max="13" width="58.81640625" bestFit="1" customWidth="1"/>
    <col min="14" max="14" width="14.54296875" customWidth="1"/>
    <col min="15" max="15" width="12.81640625" style="236" customWidth="1"/>
  </cols>
  <sheetData>
    <row r="1" spans="1:15" ht="22" x14ac:dyDescent="0.35">
      <c r="A1" s="925" t="s">
        <v>0</v>
      </c>
      <c r="B1" s="926"/>
      <c r="C1" s="926"/>
      <c r="D1" s="926"/>
      <c r="E1" s="62" t="s">
        <v>4776</v>
      </c>
      <c r="F1" s="757"/>
      <c r="J1" s="536"/>
    </row>
    <row r="2" spans="1:15" ht="16" thickBot="1" x14ac:dyDescent="0.4">
      <c r="A2" s="537"/>
      <c r="B2" s="7" t="s">
        <v>1</v>
      </c>
      <c r="C2" s="7"/>
      <c r="D2" s="7"/>
      <c r="E2" s="7"/>
      <c r="F2" s="7"/>
      <c r="G2" s="7"/>
      <c r="H2" s="7"/>
      <c r="I2" s="7"/>
      <c r="J2" s="7"/>
      <c r="K2" s="7"/>
      <c r="L2" s="7"/>
      <c r="M2" s="7"/>
    </row>
    <row r="3" spans="1:15" x14ac:dyDescent="0.35">
      <c r="A3"/>
      <c r="B3" s="538" t="s">
        <v>2</v>
      </c>
      <c r="C3" s="930" t="s">
        <v>4774</v>
      </c>
      <c r="D3" s="931"/>
      <c r="E3" s="931"/>
      <c r="F3" s="932"/>
      <c r="H3" s="936" t="s">
        <v>3</v>
      </c>
      <c r="I3" s="937"/>
      <c r="J3" s="766" t="s">
        <v>440</v>
      </c>
      <c r="K3" s="539"/>
      <c r="L3" s="755"/>
      <c r="M3" s="875"/>
      <c r="O3" s="540"/>
    </row>
    <row r="4" spans="1:15" x14ac:dyDescent="0.35">
      <c r="B4" s="570" t="s">
        <v>12</v>
      </c>
      <c r="C4" s="933" t="s">
        <v>4775</v>
      </c>
      <c r="D4" s="934"/>
      <c r="E4" s="934"/>
      <c r="F4" s="935"/>
      <c r="H4" s="916" t="s">
        <v>5</v>
      </c>
      <c r="I4" s="917"/>
      <c r="J4" s="767" t="s">
        <v>155</v>
      </c>
      <c r="K4" s="541"/>
      <c r="O4"/>
    </row>
    <row r="5" spans="1:15" ht="15" customHeight="1" x14ac:dyDescent="0.35">
      <c r="B5" s="538" t="s">
        <v>4638</v>
      </c>
      <c r="C5" s="933" t="s">
        <v>489</v>
      </c>
      <c r="D5" s="934"/>
      <c r="E5" s="934"/>
      <c r="F5" s="935"/>
      <c r="H5" s="916" t="s">
        <v>7</v>
      </c>
      <c r="I5" s="917"/>
      <c r="J5" s="767">
        <v>10</v>
      </c>
      <c r="L5" s="755"/>
      <c r="O5" s="542"/>
    </row>
    <row r="6" spans="1:15" ht="15" thickBot="1" x14ac:dyDescent="0.4">
      <c r="B6" s="538" t="s">
        <v>8</v>
      </c>
      <c r="C6" s="933" t="s">
        <v>143</v>
      </c>
      <c r="D6" s="934"/>
      <c r="E6" s="934"/>
      <c r="F6" s="935"/>
      <c r="H6" s="918" t="s">
        <v>9</v>
      </c>
      <c r="I6" s="919"/>
      <c r="J6" s="768" t="s">
        <v>155</v>
      </c>
      <c r="L6" s="755"/>
      <c r="M6" s="756"/>
      <c r="O6" s="540"/>
    </row>
    <row r="7" spans="1:15" x14ac:dyDescent="0.35">
      <c r="B7" s="538" t="s">
        <v>4667</v>
      </c>
      <c r="C7" s="933" t="s">
        <v>95</v>
      </c>
      <c r="D7" s="934"/>
      <c r="E7" s="934"/>
      <c r="F7" s="935"/>
      <c r="H7" s="543" t="s">
        <v>11</v>
      </c>
      <c r="I7" s="920" t="s">
        <v>148</v>
      </c>
      <c r="J7" s="921"/>
    </row>
    <row r="8" spans="1:15" ht="15" customHeight="1" thickBot="1" x14ac:dyDescent="0.4">
      <c r="B8" s="570" t="s">
        <v>4</v>
      </c>
      <c r="C8" s="938" t="s">
        <v>196</v>
      </c>
      <c r="D8" s="939"/>
      <c r="E8" s="939"/>
      <c r="F8" s="940"/>
      <c r="H8" s="543" t="s">
        <v>13</v>
      </c>
      <c r="I8" s="923"/>
      <c r="J8" s="924"/>
      <c r="M8" s="236"/>
      <c r="O8"/>
    </row>
    <row r="9" spans="1:15" ht="15.5" x14ac:dyDescent="0.35">
      <c r="A9" s="537"/>
      <c r="B9" s="7" t="s">
        <v>14</v>
      </c>
      <c r="C9" s="7"/>
      <c r="D9" s="7"/>
      <c r="E9" s="7"/>
      <c r="F9" s="7"/>
      <c r="G9" s="7"/>
      <c r="H9" s="7"/>
      <c r="I9" s="7"/>
      <c r="J9" s="7"/>
      <c r="K9" s="7"/>
      <c r="L9" s="7"/>
      <c r="M9" s="7"/>
    </row>
    <row r="10" spans="1:15" ht="15" thickBot="1" x14ac:dyDescent="0.4">
      <c r="B10" s="945" t="str">
        <f xml:space="preserve"> "Exposure Information" &amp; " (minimum one entry required)"</f>
        <v>Exposure Information (minimum one entry required)</v>
      </c>
      <c r="C10" s="945"/>
      <c r="D10" s="15"/>
      <c r="E10" s="15"/>
      <c r="F10" s="946" t="str">
        <f xml:space="preserve"> IF(\selected_MidMarketNewBusiness = "Yes", "", "Risk Information")</f>
        <v/>
      </c>
      <c r="G10" s="946"/>
      <c r="H10" s="15"/>
      <c r="I10" s="15"/>
      <c r="J10" s="15"/>
      <c r="K10" s="15"/>
      <c r="L10" s="15"/>
      <c r="M10" s="15"/>
    </row>
    <row r="11" spans="1:15" ht="15" thickBot="1" x14ac:dyDescent="0.4">
      <c r="B11" s="538" t="s">
        <v>4590</v>
      </c>
      <c r="C11" s="772"/>
      <c r="D11" s="545" t="str">
        <f>IF(\selected_currency="","",INDEX(\reference_currency_code,MATCH(\selected_currency,INDEX(\reference_currency_longname,,),0),1))</f>
        <v>EUR</v>
      </c>
      <c r="F11" s="927" t="s">
        <v>16</v>
      </c>
      <c r="G11" s="928"/>
      <c r="H11" s="915" t="s">
        <v>2460</v>
      </c>
      <c r="I11" s="915"/>
      <c r="J11" s="915"/>
      <c r="K11" s="546" t="s">
        <v>17</v>
      </c>
      <c r="L11" s="769">
        <v>1</v>
      </c>
      <c r="M11" s="941" t="str">
        <f ca="1">IF( IF( Type_of_goods_filled_1, 1, 0) * \selected_typeofgoods_Class1_Split + IF( Type_of_goods_filled_2, 1, 0) * \selected_typeofgoods_Class2_Split + IF( Type_of_goods_filled_3, 1, 0) * \selected_typeofgoods_Class3_Split &lt;&gt;100%, "Type of goods split is currently " &amp;TEXT(  IF( Type_of_goods_filled_1, 1, 0) * \selected_typeofgoods_Class1_Split + IF( Type_of_goods_filled_2, 1, 0) * \selected_typeofgoods_Class2_Split + IF( Type_of_goods_filled_3, 1, 0) * \selected_typeofgoods_Class3_Split, "0%")&amp;"
It must add up to 100%. Please check!","")</f>
        <v/>
      </c>
      <c r="O11" s="547"/>
    </row>
    <row r="12" spans="1:15" ht="15" thickBot="1" x14ac:dyDescent="0.4">
      <c r="B12" s="548" t="s">
        <v>18</v>
      </c>
      <c r="C12" s="771"/>
      <c r="D12" s="545" t="str">
        <f>IF(\selected_currency="","",INDEX(\reference_currency_code,MATCH(\selected_currency,INDEX(\reference_currency_longname,,),0),1))</f>
        <v>EUR</v>
      </c>
      <c r="F12" s="902" t="s">
        <v>19</v>
      </c>
      <c r="G12" s="948"/>
      <c r="H12" s="929" t="s">
        <v>2477</v>
      </c>
      <c r="I12" s="929"/>
      <c r="J12" s="929"/>
      <c r="K12" s="549"/>
      <c r="L12" s="550"/>
      <c r="M12" s="941"/>
      <c r="O12" s="547"/>
    </row>
    <row r="13" spans="1:15" x14ac:dyDescent="0.35">
      <c r="B13" s="538" t="s">
        <v>80</v>
      </c>
      <c r="C13" s="770">
        <v>16212710</v>
      </c>
      <c r="D13" s="545" t="str">
        <f>IF(\selected_currency="","",INDEX(\reference_currency_code,MATCH(\selected_currency,INDEX(\reference_currency_longname,,), 0),1))</f>
        <v>EUR</v>
      </c>
      <c r="F13" s="904" t="s">
        <v>20</v>
      </c>
      <c r="G13" s="947"/>
      <c r="H13" s="922" t="s">
        <v>155</v>
      </c>
      <c r="I13" s="922"/>
      <c r="J13" s="922"/>
      <c r="K13" s="551"/>
      <c r="L13" s="552"/>
      <c r="M13" s="941"/>
      <c r="O13" s="547"/>
    </row>
    <row r="14" spans="1:15" ht="15" hidden="1" thickBot="1" x14ac:dyDescent="0.4">
      <c r="F14" s="904" t="s">
        <v>21</v>
      </c>
      <c r="G14" s="947"/>
      <c r="H14" s="922" t="s">
        <v>155</v>
      </c>
      <c r="I14" s="922"/>
      <c r="J14" s="922"/>
      <c r="K14" s="551"/>
      <c r="L14" s="552"/>
      <c r="M14" s="941"/>
      <c r="O14" s="547"/>
    </row>
    <row r="15" spans="1:15" hidden="1" x14ac:dyDescent="0.35">
      <c r="A15"/>
      <c r="F15" s="927" t="s">
        <v>22</v>
      </c>
      <c r="G15" s="928"/>
      <c r="H15" s="915"/>
      <c r="I15" s="915"/>
      <c r="J15" s="915"/>
      <c r="K15" s="546" t="s">
        <v>17</v>
      </c>
      <c r="L15" s="769"/>
      <c r="M15" s="941"/>
      <c r="O15" s="547"/>
    </row>
    <row r="16" spans="1:15" hidden="1" x14ac:dyDescent="0.35">
      <c r="A16"/>
      <c r="F16" s="902" t="s">
        <v>23</v>
      </c>
      <c r="G16" s="948"/>
      <c r="H16" s="929"/>
      <c r="I16" s="929"/>
      <c r="J16" s="929"/>
      <c r="K16" s="549"/>
      <c r="L16" s="553"/>
      <c r="M16" s="941"/>
    </row>
    <row r="17" spans="1:15" hidden="1" x14ac:dyDescent="0.35">
      <c r="A17"/>
      <c r="F17" s="904" t="s">
        <v>24</v>
      </c>
      <c r="G17" s="944"/>
      <c r="H17" s="922"/>
      <c r="I17" s="922"/>
      <c r="J17" s="922"/>
      <c r="K17" s="551"/>
      <c r="L17" s="552"/>
      <c r="M17" s="941"/>
      <c r="N17" s="554"/>
    </row>
    <row r="18" spans="1:15" ht="15" hidden="1" thickBot="1" x14ac:dyDescent="0.4">
      <c r="A18"/>
      <c r="F18" s="904" t="s">
        <v>25</v>
      </c>
      <c r="G18" s="944"/>
      <c r="H18" s="922"/>
      <c r="I18" s="922"/>
      <c r="J18" s="922"/>
      <c r="K18" s="551"/>
      <c r="L18" s="552"/>
      <c r="M18" s="941"/>
      <c r="N18" s="554"/>
    </row>
    <row r="19" spans="1:15" hidden="1" x14ac:dyDescent="0.35">
      <c r="A19"/>
      <c r="F19" s="927" t="s">
        <v>26</v>
      </c>
      <c r="G19" s="943"/>
      <c r="H19" s="915"/>
      <c r="I19" s="915"/>
      <c r="J19" s="915"/>
      <c r="K19" s="555" t="s">
        <v>17</v>
      </c>
      <c r="L19" s="769"/>
      <c r="M19" s="942"/>
      <c r="N19" s="554"/>
    </row>
    <row r="20" spans="1:15" hidden="1" x14ac:dyDescent="0.35">
      <c r="A20"/>
      <c r="F20" s="902" t="s">
        <v>27</v>
      </c>
      <c r="G20" s="903"/>
      <c r="H20" s="929"/>
      <c r="I20" s="929"/>
      <c r="J20" s="929"/>
      <c r="K20" s="556"/>
      <c r="L20" s="553"/>
      <c r="M20" s="942"/>
      <c r="N20" s="554"/>
    </row>
    <row r="21" spans="1:15" ht="15.75" hidden="1" customHeight="1" x14ac:dyDescent="0.35">
      <c r="A21"/>
      <c r="F21" s="904" t="s">
        <v>28</v>
      </c>
      <c r="G21" s="905"/>
      <c r="H21" s="929"/>
      <c r="I21" s="929"/>
      <c r="J21" s="929"/>
      <c r="K21" s="551"/>
      <c r="L21" s="552"/>
      <c r="M21" s="942"/>
      <c r="N21" s="554"/>
    </row>
    <row r="22" spans="1:15" ht="15.75" hidden="1" customHeight="1" thickBot="1" x14ac:dyDescent="0.4">
      <c r="A22"/>
      <c r="F22" s="906" t="s">
        <v>29</v>
      </c>
      <c r="G22" s="907"/>
      <c r="H22" s="909"/>
      <c r="I22" s="909"/>
      <c r="J22" s="909"/>
      <c r="K22" s="557"/>
      <c r="L22" s="558"/>
      <c r="M22" s="942"/>
      <c r="N22" s="554"/>
    </row>
    <row r="23" spans="1:15" hidden="1" x14ac:dyDescent="0.35">
      <c r="B23" s="544" t="s">
        <v>30</v>
      </c>
      <c r="C23" s="15"/>
      <c r="D23" s="15"/>
      <c r="E23" s="15"/>
      <c r="F23" s="15"/>
      <c r="G23" s="15"/>
      <c r="H23" s="15"/>
      <c r="I23" s="15"/>
      <c r="J23" s="15"/>
      <c r="K23" s="15"/>
      <c r="L23" s="15"/>
      <c r="M23" s="15"/>
    </row>
    <row r="24" spans="1:15" hidden="1" x14ac:dyDescent="0.35">
      <c r="B24" s="802"/>
      <c r="C24" s="803"/>
      <c r="D24" s="803"/>
      <c r="E24" s="803"/>
      <c r="F24" s="803"/>
      <c r="G24" s="803"/>
      <c r="H24" s="803"/>
      <c r="I24" s="803"/>
      <c r="J24" s="803"/>
      <c r="K24" s="803"/>
      <c r="L24" s="803"/>
      <c r="M24" s="803"/>
    </row>
    <row r="25" spans="1:15" hidden="1" x14ac:dyDescent="0.35">
      <c r="B25" s="802"/>
      <c r="C25" s="803"/>
      <c r="D25" s="803"/>
      <c r="E25" s="803"/>
      <c r="F25" s="803"/>
      <c r="G25" s="803"/>
      <c r="H25" s="803"/>
      <c r="I25" s="803"/>
      <c r="J25" s="803"/>
      <c r="K25" s="803"/>
      <c r="L25" s="803"/>
      <c r="M25" s="803"/>
    </row>
    <row r="26" spans="1:15" ht="14.5" hidden="1" customHeight="1" x14ac:dyDescent="0.35">
      <c r="B26" s="538" t="str" cm="1">
        <f t="array" ref="B26:B29" xml:space="preserve"> \reference_transportationtype</f>
        <v>Land</v>
      </c>
      <c r="C26" s="764">
        <v>0.1</v>
      </c>
      <c r="D26" s="912" t="str">
        <f>IF(SUM(C26:C29)&lt;&gt;100%,"Transportation type split is currently " &amp;TEXT(SUM(C26:C29),"0%")&amp;"
It must add up to 100%. Please check!","")</f>
        <v/>
      </c>
      <c r="E26" s="913"/>
      <c r="F26" s="913"/>
      <c r="G26" s="913"/>
      <c r="H26" s="914" t="s">
        <v>31</v>
      </c>
      <c r="I26" s="914"/>
      <c r="J26" s="914"/>
      <c r="K26" s="914"/>
      <c r="O26" s="547"/>
    </row>
    <row r="27" spans="1:15" ht="14.5" hidden="1" customHeight="1" x14ac:dyDescent="0.35">
      <c r="B27" s="538" t="str">
        <v>Rail</v>
      </c>
      <c r="C27" s="765">
        <v>0.1</v>
      </c>
      <c r="D27" s="912"/>
      <c r="E27" s="913"/>
      <c r="F27" s="913"/>
      <c r="G27" s="913"/>
      <c r="H27" s="914"/>
      <c r="I27" s="914"/>
      <c r="J27" s="914"/>
      <c r="K27" s="914"/>
      <c r="O27" s="547"/>
    </row>
    <row r="28" spans="1:15" ht="14.5" hidden="1" customHeight="1" x14ac:dyDescent="0.35">
      <c r="B28" s="538" t="str">
        <v>Sea</v>
      </c>
      <c r="C28" s="765">
        <v>0.75</v>
      </c>
      <c r="D28" s="912"/>
      <c r="E28" s="913"/>
      <c r="F28" s="913"/>
      <c r="G28" s="913"/>
      <c r="H28" s="914"/>
      <c r="I28" s="914"/>
      <c r="J28" s="914"/>
      <c r="K28" s="914"/>
      <c r="O28" s="547"/>
    </row>
    <row r="29" spans="1:15" ht="14.5" hidden="1" customHeight="1" x14ac:dyDescent="0.35">
      <c r="B29" s="538" t="str">
        <v>Air</v>
      </c>
      <c r="C29" s="765">
        <v>0.05</v>
      </c>
      <c r="D29" s="912"/>
      <c r="E29" s="913"/>
      <c r="F29" s="913"/>
      <c r="G29" s="913"/>
      <c r="H29" s="914"/>
      <c r="I29" s="914"/>
      <c r="J29" s="914"/>
      <c r="K29" s="914"/>
      <c r="O29" s="547"/>
    </row>
    <row r="30" spans="1:15" ht="15" thickBot="1" x14ac:dyDescent="0.4">
      <c r="B30" s="544" t="s">
        <v>32</v>
      </c>
      <c r="C30" s="15"/>
      <c r="D30" s="15"/>
      <c r="E30" s="15"/>
      <c r="F30" s="15"/>
      <c r="G30" s="15"/>
      <c r="H30" s="15"/>
      <c r="I30" s="15"/>
      <c r="J30" s="15"/>
      <c r="K30" s="15"/>
      <c r="L30" s="15"/>
      <c r="M30" s="15"/>
      <c r="O30" s="547"/>
    </row>
    <row r="31" spans="1:15" ht="15" customHeight="1" thickBot="1" x14ac:dyDescent="0.4">
      <c r="B31" s="548" t="s">
        <v>4654</v>
      </c>
      <c r="C31" s="763"/>
      <c r="D31" s="548" t="s">
        <v>4577</v>
      </c>
      <c r="E31" s="763"/>
      <c r="G31" s="908" t="str">
        <f xml:space="preserve"> IF( helper_geographicalScope_nationalWorldwideShowError, helper_geographicalScope_nationalWorldwideErrorMessage,
IF(helper_geographicalScope_filledCorrectlyShowError,
helper_geographicalScope_filledCorrectlyErrorMessage,
"" ))</f>
        <v>Attention! The detailed Geographical Scope currently does not add up to 100%. It currently only adds up to 0%!</v>
      </c>
      <c r="H31" s="908"/>
      <c r="I31" s="908"/>
      <c r="O31" s="547"/>
    </row>
    <row r="32" spans="1:15" ht="14.5" hidden="1" customHeight="1" x14ac:dyDescent="0.35">
      <c r="G32" s="908"/>
      <c r="H32" s="908"/>
      <c r="I32" s="908"/>
    </row>
    <row r="33" spans="1:15" ht="14.5" hidden="1" customHeight="1" x14ac:dyDescent="0.35">
      <c r="G33" s="908"/>
      <c r="H33" s="908"/>
      <c r="I33" s="908"/>
    </row>
    <row r="34" spans="1:15" ht="14.5" hidden="1" customHeight="1" x14ac:dyDescent="0.35">
      <c r="G34" s="908"/>
      <c r="H34" s="908"/>
      <c r="I34" s="908"/>
    </row>
    <row r="35" spans="1:15" ht="30" hidden="1" customHeight="1" x14ac:dyDescent="0.35">
      <c r="B35" s="589" t="s">
        <v>4578</v>
      </c>
      <c r="C35" s="560" t="s">
        <v>34</v>
      </c>
      <c r="D35" s="560" t="s">
        <v>35</v>
      </c>
      <c r="E35" s="589" t="s">
        <v>36</v>
      </c>
      <c r="F35" s="589" t="s">
        <v>37</v>
      </c>
      <c r="L35" s="794"/>
      <c r="M35" s="794"/>
      <c r="O35" s="547"/>
    </row>
    <row r="36" spans="1:15" ht="15" hidden="1" customHeight="1" x14ac:dyDescent="0.35">
      <c r="B36" s="758" t="s">
        <v>206</v>
      </c>
      <c r="C36" s="759" t="s">
        <v>292</v>
      </c>
      <c r="D36" s="759" t="s">
        <v>259</v>
      </c>
      <c r="E36" s="760">
        <v>0.1</v>
      </c>
      <c r="F36" s="726"/>
      <c r="G36" s="910" t="str">
        <f ca="1" xml:space="preserve"> IF(helper_geographicalScope_DoubleEntryShowError, helper_geographicalScope_DoubleEntryErrorMessage, "")</f>
        <v/>
      </c>
      <c r="H36" s="911"/>
      <c r="L36" s="795"/>
      <c r="M36" s="796"/>
      <c r="O36" s="547"/>
    </row>
    <row r="37" spans="1:15" ht="15" hidden="1" customHeight="1" x14ac:dyDescent="0.35">
      <c r="B37" s="758" t="s">
        <v>213</v>
      </c>
      <c r="C37" s="761" t="s">
        <v>259</v>
      </c>
      <c r="D37" s="761" t="s">
        <v>252</v>
      </c>
      <c r="E37" s="762">
        <v>0.1</v>
      </c>
      <c r="F37" s="727"/>
      <c r="G37" s="911"/>
      <c r="H37" s="911"/>
      <c r="L37" s="795"/>
      <c r="M37" s="796"/>
      <c r="O37" s="547"/>
    </row>
    <row r="38" spans="1:15" hidden="1" x14ac:dyDescent="0.35">
      <c r="B38" s="758"/>
      <c r="C38" s="761"/>
      <c r="D38" s="761"/>
      <c r="E38" s="762"/>
      <c r="F38" s="727"/>
      <c r="G38" s="911"/>
      <c r="H38" s="911"/>
      <c r="L38" s="795"/>
      <c r="M38" s="796"/>
      <c r="O38" s="547"/>
    </row>
    <row r="39" spans="1:15" hidden="1" x14ac:dyDescent="0.35">
      <c r="B39" s="758"/>
      <c r="C39" s="761"/>
      <c r="D39" s="761"/>
      <c r="E39" s="762"/>
      <c r="F39" s="727"/>
      <c r="G39" s="911"/>
      <c r="H39" s="911"/>
      <c r="L39" s="795"/>
      <c r="M39" s="796"/>
      <c r="O39" s="547"/>
    </row>
    <row r="40" spans="1:15" hidden="1" x14ac:dyDescent="0.35">
      <c r="B40" s="758"/>
      <c r="C40" s="761"/>
      <c r="D40" s="761"/>
      <c r="E40" s="762"/>
      <c r="F40" s="727"/>
      <c r="L40" s="795"/>
      <c r="M40" s="796"/>
      <c r="O40" s="547"/>
    </row>
    <row r="41" spans="1:15" hidden="1" x14ac:dyDescent="0.35">
      <c r="O41" s="547"/>
    </row>
    <row r="42" spans="1:15" hidden="1" x14ac:dyDescent="0.35">
      <c r="B42" s="544" t="s">
        <v>38</v>
      </c>
      <c r="C42" s="15"/>
      <c r="D42" s="544"/>
      <c r="E42" s="15"/>
      <c r="F42" s="544"/>
      <c r="G42" s="15"/>
      <c r="H42" s="544"/>
      <c r="I42" s="15"/>
      <c r="J42" s="544"/>
      <c r="K42" s="15"/>
      <c r="L42" s="544"/>
      <c r="M42" s="15"/>
    </row>
    <row r="43" spans="1:15" ht="15" hidden="1" thickBot="1" x14ac:dyDescent="0.4">
      <c r="B43" s="538" t="s">
        <v>40</v>
      </c>
      <c r="C43" s="728">
        <v>0.1</v>
      </c>
      <c r="D43" s="1"/>
      <c r="E43" s="1"/>
      <c r="G43" s="559"/>
      <c r="O43" s="547"/>
    </row>
    <row r="44" spans="1:15" x14ac:dyDescent="0.35">
      <c r="B44" s="15" t="s">
        <v>41</v>
      </c>
      <c r="C44" s="15"/>
      <c r="D44" s="15"/>
      <c r="E44" s="15" t="s">
        <v>42</v>
      </c>
      <c r="F44" s="15" t="s">
        <v>43</v>
      </c>
      <c r="G44" s="15" t="s">
        <v>44</v>
      </c>
      <c r="H44" s="15"/>
      <c r="I44" s="15"/>
      <c r="J44" s="15"/>
      <c r="K44" s="15"/>
      <c r="L44" s="15"/>
      <c r="M44" s="15"/>
      <c r="O44" s="547"/>
    </row>
    <row r="45" spans="1:15" ht="29" x14ac:dyDescent="0.35">
      <c r="C45" s="589" t="s">
        <v>45</v>
      </c>
      <c r="E45" s="901" t="s">
        <v>4589</v>
      </c>
      <c r="F45" s="901"/>
      <c r="G45" s="901"/>
      <c r="H45" s="590" t="s">
        <v>47</v>
      </c>
      <c r="N45" s="547"/>
      <c r="O45"/>
    </row>
    <row r="46" spans="1:15" ht="15" thickBot="1" x14ac:dyDescent="0.4">
      <c r="C46" s="561" t="str">
        <f>IF(\selected_currency="","",CONCATENATE("in ",INDEX(\reference_currency_code,MATCH(\selected_currency,INDEX(\reference_currency_longname,,),0),1)))</f>
        <v>in EUR</v>
      </c>
      <c r="D46" s="2"/>
      <c r="E46" s="561" t="str">
        <f>IF(\selected_currency="","",CONCATENATE(IF(\selected_conditions_deductibleProp_General="","in ","Min in "),INDEX(\reference_currency_code,MATCH(\selected_currency,INDEX(\reference_currency_longname,,),0),1)))</f>
        <v>in EUR</v>
      </c>
      <c r="F46" s="562" t="s">
        <v>48</v>
      </c>
      <c r="G46" s="561" t="str">
        <f>IF(\selected_currency="","",CONCATENATE("Max in ",INDEX(\reference_currency_code,MATCH(\selected_currency,INDEX(\reference_currency_longname,,),0),1)))</f>
        <v>Max in EUR</v>
      </c>
      <c r="H46" s="563" t="str">
        <f>IF(\selected_currency="","",CONCATENATE("Max in ",INDEX(\reference_currency_code,MATCH(\selected_currency,INDEX(\reference_currency_longname,,),0),1)))</f>
        <v>Max in EUR</v>
      </c>
      <c r="K46" s="564"/>
      <c r="N46" s="547"/>
      <c r="O46"/>
    </row>
    <row r="47" spans="1:15" ht="15" thickBot="1" x14ac:dyDescent="0.4">
      <c r="A47" s="565"/>
      <c r="B47" s="566" t="s">
        <v>49</v>
      </c>
      <c r="C47" s="774">
        <v>500000</v>
      </c>
      <c r="D47" s="567"/>
      <c r="E47" s="778">
        <v>125</v>
      </c>
      <c r="F47" s="779"/>
      <c r="G47" s="780"/>
      <c r="H47" s="781"/>
      <c r="I47" s="568"/>
      <c r="K47" s="564"/>
      <c r="N47" s="547"/>
      <c r="O47"/>
    </row>
    <row r="48" spans="1:15" hidden="1" x14ac:dyDescent="0.35">
      <c r="A48" s="569"/>
      <c r="B48" s="570" t="s">
        <v>50</v>
      </c>
      <c r="C48" s="773"/>
      <c r="E48" s="782"/>
      <c r="F48" s="783"/>
      <c r="G48" s="784"/>
      <c r="H48" s="785"/>
      <c r="N48" s="547"/>
      <c r="O48"/>
    </row>
    <row r="49" spans="1:15" hidden="1" x14ac:dyDescent="0.35">
      <c r="A49" s="569"/>
      <c r="B49" s="570" t="s">
        <v>4660</v>
      </c>
      <c r="C49" s="773"/>
      <c r="E49" s="782"/>
      <c r="F49" s="783"/>
      <c r="G49" s="784"/>
      <c r="H49" s="785"/>
      <c r="N49" s="547"/>
      <c r="O49"/>
    </row>
    <row r="50" spans="1:15" hidden="1" x14ac:dyDescent="0.35">
      <c r="A50" s="569"/>
      <c r="B50" s="538" t="s">
        <v>51</v>
      </c>
      <c r="C50" s="771">
        <v>5000000</v>
      </c>
      <c r="E50" s="782"/>
      <c r="F50" s="783"/>
      <c r="G50" s="784"/>
      <c r="H50" s="785"/>
      <c r="N50" s="547"/>
      <c r="O50"/>
    </row>
    <row r="51" spans="1:15" ht="15" hidden="1" thickBot="1" x14ac:dyDescent="0.4">
      <c r="A51" s="565"/>
      <c r="B51" s="566" t="s">
        <v>52</v>
      </c>
      <c r="C51" s="775"/>
      <c r="D51" s="567"/>
      <c r="E51" s="786"/>
      <c r="F51" s="787"/>
      <c r="G51" s="788"/>
      <c r="H51" s="789"/>
      <c r="N51" s="236"/>
      <c r="O51"/>
    </row>
    <row r="52" spans="1:15" ht="25" hidden="1" customHeight="1" thickBot="1" x14ac:dyDescent="0.4">
      <c r="A52" s="569"/>
      <c r="B52" s="570" t="s">
        <v>53</v>
      </c>
      <c r="C52" s="776"/>
      <c r="D52" s="226"/>
      <c r="E52" s="790"/>
      <c r="F52" s="791"/>
      <c r="G52" s="792"/>
      <c r="H52" s="793"/>
      <c r="N52" s="236"/>
      <c r="O52"/>
    </row>
    <row r="53" spans="1:15" ht="15" thickBot="1" x14ac:dyDescent="0.4">
      <c r="B53" s="538" t="s">
        <v>54</v>
      </c>
      <c r="C53" s="777"/>
      <c r="D53" s="571" t="s">
        <v>55</v>
      </c>
      <c r="E53" s="1"/>
      <c r="N53" s="236"/>
      <c r="O53"/>
    </row>
    <row r="54" spans="1:15" ht="15.5" x14ac:dyDescent="0.35">
      <c r="A54" s="537"/>
      <c r="B54" s="7" t="s">
        <v>59</v>
      </c>
      <c r="C54" s="7"/>
      <c r="D54" s="7"/>
      <c r="E54" s="7"/>
      <c r="F54" s="7"/>
      <c r="G54" s="7"/>
      <c r="H54" s="7"/>
      <c r="I54" s="7"/>
      <c r="J54" s="7"/>
      <c r="K54" s="7"/>
      <c r="L54" s="7"/>
      <c r="M54" s="7"/>
      <c r="O54"/>
    </row>
    <row r="55" spans="1:15" ht="29" x14ac:dyDescent="0.35">
      <c r="C55" s="589" t="s">
        <v>4576</v>
      </c>
      <c r="E55" s="900" t="s">
        <v>4589</v>
      </c>
      <c r="F55" s="901"/>
      <c r="G55" s="901"/>
      <c r="H55" s="590" t="s">
        <v>47</v>
      </c>
      <c r="O55"/>
    </row>
    <row r="56" spans="1:15" ht="15" thickBot="1" x14ac:dyDescent="0.4">
      <c r="C56" s="573" t="str">
        <f>IF(\selected_currency="","",CONCATENATE("in ",INDEX(\reference_currency_code,MATCH(\selected_currency,INDEX(\reference_currency_longname,,),0),1)))</f>
        <v>in EUR</v>
      </c>
      <c r="D56" s="2"/>
      <c r="E56" s="574" t="str">
        <f>IF(\selected_currency="","",CONCATENATE("in ",INDEX(\reference_currency_code,MATCH(\selected_currency,INDEX(\reference_currency_longname,,),0),1)))</f>
        <v>in EUR</v>
      </c>
      <c r="F56" s="572" t="s">
        <v>48</v>
      </c>
      <c r="G56" s="574" t="str">
        <f>IF(\selected_currency="","",CONCATENATE("Max in ",INDEX(\reference_currency_code,MATCH(\selected_currency,INDEX(\reference_currency_longname,,),0),1)))</f>
        <v>Max in EUR</v>
      </c>
      <c r="H56" s="574" t="str">
        <f>IF(\selected_currency="","",CONCATENATE("Max in ",INDEX(\reference_currency_code,MATCH(\selected_currency,INDEX(\reference_currency_longname,,),0),1)))</f>
        <v>Max in EUR</v>
      </c>
      <c r="O56"/>
    </row>
    <row r="57" spans="1:15" x14ac:dyDescent="0.35">
      <c r="A57" s="729" t="s">
        <v>155</v>
      </c>
      <c r="B57" s="575" t="s">
        <v>4600</v>
      </c>
      <c r="C57" s="592" t="str">
        <f>IF($A57="Yes",IF(C$47="","",C$47),"")</f>
        <v/>
      </c>
      <c r="D57" s="2"/>
      <c r="E57" s="593" t="str">
        <f t="shared" ref="E57:I60" si="0">IF($A57="Yes",IF(E$47="","",E$47),"")</f>
        <v/>
      </c>
      <c r="F57" s="594" t="str">
        <f t="shared" si="0"/>
        <v/>
      </c>
      <c r="G57" s="595" t="str">
        <f t="shared" si="0"/>
        <v/>
      </c>
      <c r="H57" s="596" t="str">
        <f t="shared" si="0"/>
        <v/>
      </c>
      <c r="I57" t="str">
        <f t="shared" si="0"/>
        <v/>
      </c>
      <c r="K57" s="568"/>
      <c r="O57"/>
    </row>
    <row r="58" spans="1:15" x14ac:dyDescent="0.35">
      <c r="A58" s="730" t="s">
        <v>155</v>
      </c>
      <c r="B58" s="576" t="s">
        <v>4601</v>
      </c>
      <c r="C58" s="597" t="str">
        <f>IF($A58="Yes",IF(C$47="","",C$47),"")</f>
        <v/>
      </c>
      <c r="D58" s="2"/>
      <c r="E58" s="598" t="str">
        <f t="shared" si="0"/>
        <v/>
      </c>
      <c r="F58" s="599" t="str">
        <f t="shared" si="0"/>
        <v/>
      </c>
      <c r="G58" s="600" t="str">
        <f t="shared" si="0"/>
        <v/>
      </c>
      <c r="H58" s="601" t="str">
        <f t="shared" si="0"/>
        <v/>
      </c>
      <c r="I58" t="str">
        <f t="shared" si="0"/>
        <v/>
      </c>
      <c r="O58"/>
    </row>
    <row r="59" spans="1:15" x14ac:dyDescent="0.35">
      <c r="A59" s="730" t="s">
        <v>155</v>
      </c>
      <c r="B59" s="576" t="s">
        <v>4602</v>
      </c>
      <c r="C59" s="597" t="str">
        <f>IF($A59="Yes",IF(C$47="","",C$47),"")</f>
        <v/>
      </c>
      <c r="D59" s="2"/>
      <c r="E59" s="598" t="str">
        <f t="shared" si="0"/>
        <v/>
      </c>
      <c r="F59" s="599" t="str">
        <f t="shared" si="0"/>
        <v/>
      </c>
      <c r="G59" s="600" t="str">
        <f t="shared" si="0"/>
        <v/>
      </c>
      <c r="H59" s="601" t="str">
        <f t="shared" si="0"/>
        <v/>
      </c>
      <c r="I59" t="str">
        <f t="shared" si="0"/>
        <v/>
      </c>
      <c r="O59"/>
    </row>
    <row r="60" spans="1:15" ht="15" thickBot="1" x14ac:dyDescent="0.4">
      <c r="A60" s="730" t="s">
        <v>155</v>
      </c>
      <c r="B60" s="576" t="s">
        <v>4603</v>
      </c>
      <c r="C60" s="827" t="str">
        <f>IF($A60="Yes",IF(C$47="","",C$47),"")</f>
        <v/>
      </c>
      <c r="D60" s="2"/>
      <c r="E60" s="829" t="str">
        <f t="shared" si="0"/>
        <v/>
      </c>
      <c r="F60" s="830" t="str">
        <f t="shared" si="0"/>
        <v/>
      </c>
      <c r="G60" s="831" t="str">
        <f t="shared" si="0"/>
        <v/>
      </c>
      <c r="H60" s="832" t="str">
        <f t="shared" si="0"/>
        <v/>
      </c>
      <c r="I60" t="str">
        <f t="shared" si="0"/>
        <v/>
      </c>
      <c r="O60"/>
    </row>
    <row r="61" spans="1:15" ht="15" hidden="1" thickBot="1" x14ac:dyDescent="0.4">
      <c r="A61"/>
      <c r="C61" s="826"/>
      <c r="O61"/>
    </row>
    <row r="62" spans="1:15" ht="15" thickBot="1" x14ac:dyDescent="0.4">
      <c r="A62" s="730" t="s">
        <v>155</v>
      </c>
      <c r="B62" s="576" t="s">
        <v>4607</v>
      </c>
      <c r="C62" s="828" t="str">
        <f>IF($A62="Yes",IF(C$47="","",C$47),"")</f>
        <v/>
      </c>
      <c r="D62" s="2"/>
      <c r="E62" s="833" t="str">
        <f>IF($A62="Yes",IF(E$47="","",E$47),"")</f>
        <v/>
      </c>
      <c r="F62" s="834" t="str">
        <f>IF($A62="Yes",IF(F$47="","",F$47),"")</f>
        <v/>
      </c>
      <c r="G62" s="835" t="str">
        <f>IF($A62="Yes",IF(G$47="","",G$47),"")</f>
        <v/>
      </c>
      <c r="H62" s="836" t="str">
        <f>IF($A62="Yes",IF(H$47="","",H$47),"")</f>
        <v/>
      </c>
      <c r="I62" t="str">
        <f>IF($A62="Yes",IF(I$47="","",I$47),"")</f>
        <v/>
      </c>
      <c r="O62"/>
    </row>
    <row r="63" spans="1:15" ht="15" hidden="1" thickBot="1" x14ac:dyDescent="0.4">
      <c r="A63"/>
      <c r="C63" s="826"/>
      <c r="O63"/>
    </row>
    <row r="64" spans="1:15" x14ac:dyDescent="0.35">
      <c r="A64" s="730" t="s">
        <v>155</v>
      </c>
      <c r="B64" s="576" t="s">
        <v>4604</v>
      </c>
      <c r="C64" s="837" t="str">
        <f>IF($A64="Yes",IF(C$47="","",C$47),"")</f>
        <v/>
      </c>
      <c r="D64" s="2"/>
      <c r="E64" s="883" t="str">
        <f t="shared" ref="E64:I66" si="1">IF($A64="Yes",IF(E$47="","",E$47),"")</f>
        <v/>
      </c>
      <c r="F64" s="884" t="str">
        <f t="shared" si="1"/>
        <v/>
      </c>
      <c r="G64" s="885" t="str">
        <f t="shared" si="1"/>
        <v/>
      </c>
      <c r="H64" s="886" t="str">
        <f t="shared" si="1"/>
        <v/>
      </c>
      <c r="I64" s="887" t="str">
        <f t="shared" si="1"/>
        <v/>
      </c>
      <c r="O64"/>
    </row>
    <row r="65" spans="1:15" x14ac:dyDescent="0.35">
      <c r="A65" s="730" t="s">
        <v>155</v>
      </c>
      <c r="B65" s="576" t="s">
        <v>4605</v>
      </c>
      <c r="C65" s="602" t="str">
        <f>IF($A65="Yes",IF(C$47="","",C$47),"")</f>
        <v/>
      </c>
      <c r="D65" s="2"/>
      <c r="E65" s="603" t="str">
        <f t="shared" si="1"/>
        <v/>
      </c>
      <c r="F65" s="604" t="str">
        <f t="shared" si="1"/>
        <v/>
      </c>
      <c r="G65" s="605" t="str">
        <f t="shared" si="1"/>
        <v/>
      </c>
      <c r="H65" s="606" t="str">
        <f t="shared" si="1"/>
        <v/>
      </c>
      <c r="I65" t="str">
        <f t="shared" si="1"/>
        <v/>
      </c>
      <c r="O65"/>
    </row>
    <row r="66" spans="1:15" ht="15" thickBot="1" x14ac:dyDescent="0.4">
      <c r="A66" s="730" t="s">
        <v>155</v>
      </c>
      <c r="B66" s="576" t="s">
        <v>4606</v>
      </c>
      <c r="C66" s="602" t="str">
        <f>IF($A66="Yes",IF(C$47="","",C$47),"")</f>
        <v/>
      </c>
      <c r="D66" s="2"/>
      <c r="E66" s="841" t="str">
        <f t="shared" si="1"/>
        <v/>
      </c>
      <c r="F66" s="842" t="str">
        <f t="shared" si="1"/>
        <v/>
      </c>
      <c r="G66" s="843" t="str">
        <f t="shared" si="1"/>
        <v/>
      </c>
      <c r="H66" s="844" t="str">
        <f t="shared" si="1"/>
        <v/>
      </c>
      <c r="I66" t="str">
        <f t="shared" si="1"/>
        <v/>
      </c>
      <c r="O66"/>
    </row>
    <row r="67" spans="1:15" ht="15.5" x14ac:dyDescent="0.35">
      <c r="A67" s="537"/>
      <c r="B67" s="7" t="s">
        <v>4538</v>
      </c>
      <c r="C67" s="7"/>
      <c r="D67" s="7"/>
      <c r="E67" s="7"/>
      <c r="F67" s="7"/>
      <c r="G67" s="7"/>
      <c r="H67" s="7"/>
      <c r="I67" s="7"/>
      <c r="J67" s="7"/>
      <c r="K67" s="7"/>
      <c r="L67" s="7"/>
      <c r="M67" s="7"/>
    </row>
    <row r="68" spans="1:15" ht="29" x14ac:dyDescent="0.35">
      <c r="A68"/>
      <c r="B68" s="845" t="s">
        <v>4534</v>
      </c>
      <c r="C68" s="845" t="s">
        <v>4655</v>
      </c>
      <c r="O68"/>
    </row>
    <row r="69" spans="1:15" x14ac:dyDescent="0.35">
      <c r="A69"/>
      <c r="B69" s="758"/>
      <c r="C69" s="846"/>
      <c r="O69"/>
    </row>
    <row r="70" spans="1:15" x14ac:dyDescent="0.35">
      <c r="A70"/>
      <c r="O70"/>
    </row>
    <row r="71" spans="1:15" x14ac:dyDescent="0.35">
      <c r="A71"/>
      <c r="B71" s="845" t="s">
        <v>4656</v>
      </c>
      <c r="C71" s="855">
        <f ca="1" xml:space="preserve"> calc_userTechnicalAdjustment - 1</f>
        <v>0</v>
      </c>
      <c r="O71"/>
    </row>
    <row r="72" spans="1:15" ht="16" thickBot="1" x14ac:dyDescent="0.4">
      <c r="A72" s="537"/>
      <c r="B72" s="7" t="s">
        <v>4665</v>
      </c>
      <c r="C72" s="7"/>
      <c r="D72" s="7"/>
      <c r="E72" s="7"/>
      <c r="F72" s="7"/>
      <c r="G72" s="7"/>
      <c r="H72" s="7"/>
      <c r="I72" s="7"/>
      <c r="J72" s="7"/>
      <c r="K72" s="7"/>
      <c r="L72" s="7"/>
      <c r="M72" s="7"/>
    </row>
    <row r="73" spans="1:15" ht="43.5" x14ac:dyDescent="0.35">
      <c r="B73" s="548" t="s">
        <v>4609</v>
      </c>
      <c r="C73" s="856"/>
      <c r="D73" s="545" t="str">
        <f>IF(\selected_currency="","",INDEX(\reference_currency_code,MATCH(\selected_currency,INDEX(\reference_currency_longname,,), 0),1))</f>
        <v>EUR</v>
      </c>
    </row>
    <row r="75" spans="1:15" x14ac:dyDescent="0.35">
      <c r="B75" s="577"/>
      <c r="C75" s="578"/>
      <c r="D75" s="579"/>
    </row>
    <row r="76" spans="1:15" x14ac:dyDescent="0.35">
      <c r="B76" s="577"/>
      <c r="C76" s="578"/>
      <c r="D76" s="579"/>
    </row>
  </sheetData>
  <sheetProtection algorithmName="SHA-512" hashValue="12eepSbtJFoF8tAZjYwcT3V9myEJsl43opTwBxzLzcesyOMnMV02GCY9l4O2TxBxr7Jxg0bXYh6f5bXmEzbR2Q==" saltValue="Q0SAmL5G0LA8/GnbzeicZg==" spinCount="100000" sheet="1" formatCells="0" formatColumns="0" formatRows="0" insertRows="0" autoFilter="0"/>
  <sortState xmlns:xlrd2="http://schemas.microsoft.com/office/spreadsheetml/2017/richdata2" ref="B58:B61">
    <sortCondition ref="B58:B61"/>
  </sortState>
  <dataConsolidate/>
  <mergeCells count="46">
    <mergeCell ref="M11:M22"/>
    <mergeCell ref="H20:J20"/>
    <mergeCell ref="H21:J21"/>
    <mergeCell ref="C4:F4"/>
    <mergeCell ref="F19:G19"/>
    <mergeCell ref="F17:G17"/>
    <mergeCell ref="F18:G18"/>
    <mergeCell ref="H18:J18"/>
    <mergeCell ref="B10:C10"/>
    <mergeCell ref="F10:G10"/>
    <mergeCell ref="F13:G13"/>
    <mergeCell ref="H12:J12"/>
    <mergeCell ref="F12:G12"/>
    <mergeCell ref="F15:G15"/>
    <mergeCell ref="F16:G16"/>
    <mergeCell ref="F14:G14"/>
    <mergeCell ref="A1:D1"/>
    <mergeCell ref="F11:G11"/>
    <mergeCell ref="H15:J15"/>
    <mergeCell ref="H16:J16"/>
    <mergeCell ref="C3:F3"/>
    <mergeCell ref="C5:F5"/>
    <mergeCell ref="C6:F6"/>
    <mergeCell ref="H3:I3"/>
    <mergeCell ref="C7:F7"/>
    <mergeCell ref="C8:F8"/>
    <mergeCell ref="H19:J19"/>
    <mergeCell ref="H4:I4"/>
    <mergeCell ref="H6:I6"/>
    <mergeCell ref="H11:J11"/>
    <mergeCell ref="I7:J7"/>
    <mergeCell ref="H13:J13"/>
    <mergeCell ref="H17:J17"/>
    <mergeCell ref="H5:I5"/>
    <mergeCell ref="I8:J8"/>
    <mergeCell ref="H14:J14"/>
    <mergeCell ref="E55:G55"/>
    <mergeCell ref="F20:G20"/>
    <mergeCell ref="E45:G45"/>
    <mergeCell ref="F21:G21"/>
    <mergeCell ref="F22:G22"/>
    <mergeCell ref="G31:I34"/>
    <mergeCell ref="H22:J22"/>
    <mergeCell ref="G36:H39"/>
    <mergeCell ref="D26:G29"/>
    <mergeCell ref="H26:K29"/>
  </mergeCells>
  <phoneticPr fontId="38" type="noConversion"/>
  <conditionalFormatting sqref="D26">
    <cfRule type="expression" dxfId="139" priority="195">
      <formula>D26&lt;&gt;""</formula>
    </cfRule>
  </conditionalFormatting>
  <conditionalFormatting sqref="A57:A60 A62 A64:A66">
    <cfRule type="expression" dxfId="138" priority="191">
      <formula>$A57="Yes"</formula>
    </cfRule>
  </conditionalFormatting>
  <conditionalFormatting sqref="F1:K1">
    <cfRule type="expression" dxfId="137" priority="187">
      <formula>\selected_status="accepted"</formula>
    </cfRule>
    <cfRule type="expression" dxfId="136" priority="188">
      <formula>\selected_status="offered"</formula>
    </cfRule>
  </conditionalFormatting>
  <conditionalFormatting sqref="F1:J1">
    <cfRule type="expression" dxfId="135" priority="189">
      <formula>\selected_status="declined"</formula>
    </cfRule>
  </conditionalFormatting>
  <conditionalFormatting sqref="M11:M22">
    <cfRule type="expression" dxfId="134" priority="194">
      <formula>M11&lt;&gt;""</formula>
    </cfRule>
  </conditionalFormatting>
  <conditionalFormatting sqref="L11 L15 L19">
    <cfRule type="expression" dxfId="133" priority="190">
      <formula>AND(H11&lt;&gt;"",L11="")</formula>
    </cfRule>
  </conditionalFormatting>
  <conditionalFormatting sqref="E57:H60 E62:H62 E64:H66">
    <cfRule type="expression" dxfId="132" priority="192">
      <formula>$B57=""</formula>
    </cfRule>
  </conditionalFormatting>
  <conditionalFormatting sqref="E57:H60 E62:H62 E64:H66 C57:C66">
    <cfRule type="expression" dxfId="131" priority="185">
      <formula>$A57="No"</formula>
    </cfRule>
    <cfRule type="expression" dxfId="130" priority="193">
      <formula>C57&lt;&gt;C$47</formula>
    </cfRule>
  </conditionalFormatting>
  <conditionalFormatting sqref="C57:C66">
    <cfRule type="expression" dxfId="129" priority="186">
      <formula>$B57=""</formula>
    </cfRule>
  </conditionalFormatting>
  <conditionalFormatting sqref="G31">
    <cfRule type="expression" dxfId="128" priority="196">
      <formula>G31&lt;&gt;""</formula>
    </cfRule>
  </conditionalFormatting>
  <conditionalFormatting sqref="G36:H39">
    <cfRule type="expression" dxfId="127" priority="225">
      <formula>G36&lt;&gt;""</formula>
    </cfRule>
  </conditionalFormatting>
  <conditionalFormatting sqref="H3:I3">
    <cfRule type="expression" dxfId="126" priority="35">
      <formula>ISERROR(H3)</formula>
    </cfRule>
  </conditionalFormatting>
  <conditionalFormatting sqref="J3">
    <cfRule type="expression" dxfId="125" priority="31">
      <formula>ISERROR(J3)</formula>
    </cfRule>
  </conditionalFormatting>
  <conditionalFormatting sqref="F11:M22 B35:F38 K35:M38 G36:H39 G31 B36:B40 B39:M43 B23:M25 B27:C29 B26:D26 H26 L26:M29 B48:H53">
    <cfRule type="expression" dxfId="124" priority="22">
      <formula>\selected_MidMarketNewBusiness = "Yes"</formula>
    </cfRule>
  </conditionalFormatting>
  <conditionalFormatting sqref="A72:M72">
    <cfRule type="expression" dxfId="123" priority="19">
      <formula>ISERROR(A72)</formula>
    </cfRule>
  </conditionalFormatting>
  <conditionalFormatting sqref="B73">
    <cfRule type="expression" dxfId="122" priority="18">
      <formula>ISERROR(B73)</formula>
    </cfRule>
  </conditionalFormatting>
  <conditionalFormatting sqref="C73">
    <cfRule type="expression" dxfId="121" priority="16">
      <formula>ISERROR(C73)</formula>
    </cfRule>
  </conditionalFormatting>
  <conditionalFormatting sqref="B75:B76">
    <cfRule type="expression" dxfId="120" priority="14">
      <formula>ISERROR(B75)</formula>
    </cfRule>
  </conditionalFormatting>
  <conditionalFormatting sqref="C76">
    <cfRule type="expression" dxfId="119" priority="13">
      <formula>ISERROR(C76)</formula>
    </cfRule>
  </conditionalFormatting>
  <conditionalFormatting sqref="C75">
    <cfRule type="expression" dxfId="118" priority="12">
      <formula>ISERROR(C75)</formula>
    </cfRule>
  </conditionalFormatting>
  <conditionalFormatting sqref="D75:D76">
    <cfRule type="expression" dxfId="117" priority="11">
      <formula>ISERROR(D75)</formula>
    </cfRule>
  </conditionalFormatting>
  <conditionalFormatting sqref="H5:J5">
    <cfRule type="expression" dxfId="116" priority="9">
      <formula xml:space="preserve"> $J$4 &lt;&gt; "Yes"</formula>
    </cfRule>
  </conditionalFormatting>
  <conditionalFormatting sqref="C31 E31">
    <cfRule type="expression" dxfId="115" priority="404">
      <formula xml:space="preserve"> helper_geographicalScope_nationalWorldwideShowError</formula>
    </cfRule>
  </conditionalFormatting>
  <conditionalFormatting sqref="E36:E40">
    <cfRule type="expression" dxfId="114" priority="419">
      <formula>AND($G$31&lt;&gt;"",E36&lt;&gt;"")</formula>
    </cfRule>
  </conditionalFormatting>
  <conditionalFormatting sqref="G37:H39">
    <cfRule type="expression" dxfId="113" priority="424">
      <formula>$B36="zz"</formula>
    </cfRule>
  </conditionalFormatting>
  <conditionalFormatting sqref="B41">
    <cfRule type="expression" dxfId="112" priority="431">
      <formula>COUNTIF($M$35:$M$40,#REF!)&gt;1</formula>
    </cfRule>
  </conditionalFormatting>
  <conditionalFormatting sqref="A67:M67">
    <cfRule type="expression" dxfId="111" priority="4">
      <formula>ISERROR(A67)</formula>
    </cfRule>
  </conditionalFormatting>
  <conditionalFormatting sqref="B69:C69">
    <cfRule type="expression" dxfId="110" priority="2">
      <formula xml:space="preserve"> B69 =""</formula>
    </cfRule>
  </conditionalFormatting>
  <conditionalFormatting sqref="C31">
    <cfRule type="expression" dxfId="109" priority="467">
      <formula>AND($G$31&lt;&gt;"",C31&lt;&gt;"",$C$7&lt;&gt;"Yes")</formula>
    </cfRule>
  </conditionalFormatting>
  <dataValidations xWindow="1365" yWindow="573" count="29">
    <dataValidation type="list" allowBlank="1" showInputMessage="1" showErrorMessage="1" sqref="C6:F6" xr:uid="{00000000-0002-0000-0100-000000000000}">
      <formula1>\reference_currency_longname</formula1>
    </dataValidation>
    <dataValidation type="list" allowBlank="1" showInputMessage="1" showErrorMessage="1" sqref="C8" xr:uid="{00000000-0002-0000-0100-000001000000}">
      <formula1>\reference_industry_longname</formula1>
    </dataValidation>
    <dataValidation type="list" allowBlank="1" showInputMessage="1" showErrorMessage="1" sqref="H17:J18 H13:J14 H21:J22 J4 A64:A66 A57:A60 A62 C7" xr:uid="{00000000-0002-0000-0100-000002000000}">
      <formula1>\reference_YesNo</formula1>
    </dataValidation>
    <dataValidation type="list" allowBlank="1" showInputMessage="1" showErrorMessage="1" sqref="C5:F5" xr:uid="{00000000-0002-0000-0100-000003000000}">
      <formula1>\reference_riskcountry_name</formula1>
    </dataValidation>
    <dataValidation type="list" allowBlank="1" showInputMessage="1" showErrorMessage="1" promptTitle="Subsidiaries included?" prompt="Required for reporting purposes. Turnover of subsidiaries should be included in overall turnover, hence, no additional risk exposure expected." sqref="J6" xr:uid="{00000000-0002-0000-0100-000004000000}">
      <formula1>\reference_YesNo</formula1>
    </dataValidation>
    <dataValidation type="list" allowBlank="1" showInputMessage="1" showErrorMessage="1" sqref="I7" xr:uid="{00000000-0002-0000-0100-000005000000}">
      <formula1 xml:space="preserve"> INDIRECT( \reference_covertype1_DropDown )</formula1>
    </dataValidation>
    <dataValidation type="whole" allowBlank="1" showInputMessage="1" showErrorMessage="1" errorTitle="Please check!" error="Number of days too high." promptTitle="Maximum Days" prompt="Please enter the maximum number of days for storage in the ordinary course of transit." sqref="C53" xr:uid="{14985399-9BED-425A-A93B-9257305F57D2}">
      <formula1>0</formula1>
      <formula2>90</formula2>
    </dataValidation>
    <dataValidation type="list" allowBlank="1" showInputMessage="1" showErrorMessage="1" sqref="I8" xr:uid="{1236EEB3-CA62-4F54-9EF1-3DB3E2E22E26}">
      <formula1 xml:space="preserve"> INDIRECT(\reference_covertype2_DropDown)</formula1>
    </dataValidation>
    <dataValidation type="decimal" allowBlank="1" showInputMessage="1" showErrorMessage="1" errorTitle="Invalid input" error="Only values higher than negative 20%" sqref="L35:M35" xr:uid="{1105BF31-F148-428D-90DE-9D4A966A9C7E}">
      <formula1>-0.2</formula1>
      <formula2>99999999999999</formula2>
    </dataValidation>
    <dataValidation type="list" allowBlank="1" showInputMessage="1" showErrorMessage="1" sqref="H19:J19 H11:J11 H15:J15" xr:uid="{0F80C807-A70B-45BB-AC38-8EB1A5AE1012}">
      <formula1>\reference_typeofgoods1</formula1>
    </dataValidation>
    <dataValidation type="list" allowBlank="1" showInputMessage="1" showErrorMessage="1" sqref="H12:J12" xr:uid="{884748A1-5797-4228-AE82-4616438FE862}">
      <formula1>INDIRECT(ListenName_1_R)</formula1>
    </dataValidation>
    <dataValidation type="decimal" allowBlank="1" showInputMessage="1" showErrorMessage="1" errorTitle="Wrong input" error="Only between 0% and 100%" sqref="C26:C29 L11 C31 L19 L15 I39:K40 E36:E40 C43" xr:uid="{A2F4A208-E294-474C-BA72-D1AB2E9CFD41}">
      <formula1>0</formula1>
      <formula2>1</formula2>
    </dataValidation>
    <dataValidation type="decimal" allowBlank="1" showInputMessage="1" showErrorMessage="1" errorTitle="Wrong input" error="Only positive numbers." sqref="C47:E52 G47:H52 G57:H60 C57:E60 C64:E66 C62:E62 G62:H62 G64:H66" xr:uid="{BA2D7647-71A6-46DC-B2A9-85F7A0C19D44}">
      <formula1>0</formula1>
      <formula2>999999999999999000</formula2>
    </dataValidation>
    <dataValidation type="list" allowBlank="1" showInputMessage="1" showErrorMessage="1" sqref="H16:J16" xr:uid="{37AFCB61-7229-48B2-A9B6-FEEFF5059C50}">
      <formula1>INDIRECT(ListenName_2_R)</formula1>
    </dataValidation>
    <dataValidation type="decimal" allowBlank="1" showInputMessage="1" showErrorMessage="1" errorTitle="Wrong input" error="Only positive numbers." sqref="F47:F52 F57:F60 F62 F64:F66" xr:uid="{E17C21A2-58BF-47D2-9D8C-9C90AFF99875}">
      <formula1>0</formula1>
      <formula2>1</formula2>
    </dataValidation>
    <dataValidation type="list" allowBlank="1" showInputMessage="1" showErrorMessage="1" sqref="H20:J20" xr:uid="{3DFD8AF7-808A-4E9B-81D2-05AF42539FF3}">
      <formula1>INDIRECT(ListenName_3_R)</formula1>
    </dataValidation>
    <dataValidation allowBlank="1" showInputMessage="1" showErrorMessage="1" errorTitle="Wrong input" error="Only between 0% and 100%" sqref="D35:F35 G31" xr:uid="{816318AD-3444-4A0D-BB16-4F1CB903B115}"/>
    <dataValidation type="list" allowBlank="1" showInputMessage="1" showErrorMessage="1" sqref="B36:B40" xr:uid="{7EBB097F-6A0A-4914-AB56-658FB22AA1FC}">
      <formula1>\reference_purchaseshipment</formula1>
    </dataValidation>
    <dataValidation type="list" allowBlank="1" showInputMessage="1" showErrorMessage="1" sqref="C36:C40" xr:uid="{15A39480-078B-4EF8-8125-31B8BD703FEE}">
      <formula1>\reference_region</formula1>
    </dataValidation>
    <dataValidation type="list" allowBlank="1" showInputMessage="1" showErrorMessage="1" errorTitle="Wrong input" error="Only between 0% and 100%" sqref="D36:D40" xr:uid="{EB886D0C-9D5E-47D7-908F-D67704EFA5EE}">
      <formula1>\reference_region</formula1>
    </dataValidation>
    <dataValidation type="list" allowBlank="1" showInputMessage="1" showErrorMessage="1" sqref="C61" xr:uid="{5037BEA3-034D-4B9A-8C04-0AC720A405F8}">
      <formula1>\reference_warstrikecountry_name</formula1>
    </dataValidation>
    <dataValidation type="list" allowBlank="1" showInputMessage="1" showErrorMessage="1" sqref="J3" xr:uid="{598997BD-7DEA-4BBB-A5DA-AD4E54D29E5E}">
      <formula1 xml:space="preserve"> INDIRECT(\reference_typeofparticipation_DropDown)</formula1>
    </dataValidation>
    <dataValidation type="custom" allowBlank="1" showInputMessage="1" showErrorMessage="1" errorTitle="Invalid UWWB-ID" error="Please enter an UWWB-ID in the format MA-1234567." sqref="M6" xr:uid="{9848A8C9-552A-4EE1-A378-11FEB8EC91B0}">
      <formula1 xml:space="preserve"> AND( LEFT( M6, 3 ) = "MA-", VALUE(RIGHT(M6, 7)) &gt; 0, LEN(M6) = 10 )</formula1>
    </dataValidation>
    <dataValidation type="decimal" operator="greaterThanOrEqual" allowBlank="1" showInputMessage="1" showErrorMessage="1" errorTitle="Invalid Number" error="Please enter a non-negative number." sqref="C73" xr:uid="{77D50BD8-B0B7-4299-BF6E-405181834EAA}">
      <formula1>0</formula1>
    </dataValidation>
    <dataValidation type="whole" operator="greaterThan" allowBlank="1" showInputMessage="1" showErrorMessage="1" sqref="J5" xr:uid="{834EAC6C-411B-4FF8-9B9D-3023F2202CB6}">
      <formula1>0</formula1>
    </dataValidation>
    <dataValidation type="custom" allowBlank="1" showInputMessage="1" showErrorMessage="1" errorTitle="Invalid Partner-ID" error="Please enter a Partner ID in the format P-123-123-123-1." sqref="C4" xr:uid="{486786B4-05F9-459E-8EB2-EFABD694E218}">
      <formula1 xml:space="preserve"> AND( LEFT(C4, 2) = "P-", MID(C4, 6, 1) = "-", MID(C4, 10, 1) = "-", MID(C4, 14, 1) = "-", IF( ISNUMBER( _xlfn.NUMBERVALUE( MID(C4, 3, 3) )), _xlfn.NUMBERVALUE( MID(C4, 3, 3) ) &gt; 0 ), IF( ISNUMBER( _xlfn.NUMBERVALUE( MID(C4, 7, 3) )), _xlfn.NUMBERVALUE( MID(C4, 7, 3) ) &gt; 0 ), IF( ISNUMBER( _xlfn.NUMBERVALUE( MID(C4, 11, 3) )), _xlfn.NUMBERVALUE( MID(C4, 11, 3) ) &gt; 0 ), ISNUMBER( _xlfn.NUMBERVALUE( RIGHT(C4, 1) )) )</formula1>
    </dataValidation>
    <dataValidation type="custom" allowBlank="1" showInputMessage="1" showErrorMessage="1" errorTitle="Invalid discount/surcharge" error="The discount/surcharge has to be input as a number (e.g. -20%)." sqref="F36:F40" xr:uid="{83415954-3A9E-40ED-B860-1ABE0D378B24}">
      <formula1 xml:space="preserve"> ISNUMBER(F36)</formula1>
    </dataValidation>
    <dataValidation type="custom" allowBlank="1" showInputMessage="1" showErrorMessage="1" errorTitle="Invalid Value" error="Please enter a number larger or equal to 0." sqref="C13 C11:C12" xr:uid="{1DA02EEA-61F2-4654-A701-3038CFC82AFE}">
      <formula1 xml:space="preserve"> AND( C11 &gt;= 0, ISNUMBER(C11))</formula1>
    </dataValidation>
    <dataValidation type="list" allowBlank="1" showInputMessage="1" showErrorMessage="1" sqref="B69" xr:uid="{17EE076A-8368-421A-AF48-2EB779C2D5BB}">
      <formula1 xml:space="preserve"> \reference_technicalAdjustment_transit_reasons</formula1>
    </dataValidation>
  </dataValidations>
  <pageMargins left="0.39370078740157483" right="0.39370078740157483" top="0.39370078740157483" bottom="0.39370078740157483" header="0.31496062992125984" footer="0.31496062992125984"/>
  <pageSetup paperSize="9"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30" r:id="rId4" name="Button 62">
              <controlPr defaultSize="0" print="0" autoFill="0" autoPict="0" macro="[0]!NeueZeilen_in_GeoScope">
                <anchor moveWithCells="1" sizeWithCells="1">
                  <from>
                    <xdr:col>1</xdr:col>
                    <xdr:colOff>57150</xdr:colOff>
                    <xdr:row>34</xdr:row>
                    <xdr:rowOff>38100</xdr:rowOff>
                  </from>
                  <to>
                    <xdr:col>1</xdr:col>
                    <xdr:colOff>831850</xdr:colOff>
                    <xdr:row>34</xdr:row>
                    <xdr:rowOff>336550</xdr:rowOff>
                  </to>
                </anchor>
              </controlPr>
            </control>
          </mc:Choice>
        </mc:AlternateContent>
        <mc:AlternateContent xmlns:mc="http://schemas.openxmlformats.org/markup-compatibility/2006">
          <mc:Choice Requires="x14">
            <control shapeId="7205" r:id="rId5" name="Button 37">
              <controlPr defaultSize="0" print="0" autoFill="0" autoPict="0" macro="[0]!NeueZeile_in_Krieg">
                <anchor moveWithCells="1" sizeWithCells="1">
                  <from>
                    <xdr:col>1</xdr:col>
                    <xdr:colOff>1028700</xdr:colOff>
                    <xdr:row>60</xdr:row>
                    <xdr:rowOff>12700</xdr:rowOff>
                  </from>
                  <to>
                    <xdr:col>1</xdr:col>
                    <xdr:colOff>2609850</xdr:colOff>
                    <xdr:row>60</xdr:row>
                    <xdr:rowOff>184150</xdr:rowOff>
                  </to>
                </anchor>
              </controlPr>
            </control>
          </mc:Choice>
        </mc:AlternateContent>
        <mc:AlternateContent xmlns:mc="http://schemas.openxmlformats.org/markup-compatibility/2006">
          <mc:Choice Requires="x14">
            <control shapeId="7216" r:id="rId6" name="Button 48">
              <controlPr defaultSize="0" print="0" autoFill="0" autoPict="0" macro="[0]!NeueZeile_in_Streik">
                <anchor moveWithCells="1" sizeWithCells="1">
                  <from>
                    <xdr:col>1</xdr:col>
                    <xdr:colOff>1028700</xdr:colOff>
                    <xdr:row>62</xdr:row>
                    <xdr:rowOff>12700</xdr:rowOff>
                  </from>
                  <to>
                    <xdr:col>1</xdr:col>
                    <xdr:colOff>2609850</xdr:colOff>
                    <xdr:row>62</xdr:row>
                    <xdr:rowOff>184150</xdr:rowOff>
                  </to>
                </anchor>
              </controlPr>
            </control>
          </mc:Choice>
        </mc:AlternateContent>
        <mc:AlternateContent xmlns:mc="http://schemas.openxmlformats.org/markup-compatibility/2006">
          <mc:Choice Requires="x14">
            <control shapeId="7234" r:id="rId7" name="Button 66">
              <controlPr defaultSize="0" print="0" autoFill="0" autoPict="0" macro="[0]!ClearInputSheetRequest">
                <anchor moveWithCells="1" sizeWithCells="1">
                  <from>
                    <xdr:col>9</xdr:col>
                    <xdr:colOff>774700</xdr:colOff>
                    <xdr:row>0</xdr:row>
                    <xdr:rowOff>12700</xdr:rowOff>
                  </from>
                  <to>
                    <xdr:col>10</xdr:col>
                    <xdr:colOff>603250</xdr:colOff>
                    <xdr:row>0</xdr:row>
                    <xdr:rowOff>266700</xdr:rowOff>
                  </to>
                </anchor>
              </controlPr>
            </control>
          </mc:Choice>
        </mc:AlternateContent>
        <mc:AlternateContent xmlns:mc="http://schemas.openxmlformats.org/markup-compatibility/2006">
          <mc:Choice Requires="x14">
            <control shapeId="7235" r:id="rId8" name="Button 67">
              <controlPr defaultSize="0" print="0" autoFill="0" autoPict="0" macro="[0]!prepare_Feedback">
                <anchor moveWithCells="1" sizeWithCells="1">
                  <from>
                    <xdr:col>5</xdr:col>
                    <xdr:colOff>1181100</xdr:colOff>
                    <xdr:row>0</xdr:row>
                    <xdr:rowOff>12700</xdr:rowOff>
                  </from>
                  <to>
                    <xdr:col>7</xdr:col>
                    <xdr:colOff>19050</xdr:colOff>
                    <xdr:row>1</xdr:row>
                    <xdr:rowOff>0</xdr:rowOff>
                  </to>
                </anchor>
              </controlPr>
            </control>
          </mc:Choice>
        </mc:AlternateContent>
        <mc:AlternateContent xmlns:mc="http://schemas.openxmlformats.org/markup-compatibility/2006">
          <mc:Choice Requires="x14">
            <control shapeId="7236" r:id="rId9" name="Button 68">
              <controlPr defaultSize="0" print="0" autoFill="0" autoPict="0" macro="[0]!prepare_Help">
                <anchor moveWithCells="1" sizeWithCells="1">
                  <from>
                    <xdr:col>7</xdr:col>
                    <xdr:colOff>50800</xdr:colOff>
                    <xdr:row>0</xdr:row>
                    <xdr:rowOff>12700</xdr:rowOff>
                  </from>
                  <to>
                    <xdr:col>8</xdr:col>
                    <xdr:colOff>69850</xdr:colOff>
                    <xdr:row>1</xdr:row>
                    <xdr:rowOff>0</xdr:rowOff>
                  </to>
                </anchor>
              </controlPr>
            </control>
          </mc:Choice>
        </mc:AlternateContent>
        <mc:AlternateContent xmlns:mc="http://schemas.openxmlformats.org/markup-compatibility/2006">
          <mc:Choice Requires="x14">
            <control shapeId="7242" r:id="rId10" name="CB_DetailedGeographicalScope">
              <controlPr defaultSize="0" autoFill="0" autoLine="0" autoPict="0" macro="[0]!checkBox_detailedGeographicalScope" altText="Are detailed shipment/purchase routes available?">
                <anchor moveWithCells="1">
                  <from>
                    <xdr:col>4</xdr:col>
                    <xdr:colOff>400050</xdr:colOff>
                    <xdr:row>31</xdr:row>
                    <xdr:rowOff>31750</xdr:rowOff>
                  </from>
                  <to>
                    <xdr:col>5</xdr:col>
                    <xdr:colOff>1162050</xdr:colOff>
                    <xdr:row>44</xdr:row>
                    <xdr:rowOff>184150</xdr:rowOff>
                  </to>
                </anchor>
              </controlPr>
            </control>
          </mc:Choice>
        </mc:AlternateContent>
        <mc:AlternateContent xmlns:mc="http://schemas.openxmlformats.org/markup-compatibility/2006">
          <mc:Choice Requires="x14">
            <control shapeId="7244" r:id="rId11" name="CB_TransportationType">
              <controlPr defaultSize="0" autoFill="0" autoLine="0" autoPict="0" macro="[0]!CheckBox_TransportationType" altText="Type of transportation split available?">
                <anchor moveWithCells="1">
                  <from>
                    <xdr:col>0</xdr:col>
                    <xdr:colOff>431800</xdr:colOff>
                    <xdr:row>23</xdr:row>
                    <xdr:rowOff>0</xdr:rowOff>
                  </from>
                  <to>
                    <xdr:col>3</xdr:col>
                    <xdr:colOff>12700</xdr:colOff>
                    <xdr:row>30</xdr:row>
                    <xdr:rowOff>31750</xdr:rowOff>
                  </to>
                </anchor>
              </controlPr>
            </control>
          </mc:Choice>
        </mc:AlternateContent>
        <mc:AlternateContent xmlns:mc="http://schemas.openxmlformats.org/markup-compatibility/2006">
          <mc:Choice Requires="x14">
            <control shapeId="7251" r:id="rId12" name="CB_Exhibitions">
              <controlPr defaultSize="0" autoFill="0" autoLine="0" autoPict="0" macro="[0]!CheckBox_Exhibitions">
                <anchor moveWithCells="1">
                  <from>
                    <xdr:col>0</xdr:col>
                    <xdr:colOff>12700</xdr:colOff>
                    <xdr:row>56</xdr:row>
                    <xdr:rowOff>0</xdr:rowOff>
                  </from>
                  <to>
                    <xdr:col>1</xdr:col>
                    <xdr:colOff>2755900</xdr:colOff>
                    <xdr:row>57</xdr:row>
                    <xdr:rowOff>0</xdr:rowOff>
                  </to>
                </anchor>
              </controlPr>
            </control>
          </mc:Choice>
        </mc:AlternateContent>
        <mc:AlternateContent xmlns:mc="http://schemas.openxmlformats.org/markup-compatibility/2006">
          <mc:Choice Requires="x14">
            <control shapeId="7254" r:id="rId13" name="CB_ConsequentialDamage">
              <controlPr defaultSize="0" autoFill="0" autoLine="0" autoPict="0" macro="[0]!CheckBox_ConsequentialDamage">
                <anchor moveWithCells="1">
                  <from>
                    <xdr:col>0</xdr:col>
                    <xdr:colOff>0</xdr:colOff>
                    <xdr:row>57</xdr:row>
                    <xdr:rowOff>12700</xdr:rowOff>
                  </from>
                  <to>
                    <xdr:col>1</xdr:col>
                    <xdr:colOff>2755900</xdr:colOff>
                    <xdr:row>57</xdr:row>
                    <xdr:rowOff>184150</xdr:rowOff>
                  </to>
                </anchor>
              </controlPr>
            </control>
          </mc:Choice>
        </mc:AlternateContent>
        <mc:AlternateContent xmlns:mc="http://schemas.openxmlformats.org/markup-compatibility/2006">
          <mc:Choice Requires="x14">
            <control shapeId="7255" r:id="rId14" name="CB_FinancialLoss">
              <controlPr defaultSize="0" autoFill="0" autoLine="0" autoPict="0" macro="[0]!CheckBox_FinancialLoss">
                <anchor moveWithCells="1">
                  <from>
                    <xdr:col>0</xdr:col>
                    <xdr:colOff>0</xdr:colOff>
                    <xdr:row>58</xdr:row>
                    <xdr:rowOff>12700</xdr:rowOff>
                  </from>
                  <to>
                    <xdr:col>1</xdr:col>
                    <xdr:colOff>2755900</xdr:colOff>
                    <xdr:row>58</xdr:row>
                    <xdr:rowOff>184150</xdr:rowOff>
                  </to>
                </anchor>
              </controlPr>
            </control>
          </mc:Choice>
        </mc:AlternateContent>
        <mc:AlternateContent xmlns:mc="http://schemas.openxmlformats.org/markup-compatibility/2006">
          <mc:Choice Requires="x14">
            <control shapeId="7256" r:id="rId15" name="CB_War">
              <controlPr defaultSize="0" autoFill="0" autoLine="0" autoPict="0" macro="[0]!CheckBox_War">
                <anchor moveWithCells="1">
                  <from>
                    <xdr:col>0</xdr:col>
                    <xdr:colOff>12700</xdr:colOff>
                    <xdr:row>59</xdr:row>
                    <xdr:rowOff>12700</xdr:rowOff>
                  </from>
                  <to>
                    <xdr:col>1</xdr:col>
                    <xdr:colOff>2755900</xdr:colOff>
                    <xdr:row>59</xdr:row>
                    <xdr:rowOff>184150</xdr:rowOff>
                  </to>
                </anchor>
              </controlPr>
            </control>
          </mc:Choice>
        </mc:AlternateContent>
        <mc:AlternateContent xmlns:mc="http://schemas.openxmlformats.org/markup-compatibility/2006">
          <mc:Choice Requires="x14">
            <control shapeId="7258" r:id="rId16" name="CB_Luggage">
              <controlPr defaultSize="0" autoFill="0" autoLine="0" autoPict="0" macro="[0]!CheckBox_Luggage">
                <anchor moveWithCells="1">
                  <from>
                    <xdr:col>0</xdr:col>
                    <xdr:colOff>0</xdr:colOff>
                    <xdr:row>63</xdr:row>
                    <xdr:rowOff>12700</xdr:rowOff>
                  </from>
                  <to>
                    <xdr:col>1</xdr:col>
                    <xdr:colOff>2755900</xdr:colOff>
                    <xdr:row>64</xdr:row>
                    <xdr:rowOff>0</xdr:rowOff>
                  </to>
                </anchor>
              </controlPr>
            </control>
          </mc:Choice>
        </mc:AlternateContent>
        <mc:AlternateContent xmlns:mc="http://schemas.openxmlformats.org/markup-compatibility/2006">
          <mc:Choice Requires="x14">
            <control shapeId="7259" r:id="rId17" name="CB_Cyber">
              <controlPr defaultSize="0" autoFill="0" autoLine="0" autoPict="0" macro="[0]!CheckBox_Cyber">
                <anchor moveWithCells="1">
                  <from>
                    <xdr:col>0</xdr:col>
                    <xdr:colOff>0</xdr:colOff>
                    <xdr:row>64</xdr:row>
                    <xdr:rowOff>12700</xdr:rowOff>
                  </from>
                  <to>
                    <xdr:col>1</xdr:col>
                    <xdr:colOff>2755900</xdr:colOff>
                    <xdr:row>65</xdr:row>
                    <xdr:rowOff>0</xdr:rowOff>
                  </to>
                </anchor>
              </controlPr>
            </control>
          </mc:Choice>
        </mc:AlternateContent>
        <mc:AlternateContent xmlns:mc="http://schemas.openxmlformats.org/markup-compatibility/2006">
          <mc:Choice Requires="x14">
            <control shapeId="7260" r:id="rId18" name="CB_Pandemic">
              <controlPr defaultSize="0" autoFill="0" autoLine="0" autoPict="0" macro="[0]!CheckBox_Pandemic">
                <anchor moveWithCells="1">
                  <from>
                    <xdr:col>0</xdr:col>
                    <xdr:colOff>0</xdr:colOff>
                    <xdr:row>65</xdr:row>
                    <xdr:rowOff>12700</xdr:rowOff>
                  </from>
                  <to>
                    <xdr:col>1</xdr:col>
                    <xdr:colOff>2755900</xdr:colOff>
                    <xdr:row>66</xdr:row>
                    <xdr:rowOff>0</xdr:rowOff>
                  </to>
                </anchor>
              </controlPr>
            </control>
          </mc:Choice>
        </mc:AlternateContent>
        <mc:AlternateContent xmlns:mc="http://schemas.openxmlformats.org/markup-compatibility/2006">
          <mc:Choice Requires="x14">
            <control shapeId="7262" r:id="rId19" name="CB_StrikeAndRiot">
              <controlPr defaultSize="0" autoFill="0" autoLine="0" autoPict="0" macro="[0]!CheckBox_StrikeAndRiot">
                <anchor moveWithCells="1">
                  <from>
                    <xdr:col>0</xdr:col>
                    <xdr:colOff>0</xdr:colOff>
                    <xdr:row>61</xdr:row>
                    <xdr:rowOff>0</xdr:rowOff>
                  </from>
                  <to>
                    <xdr:col>1</xdr:col>
                    <xdr:colOff>2755900</xdr:colOff>
                    <xdr:row>61</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66" id="{00000000-000E-0000-0000-0000B0010000}">
            <xm:f>'Error Correction'!$T2</xm:f>
            <x14:dxf>
              <fill>
                <patternFill>
                  <bgColor rgb="FFFFFF00"/>
                </patternFill>
              </fill>
            </x14:dxf>
          </x14:cfRule>
          <xm:sqref>B36:D40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02963-AE13-4ED8-A5EB-FEEBEBE7199A}">
  <sheetPr codeName="Sheet17"/>
  <dimension ref="A1:B173"/>
  <sheetViews>
    <sheetView workbookViewId="0">
      <selection activeCell="A22" sqref="A22"/>
    </sheetView>
  </sheetViews>
  <sheetFormatPr baseColWidth="10" defaultColWidth="9.1796875" defaultRowHeight="14.5" x14ac:dyDescent="0.35"/>
  <cols>
    <col min="1" max="1" width="52.1796875" bestFit="1" customWidth="1"/>
    <col min="2" max="2" width="58.81640625" bestFit="1" customWidth="1"/>
  </cols>
  <sheetData>
    <row r="1" spans="1:2" x14ac:dyDescent="0.35">
      <c r="A1" t="s">
        <v>64</v>
      </c>
      <c r="B1" t="s">
        <v>65</v>
      </c>
    </row>
    <row r="2" spans="1:2" x14ac:dyDescent="0.35">
      <c r="A2" t="s">
        <v>1243</v>
      </c>
    </row>
    <row r="3" spans="1:2" x14ac:dyDescent="0.35">
      <c r="A3" t="s">
        <v>1070</v>
      </c>
    </row>
    <row r="4" spans="1:2" x14ac:dyDescent="0.35">
      <c r="A4" t="s">
        <v>1160</v>
      </c>
    </row>
    <row r="5" spans="1:2" x14ac:dyDescent="0.35">
      <c r="A5" t="s">
        <v>1204</v>
      </c>
    </row>
    <row r="6" spans="1:2" x14ac:dyDescent="0.35">
      <c r="A6" t="s">
        <v>933</v>
      </c>
    </row>
    <row r="7" spans="1:2" x14ac:dyDescent="0.35">
      <c r="A7" t="s">
        <v>1287</v>
      </c>
    </row>
    <row r="8" spans="1:2" x14ac:dyDescent="0.35">
      <c r="A8" t="s">
        <v>1343</v>
      </c>
    </row>
    <row r="9" spans="1:2" x14ac:dyDescent="0.35">
      <c r="A9" t="s">
        <v>1116</v>
      </c>
    </row>
    <row r="10" spans="1:2" x14ac:dyDescent="0.35">
      <c r="A10" t="s">
        <v>1267</v>
      </c>
    </row>
    <row r="11" spans="1:2" x14ac:dyDescent="0.35">
      <c r="A11" t="s">
        <v>1095</v>
      </c>
    </row>
    <row r="12" spans="1:2" x14ac:dyDescent="0.35">
      <c r="A12" t="s">
        <v>1182</v>
      </c>
    </row>
    <row r="13" spans="1:2" x14ac:dyDescent="0.35">
      <c r="A13" t="s">
        <v>1223</v>
      </c>
    </row>
    <row r="14" spans="1:2" x14ac:dyDescent="0.35">
      <c r="A14" t="s">
        <v>961</v>
      </c>
    </row>
    <row r="15" spans="1:2" x14ac:dyDescent="0.35">
      <c r="A15" t="s">
        <v>1306</v>
      </c>
    </row>
    <row r="16" spans="1:2" x14ac:dyDescent="0.35">
      <c r="A16" t="s">
        <v>1362</v>
      </c>
    </row>
    <row r="17" spans="1:1" x14ac:dyDescent="0.35">
      <c r="A17" t="s">
        <v>1139</v>
      </c>
    </row>
    <row r="18" spans="1:1" x14ac:dyDescent="0.35">
      <c r="A18" t="s">
        <v>1260</v>
      </c>
    </row>
    <row r="19" spans="1:1" x14ac:dyDescent="0.35">
      <c r="A19" t="s">
        <v>1088</v>
      </c>
    </row>
    <row r="20" spans="1:1" x14ac:dyDescent="0.35">
      <c r="A20" t="s">
        <v>1175</v>
      </c>
    </row>
    <row r="21" spans="1:1" x14ac:dyDescent="0.35">
      <c r="A21" t="s">
        <v>1217</v>
      </c>
    </row>
    <row r="22" spans="1:1" x14ac:dyDescent="0.35">
      <c r="A22" t="s">
        <v>952</v>
      </c>
    </row>
    <row r="23" spans="1:1" x14ac:dyDescent="0.35">
      <c r="A23" t="s">
        <v>1299</v>
      </c>
    </row>
    <row r="24" spans="1:1" x14ac:dyDescent="0.35">
      <c r="A24" t="s">
        <v>1356</v>
      </c>
    </row>
    <row r="25" spans="1:1" x14ac:dyDescent="0.35">
      <c r="A25" t="s">
        <v>1131</v>
      </c>
    </row>
    <row r="26" spans="1:1" x14ac:dyDescent="0.35">
      <c r="A26" t="s">
        <v>1252</v>
      </c>
    </row>
    <row r="27" spans="1:1" x14ac:dyDescent="0.35">
      <c r="A27" t="s">
        <v>1080</v>
      </c>
    </row>
    <row r="28" spans="1:1" x14ac:dyDescent="0.35">
      <c r="A28" t="s">
        <v>1166</v>
      </c>
    </row>
    <row r="29" spans="1:1" x14ac:dyDescent="0.35">
      <c r="A29" t="s">
        <v>1210</v>
      </c>
    </row>
    <row r="30" spans="1:1" x14ac:dyDescent="0.35">
      <c r="A30" t="s">
        <v>942</v>
      </c>
    </row>
    <row r="31" spans="1:1" x14ac:dyDescent="0.35">
      <c r="A31" t="s">
        <v>1293</v>
      </c>
    </row>
    <row r="32" spans="1:1" x14ac:dyDescent="0.35">
      <c r="A32" t="s">
        <v>1350</v>
      </c>
    </row>
    <row r="33" spans="1:1" x14ac:dyDescent="0.35">
      <c r="A33" t="s">
        <v>1123</v>
      </c>
    </row>
    <row r="34" spans="1:1" x14ac:dyDescent="0.35">
      <c r="A34" t="s">
        <v>1235</v>
      </c>
    </row>
    <row r="35" spans="1:1" x14ac:dyDescent="0.35">
      <c r="A35" t="s">
        <v>1062</v>
      </c>
    </row>
    <row r="36" spans="1:1" x14ac:dyDescent="0.35">
      <c r="A36" t="s">
        <v>1152</v>
      </c>
    </row>
    <row r="37" spans="1:1" x14ac:dyDescent="0.35">
      <c r="A37" t="s">
        <v>1197</v>
      </c>
    </row>
    <row r="38" spans="1:1" x14ac:dyDescent="0.35">
      <c r="A38" t="s">
        <v>923</v>
      </c>
    </row>
    <row r="39" spans="1:1" x14ac:dyDescent="0.35">
      <c r="A39" t="s">
        <v>1280</v>
      </c>
    </row>
    <row r="40" spans="1:1" x14ac:dyDescent="0.35">
      <c r="A40" t="s">
        <v>1338</v>
      </c>
    </row>
    <row r="41" spans="1:1" x14ac:dyDescent="0.35">
      <c r="A41" t="s">
        <v>1109</v>
      </c>
    </row>
    <row r="42" spans="1:1" x14ac:dyDescent="0.35">
      <c r="A42" t="s">
        <v>4644</v>
      </c>
    </row>
    <row r="43" spans="1:1" x14ac:dyDescent="0.35">
      <c r="A43" t="s">
        <v>4640</v>
      </c>
    </row>
    <row r="44" spans="1:1" x14ac:dyDescent="0.35">
      <c r="A44" t="s">
        <v>4642</v>
      </c>
    </row>
    <row r="45" spans="1:1" x14ac:dyDescent="0.35">
      <c r="A45" t="s">
        <v>4643</v>
      </c>
    </row>
    <row r="46" spans="1:1" x14ac:dyDescent="0.35">
      <c r="A46" t="s">
        <v>4639</v>
      </c>
    </row>
    <row r="47" spans="1:1" x14ac:dyDescent="0.35">
      <c r="A47" t="s">
        <v>4645</v>
      </c>
    </row>
    <row r="48" spans="1:1" x14ac:dyDescent="0.35">
      <c r="A48" t="s">
        <v>4646</v>
      </c>
    </row>
    <row r="49" spans="1:2" x14ac:dyDescent="0.35">
      <c r="A49" t="s">
        <v>4641</v>
      </c>
    </row>
    <row r="50" spans="1:2" x14ac:dyDescent="0.35">
      <c r="A50" t="s">
        <v>4668</v>
      </c>
    </row>
    <row r="51" spans="1:2" x14ac:dyDescent="0.35">
      <c r="A51" t="s">
        <v>871</v>
      </c>
      <c r="B51">
        <v>1000</v>
      </c>
    </row>
    <row r="52" spans="1:2" x14ac:dyDescent="0.35">
      <c r="A52" t="s">
        <v>4669</v>
      </c>
    </row>
    <row r="53" spans="1:2" x14ac:dyDescent="0.35">
      <c r="A53" t="s">
        <v>4670</v>
      </c>
    </row>
    <row r="54" spans="1:2" x14ac:dyDescent="0.35">
      <c r="A54" t="s">
        <v>4671</v>
      </c>
    </row>
    <row r="55" spans="1:2" x14ac:dyDescent="0.35">
      <c r="A55" t="s">
        <v>4672</v>
      </c>
    </row>
    <row r="56" spans="1:2" x14ac:dyDescent="0.35">
      <c r="A56" t="s">
        <v>4673</v>
      </c>
    </row>
    <row r="57" spans="1:2" x14ac:dyDescent="0.35">
      <c r="A57" t="s">
        <v>905</v>
      </c>
    </row>
    <row r="58" spans="1:2" x14ac:dyDescent="0.35">
      <c r="A58" t="s">
        <v>4674</v>
      </c>
    </row>
    <row r="59" spans="1:2" x14ac:dyDescent="0.35">
      <c r="A59" t="s">
        <v>4675</v>
      </c>
    </row>
    <row r="60" spans="1:2" x14ac:dyDescent="0.35">
      <c r="A60" t="s">
        <v>4676</v>
      </c>
    </row>
    <row r="61" spans="1:2" x14ac:dyDescent="0.35">
      <c r="A61" t="s">
        <v>4677</v>
      </c>
    </row>
    <row r="62" spans="1:2" x14ac:dyDescent="0.35">
      <c r="A62" t="s">
        <v>4678</v>
      </c>
    </row>
    <row r="63" spans="1:2" x14ac:dyDescent="0.35">
      <c r="A63" t="s">
        <v>895</v>
      </c>
    </row>
    <row r="64" spans="1:2" x14ac:dyDescent="0.35">
      <c r="A64" t="s">
        <v>4679</v>
      </c>
    </row>
    <row r="65" spans="1:2" x14ac:dyDescent="0.35">
      <c r="A65" t="s">
        <v>4680</v>
      </c>
    </row>
    <row r="66" spans="1:2" x14ac:dyDescent="0.35">
      <c r="A66" t="s">
        <v>4681</v>
      </c>
    </row>
    <row r="67" spans="1:2" x14ac:dyDescent="0.35">
      <c r="A67" t="s">
        <v>4682</v>
      </c>
    </row>
    <row r="68" spans="1:2" x14ac:dyDescent="0.35">
      <c r="A68" t="s">
        <v>4683</v>
      </c>
    </row>
    <row r="69" spans="1:2" x14ac:dyDescent="0.35">
      <c r="A69" t="s">
        <v>884</v>
      </c>
    </row>
    <row r="70" spans="1:2" x14ac:dyDescent="0.35">
      <c r="A70" t="s">
        <v>4684</v>
      </c>
    </row>
    <row r="71" spans="1:2" x14ac:dyDescent="0.35">
      <c r="A71" t="s">
        <v>4685</v>
      </c>
    </row>
    <row r="72" spans="1:2" x14ac:dyDescent="0.35">
      <c r="A72" t="s">
        <v>4686</v>
      </c>
    </row>
    <row r="73" spans="1:2" x14ac:dyDescent="0.35">
      <c r="A73" t="s">
        <v>4687</v>
      </c>
    </row>
    <row r="74" spans="1:2" x14ac:dyDescent="0.35">
      <c r="A74" t="s">
        <v>4688</v>
      </c>
    </row>
    <row r="75" spans="1:2" x14ac:dyDescent="0.35">
      <c r="A75" t="s">
        <v>859</v>
      </c>
      <c r="B75">
        <v>2000000</v>
      </c>
    </row>
    <row r="76" spans="1:2" x14ac:dyDescent="0.35">
      <c r="A76" t="s">
        <v>4689</v>
      </c>
    </row>
    <row r="77" spans="1:2" x14ac:dyDescent="0.35">
      <c r="A77" t="s">
        <v>4690</v>
      </c>
    </row>
    <row r="78" spans="1:2" x14ac:dyDescent="0.35">
      <c r="A78" t="s">
        <v>4691</v>
      </c>
    </row>
    <row r="79" spans="1:2" x14ac:dyDescent="0.35">
      <c r="A79" t="s">
        <v>4692</v>
      </c>
    </row>
    <row r="80" spans="1:2" x14ac:dyDescent="0.35">
      <c r="A80" t="s">
        <v>4693</v>
      </c>
    </row>
    <row r="81" spans="1:2" x14ac:dyDescent="0.35">
      <c r="A81" t="s">
        <v>4694</v>
      </c>
    </row>
    <row r="82" spans="1:2" x14ac:dyDescent="0.35">
      <c r="A82" t="s">
        <v>4695</v>
      </c>
      <c r="B82" t="s">
        <v>143</v>
      </c>
    </row>
    <row r="83" spans="1:2" x14ac:dyDescent="0.35">
      <c r="A83" t="s">
        <v>4696</v>
      </c>
    </row>
    <row r="84" spans="1:2" x14ac:dyDescent="0.35">
      <c r="A84" t="s">
        <v>4697</v>
      </c>
    </row>
    <row r="85" spans="1:2" x14ac:dyDescent="0.35">
      <c r="A85" t="s">
        <v>4698</v>
      </c>
    </row>
    <row r="86" spans="1:2" x14ac:dyDescent="0.35">
      <c r="A86" t="s">
        <v>4699</v>
      </c>
      <c r="B86">
        <v>0.1</v>
      </c>
    </row>
    <row r="87" spans="1:2" x14ac:dyDescent="0.35">
      <c r="A87" t="s">
        <v>4700</v>
      </c>
      <c r="B87">
        <v>0.2</v>
      </c>
    </row>
    <row r="88" spans="1:2" x14ac:dyDescent="0.35">
      <c r="A88" t="s">
        <v>4701</v>
      </c>
      <c r="B88">
        <v>0.8</v>
      </c>
    </row>
    <row r="89" spans="1:2" x14ac:dyDescent="0.35">
      <c r="A89" t="s">
        <v>4702</v>
      </c>
      <c r="B89" t="s">
        <v>145</v>
      </c>
    </row>
    <row r="90" spans="1:2" x14ac:dyDescent="0.35">
      <c r="A90" t="s">
        <v>4703</v>
      </c>
      <c r="B90">
        <v>2</v>
      </c>
    </row>
    <row r="91" spans="1:2" x14ac:dyDescent="0.35">
      <c r="A91" t="s">
        <v>2540</v>
      </c>
      <c r="B91" t="s">
        <v>95</v>
      </c>
    </row>
    <row r="92" spans="1:2" x14ac:dyDescent="0.35">
      <c r="A92" t="s">
        <v>4704</v>
      </c>
    </row>
    <row r="93" spans="1:2" x14ac:dyDescent="0.35">
      <c r="A93" t="s">
        <v>2029</v>
      </c>
    </row>
    <row r="94" spans="1:2" x14ac:dyDescent="0.35">
      <c r="A94" t="s">
        <v>4705</v>
      </c>
    </row>
    <row r="95" spans="1:2" x14ac:dyDescent="0.35">
      <c r="A95" t="s">
        <v>4706</v>
      </c>
      <c r="B95" t="s">
        <v>155</v>
      </c>
    </row>
    <row r="96" spans="1:2" x14ac:dyDescent="0.35">
      <c r="A96" t="s">
        <v>4707</v>
      </c>
      <c r="B96" t="s">
        <v>4774</v>
      </c>
    </row>
    <row r="97" spans="1:2" x14ac:dyDescent="0.35">
      <c r="A97" t="s">
        <v>4708</v>
      </c>
      <c r="B97" t="s">
        <v>4775</v>
      </c>
    </row>
    <row r="98" spans="1:2" x14ac:dyDescent="0.35">
      <c r="A98" t="s">
        <v>4709</v>
      </c>
      <c r="B98" t="s">
        <v>489</v>
      </c>
    </row>
    <row r="99" spans="1:2" x14ac:dyDescent="0.35">
      <c r="A99" t="s">
        <v>4710</v>
      </c>
      <c r="B99" t="s">
        <v>95</v>
      </c>
    </row>
    <row r="100" spans="1:2" x14ac:dyDescent="0.35">
      <c r="A100" t="s">
        <v>2021</v>
      </c>
      <c r="B100">
        <v>0.05</v>
      </c>
    </row>
    <row r="101" spans="1:2" x14ac:dyDescent="0.35">
      <c r="A101" t="s">
        <v>4711</v>
      </c>
      <c r="B101">
        <v>0.1</v>
      </c>
    </row>
    <row r="102" spans="1:2" x14ac:dyDescent="0.35">
      <c r="A102" t="s">
        <v>4712</v>
      </c>
      <c r="B102">
        <v>0.1</v>
      </c>
    </row>
    <row r="103" spans="1:2" x14ac:dyDescent="0.35">
      <c r="A103" t="s">
        <v>4713</v>
      </c>
      <c r="B103">
        <v>0.1</v>
      </c>
    </row>
    <row r="104" spans="1:2" x14ac:dyDescent="0.35">
      <c r="A104" t="s">
        <v>4598</v>
      </c>
      <c r="B104">
        <v>90000000</v>
      </c>
    </row>
    <row r="105" spans="1:2" x14ac:dyDescent="0.35">
      <c r="A105" t="s">
        <v>4599</v>
      </c>
      <c r="B105">
        <v>70000000</v>
      </c>
    </row>
    <row r="106" spans="1:2" x14ac:dyDescent="0.35">
      <c r="A106" t="s">
        <v>4595</v>
      </c>
      <c r="B106">
        <v>125000000</v>
      </c>
    </row>
    <row r="107" spans="1:2" x14ac:dyDescent="0.35">
      <c r="A107" t="s">
        <v>4714</v>
      </c>
      <c r="B107" t="s">
        <v>148</v>
      </c>
    </row>
    <row r="108" spans="1:2" x14ac:dyDescent="0.35">
      <c r="A108" t="s">
        <v>4715</v>
      </c>
      <c r="B108" t="s">
        <v>212</v>
      </c>
    </row>
    <row r="109" spans="1:2" x14ac:dyDescent="0.35">
      <c r="A109" t="s">
        <v>2018</v>
      </c>
      <c r="B109" t="s">
        <v>2460</v>
      </c>
    </row>
    <row r="110" spans="1:2" x14ac:dyDescent="0.35">
      <c r="A110" t="s">
        <v>2024</v>
      </c>
      <c r="B110">
        <v>1</v>
      </c>
    </row>
    <row r="111" spans="1:2" x14ac:dyDescent="0.35">
      <c r="A111" t="s">
        <v>2020</v>
      </c>
    </row>
    <row r="112" spans="1:2" x14ac:dyDescent="0.35">
      <c r="A112" t="s">
        <v>2026</v>
      </c>
    </row>
    <row r="113" spans="1:2" x14ac:dyDescent="0.35">
      <c r="A113" t="s">
        <v>4716</v>
      </c>
    </row>
    <row r="114" spans="1:2" x14ac:dyDescent="0.35">
      <c r="A114" t="s">
        <v>4717</v>
      </c>
    </row>
    <row r="115" spans="1:2" x14ac:dyDescent="0.35">
      <c r="A115" t="s">
        <v>4718</v>
      </c>
      <c r="B115" t="s">
        <v>2477</v>
      </c>
    </row>
    <row r="116" spans="1:2" x14ac:dyDescent="0.35">
      <c r="A116" t="s">
        <v>4719</v>
      </c>
    </row>
    <row r="117" spans="1:2" x14ac:dyDescent="0.35">
      <c r="A117" t="s">
        <v>4720</v>
      </c>
    </row>
    <row r="118" spans="1:2" x14ac:dyDescent="0.35">
      <c r="A118" t="s">
        <v>4721</v>
      </c>
      <c r="B118" t="s">
        <v>155</v>
      </c>
    </row>
    <row r="119" spans="1:2" x14ac:dyDescent="0.35">
      <c r="A119" t="s">
        <v>4722</v>
      </c>
    </row>
    <row r="120" spans="1:2" x14ac:dyDescent="0.35">
      <c r="A120" t="s">
        <v>4723</v>
      </c>
    </row>
    <row r="121" spans="1:2" x14ac:dyDescent="0.35">
      <c r="A121" t="s">
        <v>2019</v>
      </c>
      <c r="B121" t="s">
        <v>155</v>
      </c>
    </row>
    <row r="122" spans="1:2" x14ac:dyDescent="0.35">
      <c r="A122" t="s">
        <v>4724</v>
      </c>
    </row>
    <row r="123" spans="1:2" x14ac:dyDescent="0.35">
      <c r="A123" t="s">
        <v>4725</v>
      </c>
    </row>
    <row r="124" spans="1:2" x14ac:dyDescent="0.35">
      <c r="A124" t="s">
        <v>4373</v>
      </c>
      <c r="B124" t="s">
        <v>447</v>
      </c>
    </row>
    <row r="125" spans="1:2" x14ac:dyDescent="0.35">
      <c r="A125" t="s">
        <v>4726</v>
      </c>
    </row>
    <row r="126" spans="1:2" x14ac:dyDescent="0.35">
      <c r="A126" t="s">
        <v>4727</v>
      </c>
    </row>
    <row r="127" spans="1:2" x14ac:dyDescent="0.35">
      <c r="A127" t="s">
        <v>4728</v>
      </c>
    </row>
    <row r="128" spans="1:2" x14ac:dyDescent="0.35">
      <c r="A128" t="s">
        <v>4729</v>
      </c>
    </row>
    <row r="129" spans="1:2" x14ac:dyDescent="0.35">
      <c r="A129" t="s">
        <v>4730</v>
      </c>
    </row>
    <row r="130" spans="1:2" x14ac:dyDescent="0.35">
      <c r="A130" t="s">
        <v>4732</v>
      </c>
    </row>
    <row r="131" spans="1:2" x14ac:dyDescent="0.35">
      <c r="A131" t="s">
        <v>4733</v>
      </c>
    </row>
    <row r="132" spans="1:2" x14ac:dyDescent="0.35">
      <c r="A132" t="s">
        <v>4734</v>
      </c>
      <c r="B132" t="s">
        <v>49</v>
      </c>
    </row>
    <row r="133" spans="1:2" x14ac:dyDescent="0.35">
      <c r="A133" t="s">
        <v>4735</v>
      </c>
    </row>
    <row r="134" spans="1:2" x14ac:dyDescent="0.35">
      <c r="A134" t="s">
        <v>4736</v>
      </c>
    </row>
    <row r="135" spans="1:2" x14ac:dyDescent="0.35">
      <c r="A135" t="s">
        <v>4737</v>
      </c>
    </row>
    <row r="136" spans="1:2" x14ac:dyDescent="0.35">
      <c r="A136" t="s">
        <v>4738</v>
      </c>
      <c r="B136" t="s">
        <v>292</v>
      </c>
    </row>
    <row r="137" spans="1:2" x14ac:dyDescent="0.35">
      <c r="A137" t="s">
        <v>4739</v>
      </c>
      <c r="B137" t="s">
        <v>259</v>
      </c>
    </row>
    <row r="138" spans="1:2" x14ac:dyDescent="0.35">
      <c r="A138" t="s">
        <v>4740</v>
      </c>
    </row>
    <row r="139" spans="1:2" x14ac:dyDescent="0.35">
      <c r="A139" t="s">
        <v>4741</v>
      </c>
    </row>
    <row r="140" spans="1:2" x14ac:dyDescent="0.35">
      <c r="A140" t="s">
        <v>4742</v>
      </c>
    </row>
    <row r="141" spans="1:2" x14ac:dyDescent="0.35">
      <c r="A141" t="s">
        <v>4743</v>
      </c>
      <c r="B141" t="s">
        <v>34</v>
      </c>
    </row>
    <row r="142" spans="1:2" x14ac:dyDescent="0.35">
      <c r="A142" t="s">
        <v>4744</v>
      </c>
    </row>
    <row r="143" spans="1:2" x14ac:dyDescent="0.35">
      <c r="A143" t="s">
        <v>4745</v>
      </c>
    </row>
    <row r="144" spans="1:2" x14ac:dyDescent="0.35">
      <c r="A144" t="s">
        <v>4746</v>
      </c>
    </row>
    <row r="145" spans="1:2" x14ac:dyDescent="0.35">
      <c r="A145" t="s">
        <v>4747</v>
      </c>
    </row>
    <row r="146" spans="1:2" x14ac:dyDescent="0.35">
      <c r="A146" t="s">
        <v>4748</v>
      </c>
    </row>
    <row r="147" spans="1:2" x14ac:dyDescent="0.35">
      <c r="A147" t="s">
        <v>4749</v>
      </c>
      <c r="B147" t="s">
        <v>37</v>
      </c>
    </row>
    <row r="148" spans="1:2" x14ac:dyDescent="0.35">
      <c r="A148" t="s">
        <v>4750</v>
      </c>
      <c r="B148">
        <v>0.1</v>
      </c>
    </row>
    <row r="149" spans="1:2" x14ac:dyDescent="0.35">
      <c r="A149" t="s">
        <v>4751</v>
      </c>
      <c r="B149">
        <v>0.1</v>
      </c>
    </row>
    <row r="150" spans="1:2" x14ac:dyDescent="0.35">
      <c r="A150" t="s">
        <v>4752</v>
      </c>
    </row>
    <row r="151" spans="1:2" x14ac:dyDescent="0.35">
      <c r="A151" t="s">
        <v>4753</v>
      </c>
    </row>
    <row r="152" spans="1:2" x14ac:dyDescent="0.35">
      <c r="A152" t="s">
        <v>4754</v>
      </c>
    </row>
    <row r="153" spans="1:2" x14ac:dyDescent="0.35">
      <c r="A153" t="s">
        <v>4755</v>
      </c>
      <c r="B153" t="s">
        <v>36</v>
      </c>
    </row>
    <row r="154" spans="1:2" x14ac:dyDescent="0.35">
      <c r="A154" t="s">
        <v>4756</v>
      </c>
      <c r="B154" t="s">
        <v>259</v>
      </c>
    </row>
    <row r="155" spans="1:2" x14ac:dyDescent="0.35">
      <c r="A155" t="s">
        <v>4757</v>
      </c>
      <c r="B155" t="s">
        <v>252</v>
      </c>
    </row>
    <row r="156" spans="1:2" x14ac:dyDescent="0.35">
      <c r="A156" t="s">
        <v>4758</v>
      </c>
    </row>
    <row r="157" spans="1:2" x14ac:dyDescent="0.35">
      <c r="A157" t="s">
        <v>4759</v>
      </c>
    </row>
    <row r="158" spans="1:2" x14ac:dyDescent="0.35">
      <c r="A158" t="s">
        <v>4760</v>
      </c>
    </row>
    <row r="159" spans="1:2" x14ac:dyDescent="0.35">
      <c r="A159" t="s">
        <v>4761</v>
      </c>
      <c r="B159" t="s">
        <v>35</v>
      </c>
    </row>
    <row r="160" spans="1:2" x14ac:dyDescent="0.35">
      <c r="A160" t="s">
        <v>4762</v>
      </c>
      <c r="B160" t="s">
        <v>206</v>
      </c>
    </row>
    <row r="161" spans="1:2" x14ac:dyDescent="0.35">
      <c r="A161" t="s">
        <v>4763</v>
      </c>
      <c r="B161" t="s">
        <v>213</v>
      </c>
    </row>
    <row r="162" spans="1:2" x14ac:dyDescent="0.35">
      <c r="A162" t="s">
        <v>4764</v>
      </c>
    </row>
    <row r="163" spans="1:2" x14ac:dyDescent="0.35">
      <c r="A163" t="s">
        <v>4765</v>
      </c>
    </row>
    <row r="164" spans="1:2" x14ac:dyDescent="0.35">
      <c r="A164" t="s">
        <v>4766</v>
      </c>
    </row>
    <row r="165" spans="1:2" x14ac:dyDescent="0.35">
      <c r="A165" t="s">
        <v>4767</v>
      </c>
      <c r="B165" t="s">
        <v>4578</v>
      </c>
    </row>
    <row r="166" spans="1:2" x14ac:dyDescent="0.35">
      <c r="A166" t="s">
        <v>4768</v>
      </c>
    </row>
    <row r="167" spans="1:2" x14ac:dyDescent="0.35">
      <c r="A167" t="s">
        <v>4769</v>
      </c>
    </row>
    <row r="168" spans="1:2" x14ac:dyDescent="0.35">
      <c r="A168" t="s">
        <v>4770</v>
      </c>
    </row>
    <row r="169" spans="1:2" x14ac:dyDescent="0.35">
      <c r="A169" t="s">
        <v>4771</v>
      </c>
    </row>
    <row r="170" spans="1:2" x14ac:dyDescent="0.35">
      <c r="A170" t="s">
        <v>4731</v>
      </c>
    </row>
    <row r="171" spans="1:2" x14ac:dyDescent="0.35">
      <c r="A171" t="s">
        <v>4772</v>
      </c>
      <c r="B171" t="s">
        <v>0</v>
      </c>
    </row>
    <row r="172" spans="1:2" x14ac:dyDescent="0.35">
      <c r="A172" t="s">
        <v>2022</v>
      </c>
    </row>
    <row r="173" spans="1:2" x14ac:dyDescent="0.35">
      <c r="A173" t="s">
        <v>4773</v>
      </c>
      <c r="B173" t="s">
        <v>4664</v>
      </c>
    </row>
  </sheetData>
  <sortState xmlns:xlrd2="http://schemas.microsoft.com/office/spreadsheetml/2017/richdata2" ref="A2:B173">
    <sortCondition ref="A2:A17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theme="0" tint="-4.9989318521683403E-2"/>
  </sheetPr>
  <dimension ref="A1:R830"/>
  <sheetViews>
    <sheetView topLeftCell="A811" zoomScale="85" zoomScaleNormal="85" workbookViewId="0">
      <selection activeCell="C737" sqref="C737"/>
    </sheetView>
  </sheetViews>
  <sheetFormatPr baseColWidth="10" defaultColWidth="11.453125" defaultRowHeight="14.5" outlineLevelRow="2" x14ac:dyDescent="0.35"/>
  <cols>
    <col min="1" max="1" width="4.453125" style="74" customWidth="1"/>
    <col min="2" max="2" width="36.81640625" style="74" customWidth="1"/>
    <col min="3" max="3" width="17.54296875" style="74" customWidth="1"/>
    <col min="4" max="4" width="22.1796875" style="74" bestFit="1" customWidth="1"/>
    <col min="5" max="5" width="15.453125" style="74" customWidth="1"/>
    <col min="6" max="6" width="30.26953125" style="74" customWidth="1"/>
    <col min="7" max="7" width="32.7265625" style="74" bestFit="1" customWidth="1"/>
    <col min="8" max="8" width="17.81640625" style="74" customWidth="1"/>
    <col min="9" max="9" width="14.7265625" style="74" bestFit="1" customWidth="1"/>
    <col min="10" max="10" width="31.453125" style="74" bestFit="1" customWidth="1"/>
    <col min="11" max="11" width="16.81640625" style="74" bestFit="1" customWidth="1"/>
    <col min="12" max="12" width="14.26953125" style="74" bestFit="1" customWidth="1"/>
    <col min="13" max="13" width="12.453125" style="74" customWidth="1"/>
    <col min="14" max="14" width="26.1796875" style="74" bestFit="1" customWidth="1"/>
    <col min="15" max="15" width="16.81640625" style="74" customWidth="1"/>
    <col min="16" max="16" width="11.453125" style="74"/>
    <col min="17" max="17" width="15.26953125" style="74" customWidth="1"/>
    <col min="18" max="16384" width="11.453125" style="74"/>
  </cols>
  <sheetData>
    <row r="1" spans="1:16" ht="23.5" x14ac:dyDescent="0.35">
      <c r="A1" s="949" t="s">
        <v>1791</v>
      </c>
      <c r="B1" s="949"/>
      <c r="C1" s="949"/>
      <c r="D1" s="949"/>
      <c r="E1" s="949"/>
    </row>
    <row r="5" spans="1:16" ht="15.5" x14ac:dyDescent="0.35">
      <c r="B5" s="7" t="s">
        <v>1792</v>
      </c>
      <c r="C5" s="7"/>
      <c r="D5" s="7"/>
      <c r="E5" s="7"/>
      <c r="F5" s="7"/>
      <c r="G5" s="7"/>
      <c r="H5" s="7"/>
      <c r="I5" s="7"/>
      <c r="J5" s="7"/>
      <c r="K5" s="7"/>
      <c r="L5" s="7"/>
      <c r="M5" s="7"/>
      <c r="N5" s="7"/>
      <c r="O5" s="7"/>
      <c r="P5" s="7"/>
    </row>
    <row r="6" spans="1:16" outlineLevel="1" x14ac:dyDescent="0.35"/>
    <row r="7" spans="1:16" outlineLevel="1" x14ac:dyDescent="0.35">
      <c r="B7" s="75" t="s">
        <v>1793</v>
      </c>
      <c r="F7" s="75" t="s">
        <v>1794</v>
      </c>
    </row>
    <row r="8" spans="1:16" outlineLevel="1" x14ac:dyDescent="0.35"/>
    <row r="9" spans="1:16" outlineLevel="1" x14ac:dyDescent="0.35">
      <c r="B9" s="76" t="s">
        <v>1795</v>
      </c>
      <c r="C9" s="77" t="str">
        <f>INDEX(\parameter_fxrates,MATCH(\selected_currency,INDEX(\parameter_fxrates,,3), 0),1)</f>
        <v>EUR</v>
      </c>
      <c r="F9" s="76" t="s">
        <v>1796</v>
      </c>
      <c r="G9" s="77" t="str">
        <f>IFERROR(INDEX(\parameter_riskcountry,MATCH(\selected_riskcountry,INDEX(\parameter_riskcountry,,2), 0),1),0)</f>
        <v>DEU</v>
      </c>
    </row>
    <row r="10" spans="1:16" outlineLevel="1" x14ac:dyDescent="0.35">
      <c r="B10" s="76" t="s">
        <v>1797</v>
      </c>
      <c r="C10" s="78">
        <f>VLOOKUP(calc_currency_code,\parameter_fxrates,4,FALSE)</f>
        <v>1</v>
      </c>
      <c r="F10" s="76" t="s">
        <v>1798</v>
      </c>
      <c r="G10" s="77">
        <f>IFERROR(INDEX(\parameter_industry,MATCH(\selected_industry,INDEX(\parameter_industry,,4), 0),1),0)</f>
        <v>10</v>
      </c>
    </row>
    <row r="11" spans="1:16" outlineLevel="1" x14ac:dyDescent="0.35">
      <c r="F11" s="76" t="s">
        <v>811</v>
      </c>
      <c r="G11" s="77" t="b">
        <f>IF(\selected_ipflag="Yes",TRUE,FALSE)</f>
        <v>0</v>
      </c>
    </row>
    <row r="12" spans="1:16" outlineLevel="1" x14ac:dyDescent="0.35">
      <c r="B12" s="76" t="s">
        <v>1799</v>
      </c>
      <c r="C12" s="78" t="b">
        <f xml:space="preserve"> \selected_MidMarketNewBusiness = "Yes"</f>
        <v>1</v>
      </c>
      <c r="F12" s="76" t="s">
        <v>1800</v>
      </c>
      <c r="G12" s="79" t="str">
        <f>\selected_typeofcover1</f>
        <v>All Risk</v>
      </c>
    </row>
    <row r="13" spans="1:16" outlineLevel="1" x14ac:dyDescent="0.35"/>
    <row r="15" spans="1:16" ht="15.5" x14ac:dyDescent="0.35">
      <c r="B15" s="7" t="s">
        <v>1801</v>
      </c>
      <c r="C15" s="7"/>
      <c r="D15" s="7"/>
      <c r="E15" s="7"/>
      <c r="F15" s="7"/>
      <c r="G15" s="7"/>
      <c r="H15" s="7"/>
      <c r="I15" s="7"/>
      <c r="J15" s="7"/>
      <c r="K15" s="7"/>
      <c r="L15" s="7"/>
      <c r="M15" s="7"/>
      <c r="N15" s="7"/>
      <c r="O15" s="7"/>
      <c r="P15" s="7"/>
    </row>
    <row r="16" spans="1:16" outlineLevel="1" x14ac:dyDescent="0.35">
      <c r="B16" s="80"/>
    </row>
    <row r="17" spans="2:16" outlineLevel="1" x14ac:dyDescent="0.35">
      <c r="B17" s="76" t="s">
        <v>1802</v>
      </c>
      <c r="C17" s="37" t="b">
        <v>1</v>
      </c>
    </row>
    <row r="18" spans="2:16" outlineLevel="1" x14ac:dyDescent="0.35">
      <c r="B18" s="80"/>
    </row>
    <row r="19" spans="2:16" outlineLevel="1" x14ac:dyDescent="0.35">
      <c r="B19" s="81" t="s">
        <v>1803</v>
      </c>
      <c r="C19" s="15"/>
      <c r="D19" s="15"/>
      <c r="E19" s="15"/>
      <c r="F19" s="15"/>
      <c r="G19" s="15"/>
      <c r="H19" s="15"/>
      <c r="I19" s="15"/>
      <c r="J19" s="15"/>
      <c r="K19" s="15"/>
      <c r="L19" s="15"/>
      <c r="M19" s="15"/>
      <c r="N19" s="15"/>
      <c r="O19" s="15"/>
      <c r="P19" s="15"/>
    </row>
    <row r="20" spans="2:16" outlineLevel="2" x14ac:dyDescent="0.35">
      <c r="B20" s="80"/>
    </row>
    <row r="21" spans="2:16" outlineLevel="2" x14ac:dyDescent="0.35">
      <c r="B21" s="80" t="s">
        <v>4592</v>
      </c>
      <c r="C21" s="74" t="s">
        <v>4593</v>
      </c>
      <c r="D21" s="74" t="s">
        <v>4591</v>
      </c>
      <c r="F21" s="74" t="s">
        <v>4596</v>
      </c>
      <c r="G21" s="74" t="b">
        <f xml:space="preserve"> OR(C22:C24)</f>
        <v>1</v>
      </c>
    </row>
    <row r="22" spans="2:16" outlineLevel="2" x14ac:dyDescent="0.35">
      <c r="B22" s="804" t="str" cm="1">
        <f t="array" ref="B22:B24" xml:space="preserve"> Parameter!DR5:DR7</f>
        <v xml:space="preserve">Turnover </v>
      </c>
      <c r="C22" s="74" t="b">
        <f xml:space="preserve"> \selected_turnover_total &lt;&gt; ""</f>
        <v>1</v>
      </c>
      <c r="D22" s="74" cm="1">
        <f t="array" ref="D22:D24" xml:space="preserve"> INDEX( Parameter!DT5:DT7, MATCH(_xlfn.ANCHORARRAY(B22), Parameter!DR5:DR7, 0))</f>
        <v>3</v>
      </c>
      <c r="F22" s="74" t="s">
        <v>4597</v>
      </c>
      <c r="G22" s="74" t="str">
        <f xml:space="preserve"> INDEX(_xlfn._xlws.SORT(_xlfn._xlws.FILTER(B22:D24, C22:C24), 3, 1), 1, 1)</f>
        <v xml:space="preserve">Turnover </v>
      </c>
    </row>
    <row r="23" spans="2:16" outlineLevel="2" x14ac:dyDescent="0.35">
      <c r="B23" s="80" t="str">
        <v xml:space="preserve">Turnover relevant for Cargo </v>
      </c>
      <c r="C23" s="74" t="b">
        <f xml:space="preserve"> \selected_turnover_cargo &lt;&gt; ""</f>
        <v>0</v>
      </c>
      <c r="D23" s="74">
        <v>2</v>
      </c>
      <c r="F23" s="74" t="s">
        <v>4783</v>
      </c>
      <c r="G23" s="74">
        <f xml:space="preserve"> \selected_turnover_total</f>
        <v>16212710</v>
      </c>
    </row>
    <row r="24" spans="2:16" outlineLevel="2" x14ac:dyDescent="0.35">
      <c r="B24" s="80" t="str">
        <v>shipped value</v>
      </c>
      <c r="C24" s="74" t="b">
        <f xml:space="preserve"> \selected_turnover_shipped &lt;&gt; ""</f>
        <v>0</v>
      </c>
      <c r="D24" s="74">
        <v>1</v>
      </c>
    </row>
    <row r="25" spans="2:16" outlineLevel="2" x14ac:dyDescent="0.35">
      <c r="B25" s="80"/>
    </row>
    <row r="26" spans="2:16" outlineLevel="2" x14ac:dyDescent="0.35">
      <c r="B26" s="76" t="s">
        <v>4621</v>
      </c>
      <c r="C26" s="82" cm="1">
        <f t="array" aca="1" ref="C26" ca="1" xml:space="preserve"> INDIRECT( INDEX(Parameter!DS5:DS7, MATCH(G22, Parameter!DR5:DR7, 0)) )</f>
        <v>16212710</v>
      </c>
      <c r="F26" s="76" t="s">
        <v>1804</v>
      </c>
      <c r="G26" s="83">
        <f ca="1">C26</f>
        <v>16212710</v>
      </c>
    </row>
    <row r="27" spans="2:16" outlineLevel="2" x14ac:dyDescent="0.35">
      <c r="B27" s="84" t="s">
        <v>4622</v>
      </c>
      <c r="C27" s="10">
        <f ca="1">C26/calc_fxrate</f>
        <v>16212710</v>
      </c>
      <c r="F27" s="84" t="s">
        <v>1805</v>
      </c>
      <c r="G27" s="83">
        <f ca="1">G26/calc_fxrate</f>
        <v>16212710</v>
      </c>
    </row>
    <row r="28" spans="2:16" outlineLevel="2" x14ac:dyDescent="0.35">
      <c r="F28" s="76" t="s">
        <v>1806</v>
      </c>
      <c r="G28" s="83" t="b">
        <f ca="1" xml:space="preserve"> calc_exposure_transport_total_EUR &gt; 100000000</f>
        <v>0</v>
      </c>
    </row>
    <row r="29" spans="2:16" outlineLevel="2" x14ac:dyDescent="0.35"/>
    <row r="30" spans="2:16" outlineLevel="1" x14ac:dyDescent="0.35"/>
    <row r="31" spans="2:16" outlineLevel="1" x14ac:dyDescent="0.35">
      <c r="B31" s="15" t="s">
        <v>1807</v>
      </c>
      <c r="C31" s="15"/>
      <c r="D31" s="15"/>
      <c r="E31" s="15"/>
      <c r="F31" s="15"/>
      <c r="G31" s="15"/>
      <c r="H31" s="15"/>
      <c r="I31" s="15"/>
      <c r="J31" s="15"/>
      <c r="K31" s="15"/>
      <c r="L31" s="15"/>
      <c r="M31" s="15"/>
      <c r="N31" s="15"/>
      <c r="O31" s="15"/>
      <c r="P31" s="15"/>
    </row>
    <row r="32" spans="2:16" outlineLevel="2" x14ac:dyDescent="0.35"/>
    <row r="33" spans="2:14" outlineLevel="2" x14ac:dyDescent="0.35">
      <c r="B33" s="85" t="s">
        <v>812</v>
      </c>
      <c r="C33" s="85" t="s">
        <v>1808</v>
      </c>
      <c r="D33" s="85" t="s">
        <v>1809</v>
      </c>
    </row>
    <row r="34" spans="2:14" outlineLevel="2" x14ac:dyDescent="0.35">
      <c r="B34" s="391">
        <f ca="1">IFERROR( INDEX( \parameter_goods, MATCH( _xlfn.CONCAT(\language_typeofgoods_Class1_backend, " - ", \language_typeofgoods_SClass1_backend ), INDEX( \parameter_goods, ,4), 0), 1), 0)</f>
        <v>18</v>
      </c>
      <c r="C34" s="86">
        <f xml:space="preserve"> \selected_typeofgoods_Class1_Split</f>
        <v>1</v>
      </c>
      <c r="D34" s="86" t="b" cm="1">
        <f t="array" aca="1" ref="D34:D36" ca="1" xml:space="preserve"> Type_of_goods_filled_all</f>
        <v>1</v>
      </c>
      <c r="F34" s="87" t="s">
        <v>1810</v>
      </c>
      <c r="G34" s="88" t="s">
        <v>1811</v>
      </c>
      <c r="H34" s="89">
        <f>\selected_geoscope_national</f>
        <v>0</v>
      </c>
      <c r="I34" s="410"/>
      <c r="K34" s="797"/>
      <c r="L34" s="798"/>
      <c r="M34" s="410"/>
      <c r="N34" s="799"/>
    </row>
    <row r="35" spans="2:14" outlineLevel="2" x14ac:dyDescent="0.35">
      <c r="B35" s="90">
        <f ca="1">IFERROR( INDEX( \parameter_goods, MATCH( _xlfn.CONCAT(\language_typeofgoods_Class2_backend, " - ", \language_typeofgoods_SClass2_backend ), INDEX( \parameter_goods, ,4), 0), 1), 0)</f>
        <v>0</v>
      </c>
      <c r="C35" s="91">
        <f xml:space="preserve"> \selected_typeofgoods_Class2_Split</f>
        <v>0</v>
      </c>
      <c r="D35" s="91" t="b">
        <f ca="1"/>
        <v>0</v>
      </c>
      <c r="G35" s="92" t="str" cm="1">
        <f t="array" aca="1" ref="G35" ca="1" xml:space="preserve"> IF(NOT(helper_geographicalScope_detailedView), "Unknown - Unknown",
_xlfn.LET( _xlpm.values, IFERROR( VLOOKUP( OFFSET(Geoscope_int, 0, 1, ROWS(Geoscope_int), 1), \parameter_geoscope_int_names, 2, FALSE ) &amp; " - " &amp; VLOOKUP( OFFSET(Geoscope_int, 0, 2, ROWS(Geoscope_int), 1), \parameter_geoscope_int_names, 2, FALSE ), ""), _xlfn._xlws.FILTER(_xlpm.values, helper_geographicalScope_filledCorrectly)))</f>
        <v>Unknown - Unknown</v>
      </c>
      <c r="H35" s="93" cm="1">
        <f t="array" aca="1" ref="H35" ca="1" xml:space="preserve"> IF(NOT(helper_geographicalScope_detailedView), \selected_geoscope_international, _xlfn.LET(_xlpm.values, OFFSET(Geoscope_int, 0, 3, ROWS(Geoscope_int), 1), _xlfn._xlws.FILTER( _xlpm.values, helper_geographicalScope_filledCorrectly, "")))</f>
        <v>0</v>
      </c>
      <c r="I35" s="126" cm="1">
        <f t="array" aca="1" ref="I35" ca="1">1 + IF(NOT(helper_geographicalScope_detailedView), 0, _xlfn.LET(_xlpm.values, OFFSET(Geoscope_int, 0, 4, ROWS(Geoscope_int), 1), _xlfn._xlws.FILTER( _xlpm.values, helper_geographicalScope_filledCorrectly, "")))</f>
        <v>1</v>
      </c>
    </row>
    <row r="36" spans="2:14" outlineLevel="2" x14ac:dyDescent="0.35">
      <c r="B36" s="94">
        <f ca="1">IFERROR( INDEX( \parameter_goods, MATCH( _xlfn.CONCAT(\language_typeofgoods_Class3_backend, " - ", \language_typeofgoods_SClass3_backend ), INDEX( \parameter_goods, ,4), 0), 1), 0)</f>
        <v>0</v>
      </c>
      <c r="C36" s="95">
        <f xml:space="preserve"> \selected_typeofgoods_Class3_Split</f>
        <v>0</v>
      </c>
      <c r="D36" s="95" t="b">
        <f ca="1"/>
        <v>0</v>
      </c>
      <c r="G36" s="96"/>
      <c r="H36" s="91"/>
      <c r="I36" s="411"/>
    </row>
    <row r="37" spans="2:14" outlineLevel="2" x14ac:dyDescent="0.35">
      <c r="G37" s="96"/>
      <c r="H37" s="91"/>
      <c r="I37" s="411"/>
    </row>
    <row r="38" spans="2:14" outlineLevel="2" x14ac:dyDescent="0.35">
      <c r="B38" s="85" t="s">
        <v>57</v>
      </c>
      <c r="C38" s="85" t="s">
        <v>1812</v>
      </c>
      <c r="D38" s="85" t="s">
        <v>1813</v>
      </c>
      <c r="G38" s="96"/>
      <c r="H38" s="91"/>
      <c r="I38" s="411"/>
    </row>
    <row r="39" spans="2:14" outlineLevel="2" x14ac:dyDescent="0.35">
      <c r="B39" s="391" cm="1">
        <f t="array" aca="1" ref="B39:B41" ca="1" xml:space="preserve"> calc_goods_code</f>
        <v>18</v>
      </c>
      <c r="C39" s="392" t="str">
        <f>\selected_typeofgoods_ThClass1</f>
        <v>No</v>
      </c>
      <c r="D39" s="392" t="str">
        <f xml:space="preserve"> \selected_typeofgoods_TClass1</f>
        <v>No</v>
      </c>
      <c r="G39" s="96"/>
      <c r="H39" s="91"/>
      <c r="I39" s="411"/>
    </row>
    <row r="40" spans="2:14" outlineLevel="2" x14ac:dyDescent="0.35">
      <c r="B40" s="90">
        <f ca="1"/>
        <v>0</v>
      </c>
      <c r="C40" s="393">
        <f>\selected_typeofgoods_ThClass2</f>
        <v>0</v>
      </c>
      <c r="D40" s="393">
        <f xml:space="preserve"> \selected_typeofgoods_TClass2</f>
        <v>0</v>
      </c>
      <c r="G40" s="96"/>
      <c r="H40" s="91"/>
      <c r="I40" s="91"/>
      <c r="K40" s="87" t="s">
        <v>1814</v>
      </c>
      <c r="L40" s="89">
        <f>\selected_expectedprofit</f>
        <v>0.1</v>
      </c>
    </row>
    <row r="41" spans="2:14" outlineLevel="2" x14ac:dyDescent="0.35">
      <c r="B41" s="94">
        <f ca="1"/>
        <v>0</v>
      </c>
      <c r="C41" s="394" t="str">
        <f xml:space="preserve"> IF( \selected_typeofgoods_ThClass3 = "", "No", \selected_typeofgoods_ThClass3 )</f>
        <v>No</v>
      </c>
      <c r="D41" s="394" t="str">
        <f xml:space="preserve"> IF( \selected_typeofgoods_TClass3 = "", "No", \selected_typeofgoods_TClass3 )</f>
        <v>No</v>
      </c>
      <c r="G41" s="96"/>
      <c r="H41" s="91"/>
      <c r="I41" s="91"/>
    </row>
    <row r="42" spans="2:14" outlineLevel="2" x14ac:dyDescent="0.35">
      <c r="E42" s="74" t="s">
        <v>1815</v>
      </c>
      <c r="G42" s="96"/>
      <c r="H42" s="91"/>
      <c r="I42" s="91"/>
    </row>
    <row r="43" spans="2:14" outlineLevel="2" x14ac:dyDescent="0.35">
      <c r="B43" s="76" t="s">
        <v>30</v>
      </c>
      <c r="C43" s="97" t="str" cm="1">
        <f t="array" ref="C43:C46">INDEX( \parameter_transportationtype, 0, 1)</f>
        <v>Land</v>
      </c>
      <c r="D43" s="86" cm="1">
        <f t="array" ref="D43:D46">\selected_transportationtype_perc</f>
        <v>0.1</v>
      </c>
      <c r="E43" s="86" cm="1">
        <f t="array" ref="E43:E46" xml:space="preserve"> calc_geoscope_int_nat_perc * INDEX( \parameter_MidMarketChanges_TransportationType, MATCH(_xlfn.ANCHORARRAY(C43), INDEX(\parameter_MidMarketChanges_TransportationType, 0, 1), 0), 2 ) + (1-calc_geoscope_int_nat_perc) * INDEX( \parameter_MidMarketChanges_TransportationType, MATCH(_xlfn.ANCHORARRAY(C43), INDEX(\parameter_MidMarketChanges_TransportationType, 0, 1), 0), 3 )</f>
        <v>0.1</v>
      </c>
      <c r="G43" s="96"/>
      <c r="H43" s="91"/>
      <c r="I43" s="91"/>
    </row>
    <row r="44" spans="2:14" outlineLevel="2" x14ac:dyDescent="0.35">
      <c r="C44" s="98" t="str">
        <v>Rail</v>
      </c>
      <c r="D44" s="91">
        <v>0.1</v>
      </c>
      <c r="E44" s="91">
        <v>0</v>
      </c>
      <c r="G44" s="96"/>
      <c r="H44" s="91"/>
      <c r="I44" s="91"/>
    </row>
    <row r="45" spans="2:14" outlineLevel="2" x14ac:dyDescent="0.35">
      <c r="C45" s="859" t="str">
        <v>Sea</v>
      </c>
      <c r="D45" s="860">
        <v>0.75</v>
      </c>
      <c r="E45" s="860">
        <v>0.9</v>
      </c>
      <c r="G45" s="96"/>
      <c r="H45" s="91"/>
      <c r="I45" s="91"/>
    </row>
    <row r="46" spans="2:14" outlineLevel="2" x14ac:dyDescent="0.35">
      <c r="C46" s="99" t="str">
        <v>Air</v>
      </c>
      <c r="D46" s="95">
        <v>0.05</v>
      </c>
      <c r="E46" s="95">
        <v>0</v>
      </c>
      <c r="G46" s="96"/>
      <c r="H46" s="91"/>
      <c r="I46" s="91"/>
    </row>
    <row r="47" spans="2:14" outlineLevel="2" x14ac:dyDescent="0.35">
      <c r="B47" s="76" t="s">
        <v>4375</v>
      </c>
      <c r="C47" s="97" t="str" cm="1">
        <f t="array" ref="C47:C50">INDEX( \parameter_transportationtype, 0, 1)</f>
        <v>Land</v>
      </c>
      <c r="D47" s="86" cm="1">
        <f t="array" ref="D47:D50" xml:space="preserve"> IF(calc_midmarket, E43:E46, D43:D46)</f>
        <v>0.1</v>
      </c>
      <c r="G47" s="96"/>
      <c r="H47" s="91"/>
      <c r="I47" s="91"/>
    </row>
    <row r="48" spans="2:14" outlineLevel="2" x14ac:dyDescent="0.35">
      <c r="C48" s="98" t="str">
        <v>Rail</v>
      </c>
      <c r="D48" s="91">
        <v>0</v>
      </c>
      <c r="G48" s="96"/>
      <c r="H48" s="91"/>
      <c r="I48" s="91"/>
    </row>
    <row r="49" spans="2:9" outlineLevel="2" x14ac:dyDescent="0.35">
      <c r="C49" s="859" t="str">
        <v>Sea</v>
      </c>
      <c r="D49" s="860">
        <v>0.9</v>
      </c>
      <c r="G49" s="96"/>
      <c r="H49" s="91"/>
      <c r="I49" s="91"/>
    </row>
    <row r="50" spans="2:9" outlineLevel="2" x14ac:dyDescent="0.35">
      <c r="C50" s="99" t="str">
        <v>Air</v>
      </c>
      <c r="D50" s="95">
        <v>0</v>
      </c>
      <c r="G50" s="96"/>
      <c r="H50" s="91"/>
      <c r="I50" s="91"/>
    </row>
    <row r="51" spans="2:9" outlineLevel="2" x14ac:dyDescent="0.35">
      <c r="G51" s="96"/>
      <c r="H51" s="91"/>
      <c r="I51" s="91"/>
    </row>
    <row r="52" spans="2:9" outlineLevel="2" x14ac:dyDescent="0.35">
      <c r="G52" s="96"/>
      <c r="H52" s="91"/>
      <c r="I52" s="91"/>
    </row>
    <row r="53" spans="2:9" outlineLevel="2" x14ac:dyDescent="0.35">
      <c r="B53" s="76" t="s">
        <v>1816</v>
      </c>
      <c r="C53" s="97" t="str" cm="1">
        <f t="array" ref="C53:C56">\reference_transportationtype</f>
        <v>Land</v>
      </c>
      <c r="D53" s="86" cm="1">
        <f t="array" ref="D53:D56" xml:space="preserve"> calc_transportationtype_perc * SUMIF(calc_goods_temperature, "No", calc_goods_code_perc)</f>
        <v>0.1</v>
      </c>
      <c r="G53" s="96"/>
      <c r="H53" s="91"/>
      <c r="I53" s="91"/>
    </row>
    <row r="54" spans="2:9" outlineLevel="2" x14ac:dyDescent="0.35">
      <c r="C54" s="98" t="str">
        <v>Rail</v>
      </c>
      <c r="D54" s="91">
        <v>0</v>
      </c>
      <c r="G54" s="96"/>
      <c r="H54" s="91"/>
      <c r="I54" s="91"/>
    </row>
    <row r="55" spans="2:9" outlineLevel="2" x14ac:dyDescent="0.35">
      <c r="C55" s="98" t="str">
        <v>Sea</v>
      </c>
      <c r="D55" s="91">
        <v>0.9</v>
      </c>
      <c r="G55" s="96"/>
      <c r="H55" s="91"/>
      <c r="I55" s="91"/>
    </row>
    <row r="56" spans="2:9" outlineLevel="2" x14ac:dyDescent="0.35">
      <c r="C56" s="98" t="str">
        <v>Air</v>
      </c>
      <c r="D56" s="91">
        <v>0</v>
      </c>
      <c r="G56" s="96"/>
      <c r="H56" s="91"/>
      <c r="I56" s="91"/>
    </row>
    <row r="57" spans="2:9" outlineLevel="2" x14ac:dyDescent="0.35">
      <c r="C57" s="99" t="s">
        <v>1817</v>
      </c>
      <c r="D57" s="95">
        <f xml:space="preserve"> IF(calc_midmarket, 0, SUMIF(calc_goods_temperature, "Yes", calc_goods_code_perc))</f>
        <v>0</v>
      </c>
      <c r="G57" s="96"/>
      <c r="H57" s="91"/>
      <c r="I57" s="91"/>
    </row>
    <row r="58" spans="2:9" outlineLevel="2" x14ac:dyDescent="0.35">
      <c r="G58" s="96"/>
      <c r="H58" s="91"/>
      <c r="I58" s="91"/>
    </row>
    <row r="59" spans="2:9" outlineLevel="2" x14ac:dyDescent="0.35">
      <c r="G59" s="96"/>
      <c r="H59" s="91"/>
      <c r="I59" s="91"/>
    </row>
    <row r="60" spans="2:9" hidden="1" outlineLevel="2" x14ac:dyDescent="0.35">
      <c r="G60" s="96"/>
      <c r="H60" s="91"/>
      <c r="I60" s="91"/>
    </row>
    <row r="61" spans="2:9" hidden="1" outlineLevel="2" x14ac:dyDescent="0.35">
      <c r="G61" s="96"/>
      <c r="H61" s="91"/>
      <c r="I61" s="91"/>
    </row>
    <row r="62" spans="2:9" hidden="1" outlineLevel="2" x14ac:dyDescent="0.35">
      <c r="G62" s="96"/>
      <c r="H62" s="91"/>
      <c r="I62" s="91"/>
    </row>
    <row r="63" spans="2:9" hidden="1" outlineLevel="2" x14ac:dyDescent="0.35">
      <c r="G63" s="96"/>
      <c r="H63" s="91"/>
      <c r="I63" s="91"/>
    </row>
    <row r="64" spans="2:9" hidden="1" outlineLevel="2" x14ac:dyDescent="0.35">
      <c r="G64" s="96"/>
      <c r="H64" s="91"/>
      <c r="I64" s="91"/>
    </row>
    <row r="65" spans="7:9" hidden="1" outlineLevel="2" x14ac:dyDescent="0.35">
      <c r="G65" s="96"/>
      <c r="H65" s="91"/>
      <c r="I65" s="91"/>
    </row>
    <row r="66" spans="7:9" hidden="1" outlineLevel="2" x14ac:dyDescent="0.35">
      <c r="G66" s="96"/>
      <c r="H66" s="91"/>
      <c r="I66" s="91"/>
    </row>
    <row r="67" spans="7:9" hidden="1" outlineLevel="2" x14ac:dyDescent="0.35">
      <c r="G67" s="96"/>
      <c r="H67" s="91"/>
      <c r="I67" s="91"/>
    </row>
    <row r="68" spans="7:9" hidden="1" outlineLevel="2" x14ac:dyDescent="0.35">
      <c r="G68" s="96"/>
      <c r="H68" s="91"/>
      <c r="I68" s="91"/>
    </row>
    <row r="69" spans="7:9" hidden="1" outlineLevel="2" x14ac:dyDescent="0.35">
      <c r="G69" s="96"/>
      <c r="H69" s="91"/>
      <c r="I69" s="91"/>
    </row>
    <row r="70" spans="7:9" hidden="1" outlineLevel="2" x14ac:dyDescent="0.35">
      <c r="G70" s="96"/>
      <c r="H70" s="91"/>
      <c r="I70" s="91"/>
    </row>
    <row r="71" spans="7:9" hidden="1" outlineLevel="2" x14ac:dyDescent="0.35">
      <c r="G71" s="96"/>
      <c r="H71" s="91"/>
      <c r="I71" s="91"/>
    </row>
    <row r="72" spans="7:9" hidden="1" outlineLevel="2" x14ac:dyDescent="0.35">
      <c r="G72" s="96"/>
      <c r="H72" s="91"/>
      <c r="I72" s="91"/>
    </row>
    <row r="73" spans="7:9" hidden="1" outlineLevel="2" x14ac:dyDescent="0.35">
      <c r="G73" s="96"/>
      <c r="H73" s="91"/>
      <c r="I73" s="91"/>
    </row>
    <row r="74" spans="7:9" hidden="1" outlineLevel="2" x14ac:dyDescent="0.35">
      <c r="G74" s="96"/>
      <c r="H74" s="91"/>
      <c r="I74" s="91"/>
    </row>
    <row r="75" spans="7:9" hidden="1" outlineLevel="2" x14ac:dyDescent="0.35">
      <c r="G75" s="96"/>
      <c r="H75" s="91"/>
      <c r="I75" s="91"/>
    </row>
    <row r="76" spans="7:9" hidden="1" outlineLevel="2" x14ac:dyDescent="0.35">
      <c r="G76" s="96"/>
      <c r="H76" s="91"/>
      <c r="I76" s="91"/>
    </row>
    <row r="77" spans="7:9" hidden="1" outlineLevel="2" x14ac:dyDescent="0.35">
      <c r="G77" s="96"/>
      <c r="H77" s="91"/>
      <c r="I77" s="91"/>
    </row>
    <row r="78" spans="7:9" hidden="1" outlineLevel="2" x14ac:dyDescent="0.35">
      <c r="G78" s="96"/>
      <c r="H78" s="91"/>
      <c r="I78" s="91"/>
    </row>
    <row r="79" spans="7:9" hidden="1" outlineLevel="2" x14ac:dyDescent="0.35">
      <c r="G79" s="96"/>
      <c r="H79" s="91"/>
      <c r="I79" s="91"/>
    </row>
    <row r="80" spans="7:9" hidden="1" outlineLevel="2" x14ac:dyDescent="0.35">
      <c r="G80" s="96"/>
      <c r="H80" s="91"/>
      <c r="I80" s="91"/>
    </row>
    <row r="81" spans="7:9" hidden="1" outlineLevel="2" x14ac:dyDescent="0.35">
      <c r="G81" s="96"/>
      <c r="H81" s="91"/>
      <c r="I81" s="91"/>
    </row>
    <row r="82" spans="7:9" hidden="1" outlineLevel="2" x14ac:dyDescent="0.35">
      <c r="G82" s="96"/>
      <c r="H82" s="91"/>
      <c r="I82" s="91"/>
    </row>
    <row r="83" spans="7:9" hidden="1" outlineLevel="2" x14ac:dyDescent="0.35">
      <c r="G83" s="96"/>
      <c r="H83" s="91"/>
      <c r="I83" s="91"/>
    </row>
    <row r="84" spans="7:9" hidden="1" outlineLevel="2" x14ac:dyDescent="0.35">
      <c r="G84" s="96"/>
      <c r="H84" s="91"/>
      <c r="I84" s="91"/>
    </row>
    <row r="85" spans="7:9" hidden="1" outlineLevel="2" x14ac:dyDescent="0.35">
      <c r="G85" s="96"/>
      <c r="H85" s="91"/>
      <c r="I85" s="91"/>
    </row>
    <row r="86" spans="7:9" hidden="1" outlineLevel="2" x14ac:dyDescent="0.35">
      <c r="G86" s="96"/>
      <c r="H86" s="91"/>
      <c r="I86" s="91"/>
    </row>
    <row r="87" spans="7:9" hidden="1" outlineLevel="2" x14ac:dyDescent="0.35">
      <c r="G87" s="96"/>
      <c r="H87" s="91"/>
      <c r="I87" s="91"/>
    </row>
    <row r="88" spans="7:9" hidden="1" outlineLevel="2" x14ac:dyDescent="0.35">
      <c r="G88" s="96"/>
      <c r="H88" s="91"/>
      <c r="I88" s="91"/>
    </row>
    <row r="89" spans="7:9" hidden="1" outlineLevel="2" x14ac:dyDescent="0.35">
      <c r="G89" s="96"/>
      <c r="H89" s="91"/>
      <c r="I89" s="91"/>
    </row>
    <row r="90" spans="7:9" hidden="1" outlineLevel="2" x14ac:dyDescent="0.35">
      <c r="G90" s="96"/>
      <c r="H90" s="91"/>
      <c r="I90" s="91"/>
    </row>
    <row r="91" spans="7:9" hidden="1" outlineLevel="2" x14ac:dyDescent="0.35">
      <c r="G91" s="96"/>
      <c r="H91" s="91"/>
      <c r="I91" s="91"/>
    </row>
    <row r="92" spans="7:9" hidden="1" outlineLevel="2" x14ac:dyDescent="0.35">
      <c r="G92" s="96"/>
      <c r="H92" s="91"/>
      <c r="I92" s="91"/>
    </row>
    <row r="93" spans="7:9" hidden="1" outlineLevel="2" x14ac:dyDescent="0.35">
      <c r="G93" s="96"/>
      <c r="H93" s="91"/>
      <c r="I93" s="91"/>
    </row>
    <row r="94" spans="7:9" hidden="1" outlineLevel="2" x14ac:dyDescent="0.35">
      <c r="G94" s="96"/>
      <c r="H94" s="91"/>
      <c r="I94" s="91"/>
    </row>
    <row r="95" spans="7:9" hidden="1" outlineLevel="2" x14ac:dyDescent="0.35">
      <c r="G95" s="96"/>
      <c r="H95" s="91"/>
      <c r="I95" s="91"/>
    </row>
    <row r="96" spans="7:9" hidden="1" outlineLevel="2" x14ac:dyDescent="0.35">
      <c r="G96" s="96"/>
      <c r="H96" s="91"/>
      <c r="I96" s="91"/>
    </row>
    <row r="97" spans="7:9" hidden="1" outlineLevel="2" x14ac:dyDescent="0.35">
      <c r="G97" s="96"/>
      <c r="H97" s="91"/>
      <c r="I97" s="91"/>
    </row>
    <row r="98" spans="7:9" hidden="1" outlineLevel="2" x14ac:dyDescent="0.35">
      <c r="G98" s="96"/>
      <c r="H98" s="91"/>
      <c r="I98" s="91"/>
    </row>
    <row r="99" spans="7:9" hidden="1" outlineLevel="2" x14ac:dyDescent="0.35">
      <c r="G99" s="96"/>
      <c r="H99" s="91"/>
      <c r="I99" s="91"/>
    </row>
    <row r="100" spans="7:9" hidden="1" outlineLevel="2" x14ac:dyDescent="0.35">
      <c r="G100" s="96"/>
      <c r="H100" s="91"/>
      <c r="I100" s="91"/>
    </row>
    <row r="101" spans="7:9" hidden="1" outlineLevel="2" x14ac:dyDescent="0.35">
      <c r="G101" s="96"/>
      <c r="H101" s="91"/>
      <c r="I101" s="91"/>
    </row>
    <row r="102" spans="7:9" hidden="1" outlineLevel="2" x14ac:dyDescent="0.35">
      <c r="G102" s="96"/>
      <c r="H102" s="91"/>
      <c r="I102" s="91"/>
    </row>
    <row r="103" spans="7:9" hidden="1" outlineLevel="2" x14ac:dyDescent="0.35">
      <c r="G103" s="96"/>
      <c r="H103" s="91"/>
      <c r="I103" s="91"/>
    </row>
    <row r="104" spans="7:9" hidden="1" outlineLevel="2" x14ac:dyDescent="0.35">
      <c r="G104" s="96"/>
      <c r="H104" s="91"/>
      <c r="I104" s="91"/>
    </row>
    <row r="105" spans="7:9" hidden="1" outlineLevel="2" x14ac:dyDescent="0.35">
      <c r="G105" s="96"/>
      <c r="H105" s="91"/>
      <c r="I105" s="91"/>
    </row>
    <row r="106" spans="7:9" hidden="1" outlineLevel="2" x14ac:dyDescent="0.35">
      <c r="G106" s="96"/>
      <c r="H106" s="91"/>
      <c r="I106" s="91"/>
    </row>
    <row r="107" spans="7:9" hidden="1" outlineLevel="2" x14ac:dyDescent="0.35">
      <c r="G107" s="96"/>
      <c r="H107" s="91"/>
      <c r="I107" s="91"/>
    </row>
    <row r="108" spans="7:9" hidden="1" outlineLevel="2" x14ac:dyDescent="0.35">
      <c r="G108" s="96"/>
      <c r="H108" s="91"/>
      <c r="I108" s="91"/>
    </row>
    <row r="109" spans="7:9" hidden="1" outlineLevel="2" x14ac:dyDescent="0.35">
      <c r="G109" s="96"/>
      <c r="H109" s="91"/>
      <c r="I109" s="91"/>
    </row>
    <row r="110" spans="7:9" hidden="1" outlineLevel="2" x14ac:dyDescent="0.35">
      <c r="G110" s="96"/>
      <c r="H110" s="91"/>
      <c r="I110" s="91"/>
    </row>
    <row r="111" spans="7:9" hidden="1" outlineLevel="2" x14ac:dyDescent="0.35">
      <c r="G111" s="96"/>
      <c r="H111" s="91"/>
      <c r="I111" s="91"/>
    </row>
    <row r="112" spans="7:9" hidden="1" outlineLevel="2" x14ac:dyDescent="0.35">
      <c r="G112" s="96"/>
      <c r="H112" s="91"/>
      <c r="I112" s="91"/>
    </row>
    <row r="113" spans="2:16" hidden="1" outlineLevel="2" x14ac:dyDescent="0.35">
      <c r="G113" s="96"/>
      <c r="H113" s="91"/>
      <c r="I113" s="91"/>
    </row>
    <row r="114" spans="2:16" hidden="1" outlineLevel="2" x14ac:dyDescent="0.35">
      <c r="G114" s="96"/>
      <c r="H114" s="91"/>
      <c r="I114" s="91"/>
    </row>
    <row r="115" spans="2:16" hidden="1" outlineLevel="2" x14ac:dyDescent="0.35">
      <c r="G115" s="96"/>
      <c r="H115" s="91"/>
      <c r="I115" s="91"/>
    </row>
    <row r="116" spans="2:16" hidden="1" outlineLevel="2" x14ac:dyDescent="0.35">
      <c r="G116" s="96"/>
      <c r="H116" s="91"/>
      <c r="I116" s="91"/>
    </row>
    <row r="117" spans="2:16" hidden="1" outlineLevel="2" x14ac:dyDescent="0.35">
      <c r="G117" s="96"/>
      <c r="H117" s="91"/>
      <c r="I117" s="91"/>
    </row>
    <row r="118" spans="2:16" hidden="1" outlineLevel="2" x14ac:dyDescent="0.35">
      <c r="G118" s="96"/>
      <c r="H118" s="91"/>
      <c r="I118" s="91"/>
    </row>
    <row r="119" spans="2:16" hidden="1" outlineLevel="2" x14ac:dyDescent="0.35">
      <c r="G119" s="96"/>
      <c r="H119" s="91"/>
      <c r="I119" s="91"/>
    </row>
    <row r="120" spans="2:16" hidden="1" outlineLevel="2" x14ac:dyDescent="0.35">
      <c r="G120" s="96"/>
      <c r="H120" s="91"/>
      <c r="I120" s="91"/>
    </row>
    <row r="121" spans="2:16" outlineLevel="2" x14ac:dyDescent="0.35">
      <c r="G121" s="100"/>
      <c r="H121" s="95"/>
      <c r="I121" s="95"/>
    </row>
    <row r="122" spans="2:16" outlineLevel="2" x14ac:dyDescent="0.35"/>
    <row r="123" spans="2:16" outlineLevel="1" x14ac:dyDescent="0.35"/>
    <row r="124" spans="2:16" outlineLevel="1" x14ac:dyDescent="0.35">
      <c r="B124" s="15" t="s">
        <v>41</v>
      </c>
      <c r="C124" s="15"/>
      <c r="D124" s="15"/>
      <c r="E124" s="15"/>
      <c r="F124" s="15"/>
      <c r="G124" s="15"/>
      <c r="H124" s="15"/>
      <c r="I124" s="15"/>
      <c r="J124" s="15"/>
      <c r="K124" s="15"/>
      <c r="L124" s="15"/>
      <c r="M124" s="15"/>
      <c r="N124" s="15"/>
      <c r="O124" s="15"/>
      <c r="P124" s="15"/>
    </row>
    <row r="125" spans="2:16" outlineLevel="2" x14ac:dyDescent="0.35"/>
    <row r="126" spans="2:16" ht="58" outlineLevel="2" x14ac:dyDescent="0.35">
      <c r="C126" s="76" t="s">
        <v>1818</v>
      </c>
      <c r="D126" s="76" t="s">
        <v>58</v>
      </c>
      <c r="F126" s="76" t="s">
        <v>1819</v>
      </c>
      <c r="G126" s="101" t="s">
        <v>1820</v>
      </c>
      <c r="H126" s="101" t="s">
        <v>1821</v>
      </c>
      <c r="I126" s="101" t="s">
        <v>1822</v>
      </c>
      <c r="J126" s="76" t="s">
        <v>1823</v>
      </c>
      <c r="K126" s="76" t="s">
        <v>1824</v>
      </c>
      <c r="M126" s="76" t="s">
        <v>1825</v>
      </c>
      <c r="N126" s="76" t="s">
        <v>1826</v>
      </c>
    </row>
    <row r="127" spans="2:16" outlineLevel="2" x14ac:dyDescent="0.35">
      <c r="B127" s="76" t="s">
        <v>1827</v>
      </c>
      <c r="C127" s="102">
        <f xml:space="preserve"> \selected_conditions_limit_General</f>
        <v>500000</v>
      </c>
      <c r="D127" s="44">
        <f>calc_limit_general/calc_fxrate</f>
        <v>500000</v>
      </c>
      <c r="F127" s="76" t="s">
        <v>1828</v>
      </c>
      <c r="G127" s="103">
        <f>IF(\selected_conditions_deductibleProp_General &lt;&gt; "", \selected_conditions_deductibleProp_General, 1)</f>
        <v>1</v>
      </c>
      <c r="H127" s="104">
        <f>\selected_conditions_deductible_General</f>
        <v>125</v>
      </c>
      <c r="I127" s="104">
        <f>calc_deductible_general/calc_fxrate</f>
        <v>125</v>
      </c>
      <c r="J127" s="104">
        <f>IF(\selected_conditions_deductibleProp_General = 0, \selected_conditions_deductible_General, IF(\selected_conditions_deductibleMax_General = "", calc_llthreshold1_transport*calc_fxrate, \selected_conditions_deductibleMax_General))</f>
        <v>125</v>
      </c>
      <c r="K127" s="44">
        <f>calc_deductiblemax_general/calc_fxrate</f>
        <v>125</v>
      </c>
      <c r="M127" s="44">
        <f>IF( \selected_conditions_deductibleAggregat_General = "", 999*calc_deductiblemax_general, \selected_conditions_deductibleAggregat_General )</f>
        <v>124875</v>
      </c>
      <c r="N127" s="44">
        <f>calc_deductibleagg_general / calc_fxrate</f>
        <v>124875</v>
      </c>
    </row>
    <row r="128" spans="2:16" outlineLevel="2" x14ac:dyDescent="0.35"/>
    <row r="129" spans="2:18" outlineLevel="2" x14ac:dyDescent="0.35">
      <c r="B129" s="76" t="s">
        <v>1829</v>
      </c>
      <c r="F129" s="76" t="s">
        <v>1830</v>
      </c>
    </row>
    <row r="130" spans="2:18" outlineLevel="2" x14ac:dyDescent="0.35">
      <c r="B130" s="105" t="str" cm="1">
        <f t="array" ref="B130:B133">INDEX( \parameter_transportationtype, 0, 1)</f>
        <v>Land</v>
      </c>
      <c r="C130" s="106" cm="1">
        <f t="array" ref="C130:C133" xml:space="preserve"> IF(calc_midmarket, _xlfn.SEQUENCE( COUNTA(_xlfn.ANCHORARRAY(B130)), 1, calc_limit_general, 0), _xlfn.BYROW(\selected_limit_transportationtype, _xlfn.LAMBDA(_xlpm.data, IF( _xlpm.data = "", calc_limit_general, MIN(calc_limit_general, _xlpm.data )))))</f>
        <v>500000</v>
      </c>
      <c r="D130" s="106" cm="1">
        <f t="array" ref="D130:D133">calc_limit_transportationtype/calc_fxrate</f>
        <v>500000</v>
      </c>
      <c r="F130" s="105" t="str" cm="1">
        <f t="array" ref="F130:F133">INDEX( \parameter_transportationtype, 0, 1)</f>
        <v>Land</v>
      </c>
      <c r="G130" s="86" cm="1">
        <f t="array" ref="G130:G133" xml:space="preserve"> IF(calc_midmarket, _xlfn.SEQUENCE( COUNTA(_xlfn.ANCHORARRAY(B130)), 1, calc_deductibleprop_general, 0), IF( calc_deductible_notspecified_transportationtype = 0, IF(\selected_deductibleprop_transportationtype &lt;&gt; 0, \selected_deductibleprop_transportationtype, 1), calc_deductibleprop_general ))</f>
        <v>1</v>
      </c>
      <c r="H130" s="107" cm="1">
        <f t="array" ref="H130:H133" xml:space="preserve"> IF(calc_midmarket, _xlfn.SEQUENCE( COUNTA(_xlfn.ANCHORARRAY(B130)), 1, calc_deductible_general, 0), IF( calc_deductible_notspecified_transportationtype = 0, \selected_deductible_transportationtype, calc_deductible_general ))</f>
        <v>125</v>
      </c>
      <c r="I130" s="107" cm="1">
        <f t="array" ref="I130:I133" xml:space="preserve"> calc_deductible_transportationtype / calc_fxrate</f>
        <v>125</v>
      </c>
      <c r="J130" s="107" cm="1">
        <f t="array" ref="J130:J133" xml:space="preserve"> IF(calc_midmarket, _xlfn.SEQUENCE( COUNTA(_xlfn.ANCHORARRAY(B130)), 1, calc_deductiblemax_general, 0), IF( calc_deductible_notspecified_transportationtype = 0, IF(\selected_deductibleprop_transportationtype = 0, \selected_deductible_transportationtype, IF(\selected_deductiblemax_transportationtype = "", calc_llthreshold1_transport*calc_fxrate, \selected_deductiblemax_transportationtype)), calc_deductiblemax_general))</f>
        <v>125</v>
      </c>
      <c r="K130" s="107" cm="1">
        <f t="array" ref="K130:K133">calc_deductiblemax_transportationtype/calc_fxrate</f>
        <v>125</v>
      </c>
      <c r="L130" s="107" cm="1">
        <f t="array" aca="1" ref="L130:L132" ca="1">IF(calc_midmarket, ROW(OFFSET(A1,0,0,3)) * 0 + 1, IF(\selected_deductible_transportationtype = "", IF(\selected_deductibleprop_transportationtype = "", 1, 0), 0))</f>
        <v>1</v>
      </c>
      <c r="M130" s="107" cm="1">
        <f t="array" aca="1" ref="M130:M133" ca="1" xml:space="preserve"> IF(calc_midmarket, _xlfn.SEQUENCE( COUNTA(_xlfn.ANCHORARRAY(B130)), 1, calc_deductibleagg_general, 0), _xlfn.LET(_xlpm.data, OFFSET(\selected_conditions_deductibleAggregat_Land, 0, 0, COUNTA(_xlfn.ANCHORARRAY(F130))), IF(_xlpm.data = "", calc_deductibleagg_general, _xlpm.data)))</f>
        <v>124875</v>
      </c>
      <c r="N130" s="107" cm="1">
        <f t="array" aca="1" ref="N130:N133" ca="1">calc_deductibleagg_transportationtype / calc_fxrate</f>
        <v>124875</v>
      </c>
    </row>
    <row r="131" spans="2:18" outlineLevel="2" x14ac:dyDescent="0.35">
      <c r="B131" s="108" t="str">
        <v>Rail</v>
      </c>
      <c r="C131" s="109">
        <v>500000</v>
      </c>
      <c r="D131" s="109">
        <v>500000</v>
      </c>
      <c r="F131" s="108" t="str">
        <v>Rail</v>
      </c>
      <c r="G131" s="91">
        <v>1</v>
      </c>
      <c r="H131" s="110">
        <v>125</v>
      </c>
      <c r="I131" s="110">
        <v>125</v>
      </c>
      <c r="J131" s="110">
        <v>125</v>
      </c>
      <c r="K131" s="110">
        <v>125</v>
      </c>
      <c r="L131" s="110">
        <f ca="1"/>
        <v>1</v>
      </c>
      <c r="M131" s="110">
        <f ca="1"/>
        <v>124875</v>
      </c>
      <c r="N131" s="110">
        <f ca="1"/>
        <v>124875</v>
      </c>
    </row>
    <row r="132" spans="2:18" outlineLevel="2" x14ac:dyDescent="0.35">
      <c r="B132" s="861" t="str">
        <v>Sea</v>
      </c>
      <c r="C132" s="863">
        <v>500000</v>
      </c>
      <c r="D132" s="863">
        <v>500000</v>
      </c>
      <c r="F132" s="861" t="str">
        <v>Sea</v>
      </c>
      <c r="G132" s="860">
        <v>1</v>
      </c>
      <c r="H132" s="864">
        <v>125</v>
      </c>
      <c r="I132" s="864">
        <v>125</v>
      </c>
      <c r="J132" s="864">
        <v>125</v>
      </c>
      <c r="K132" s="864">
        <v>125</v>
      </c>
      <c r="L132" s="864">
        <f ca="1"/>
        <v>1</v>
      </c>
      <c r="M132" s="864">
        <f ca="1"/>
        <v>124875</v>
      </c>
      <c r="N132" s="864">
        <f ca="1"/>
        <v>124875</v>
      </c>
    </row>
    <row r="133" spans="2:18" outlineLevel="2" x14ac:dyDescent="0.35">
      <c r="B133" s="111" t="str">
        <v>Air</v>
      </c>
      <c r="C133" s="112">
        <v>500000</v>
      </c>
      <c r="D133" s="112">
        <v>500000</v>
      </c>
      <c r="F133" s="111" t="str">
        <v>Air</v>
      </c>
      <c r="G133" s="95">
        <v>1</v>
      </c>
      <c r="H133" s="113">
        <v>125</v>
      </c>
      <c r="I133" s="113">
        <v>125</v>
      </c>
      <c r="J133" s="113">
        <v>125</v>
      </c>
      <c r="K133" s="113">
        <v>125</v>
      </c>
      <c r="L133" s="113"/>
      <c r="M133" s="113">
        <f ca="1"/>
        <v>124875</v>
      </c>
      <c r="N133" s="113">
        <f ca="1"/>
        <v>124875</v>
      </c>
    </row>
    <row r="134" spans="2:18" outlineLevel="2" x14ac:dyDescent="0.35"/>
    <row r="135" spans="2:18" ht="29" outlineLevel="2" x14ac:dyDescent="0.35">
      <c r="B135" s="76" t="s">
        <v>1831</v>
      </c>
      <c r="C135" s="114">
        <f>IF(\selected_conditions_limit_temperatureContr="", calc_limit_general, \selected_conditions_limit_temperatureContr)</f>
        <v>500000</v>
      </c>
      <c r="D135" s="45">
        <f>calc_limit_temperaturecontrolled/calc_fxrate</f>
        <v>500000</v>
      </c>
      <c r="F135" s="76" t="s">
        <v>1832</v>
      </c>
      <c r="G135" s="115">
        <f>IF( calc_deductible_notspecified_temperaturecontrolled = 0, IF(\selected_conditions_deductibleProp_temperatureContr &lt;&gt; 0, \selected_conditions_deductibleProp_temperatureContr, 1), calc_deductibleprop_general )</f>
        <v>1</v>
      </c>
      <c r="H135" s="116">
        <f xml:space="preserve"> IF( calc_deductible_notspecified_temperaturecontrolled = 0, \selected_conditions_deductible_temperatureContr, calc_deductible_general )</f>
        <v>125</v>
      </c>
      <c r="I135" s="116">
        <f xml:space="preserve"> calc_deductible_temperaturecontrolled / calc_fxrate</f>
        <v>125</v>
      </c>
      <c r="J135" s="116">
        <f>IF( calc_deductible_notspecified_temperaturecontrolled = 0, IF(\selected_conditions_deductibleProp_temperatureContr = 0, \selected_conditions_deductible_temperatureContr, IF(\selected_conditions_deductibleMax_temperatureContr = "", calc_llthreshold1_transport*calc_fxrate, \selected_conditions_deductibleMax_temperatureContr)), calc_deductiblemax_general)</f>
        <v>125</v>
      </c>
      <c r="K135" s="116">
        <f>calc_deductiblemax_temperaturecontrolled/calc_fxrate</f>
        <v>125</v>
      </c>
      <c r="L135" s="117">
        <f>IF( calc_midmarket, 1, IF(\selected_conditions_deductible_temperatureContr = "", IF(\selected_conditions_deductibleProp_temperatureContr = "", 1, 0), 0))</f>
        <v>1</v>
      </c>
      <c r="N135" s="76" t="s">
        <v>1833</v>
      </c>
      <c r="O135" s="118" t="b">
        <f xml:space="preserve"> D57 &gt; 0</f>
        <v>0</v>
      </c>
    </row>
    <row r="136" spans="2:18" outlineLevel="2" x14ac:dyDescent="0.35">
      <c r="L136" s="119"/>
      <c r="M136" s="119"/>
    </row>
    <row r="137" spans="2:18" outlineLevel="2" x14ac:dyDescent="0.35">
      <c r="B137" s="76" t="s">
        <v>1834</v>
      </c>
      <c r="C137" s="77">
        <f>IF(\selected_limitdays_storage_transport="",MAX(INDEX(\parameter_storage_transports_days,,1)),\selected_limitdays_storage_transport)</f>
        <v>90</v>
      </c>
    </row>
    <row r="138" spans="2:18" outlineLevel="1" x14ac:dyDescent="0.35"/>
    <row r="139" spans="2:18" outlineLevel="1" x14ac:dyDescent="0.35">
      <c r="B139" s="15" t="s">
        <v>1835</v>
      </c>
      <c r="C139" s="15"/>
      <c r="D139" s="15"/>
      <c r="E139" s="15"/>
      <c r="F139" s="15"/>
      <c r="G139" s="15"/>
      <c r="H139" s="15"/>
      <c r="I139" s="15"/>
      <c r="J139" s="15"/>
      <c r="K139" s="15"/>
      <c r="L139" s="15"/>
      <c r="M139" s="15"/>
      <c r="N139" s="15"/>
      <c r="O139" s="15"/>
      <c r="P139" s="15"/>
    </row>
    <row r="140" spans="2:18" outlineLevel="2" x14ac:dyDescent="0.35"/>
    <row r="141" spans="2:18" outlineLevel="2" x14ac:dyDescent="0.35">
      <c r="B141" s="120" t="s">
        <v>1836</v>
      </c>
      <c r="C141" s="119"/>
      <c r="J141" s="120" t="s">
        <v>1837</v>
      </c>
    </row>
    <row r="142" spans="2:18" outlineLevel="2" x14ac:dyDescent="0.35">
      <c r="C142" s="119"/>
      <c r="J142" s="121"/>
      <c r="K142" s="121"/>
      <c r="L142" s="121"/>
    </row>
    <row r="143" spans="2:18" ht="43.5" outlineLevel="2" x14ac:dyDescent="0.35">
      <c r="C143" s="76" t="s">
        <v>847</v>
      </c>
      <c r="D143" s="533">
        <f ca="1" xml:space="preserve"> IF( calc_midmarket, IF($G$28, Parameter!B15, Parameter!B10), \parameter_countmodel_intercept )</f>
        <v>-13.0133176825306</v>
      </c>
      <c r="F143" s="76" t="s">
        <v>1838</v>
      </c>
      <c r="G143" s="122">
        <f ca="1">EXP( D145 + LN(calc_exposure_transport_total_EUR / \parameter_baseexposure_transport) * D146 )</f>
        <v>0.24733643166066502</v>
      </c>
      <c r="L143" s="121"/>
      <c r="N143" s="76" t="s">
        <v>1839</v>
      </c>
      <c r="O143" s="83">
        <f ca="1" xml:space="preserve"> IF( Parameter!B58, IF(G28, EXP(R143 + R146), EXP(Parameter!B22 + 1/2 * Parameter!B24)), \parameter_constant_severitymodel)</f>
        <v>1179.9593997186239</v>
      </c>
      <c r="Q143" s="76" t="s">
        <v>1840</v>
      </c>
      <c r="R143" s="78">
        <f ca="1" xml:space="preserve"> IF(G28, Parameter!B25, Parameter!B22)</f>
        <v>5.7335486755906002</v>
      </c>
    </row>
    <row r="144" spans="2:18" ht="58" outlineLevel="2" x14ac:dyDescent="0.35">
      <c r="C144" s="76" t="s">
        <v>860</v>
      </c>
      <c r="D144" s="533">
        <f ca="1" xml:space="preserve"> IF( calc_midmarket, IF($G$28, Parameter!B16, Parameter!B11), \parameter_countmodel_turnover )</f>
        <v>0.41572828846745002</v>
      </c>
      <c r="F144" s="76" t="s">
        <v>1841</v>
      </c>
      <c r="G144" s="122">
        <f ca="1">EXP( D143 + LN(calc_exposure_transport_total_EUR / \parameter_baseexposure_transport) * D144 )</f>
        <v>1.254711875579904E-4</v>
      </c>
      <c r="L144" s="121"/>
      <c r="Q144" s="76" t="s">
        <v>1842</v>
      </c>
      <c r="R144" s="78">
        <f ca="1" xml:space="preserve"> SQRT(R145)</f>
        <v>1.6368791245898764</v>
      </c>
    </row>
    <row r="145" spans="2:18" ht="29" outlineLevel="2" x14ac:dyDescent="0.35">
      <c r="C145" s="76" t="s">
        <v>872</v>
      </c>
      <c r="D145" s="533">
        <f ca="1" xml:space="preserve"> IF( calc_midmarket, IF($G$28, Parameter!B17, Parameter!B12), \parameter_zerohurdle_intercept )</f>
        <v>-7.2493606225886298</v>
      </c>
      <c r="L145" s="121"/>
      <c r="Q145" s="76" t="s">
        <v>1843</v>
      </c>
      <c r="R145" s="78">
        <f ca="1" xml:space="preserve"> IF(G28, Parameter!B27, Parameter!B24)</f>
        <v>2.6793732685181202</v>
      </c>
    </row>
    <row r="146" spans="2:18" ht="43.5" outlineLevel="2" x14ac:dyDescent="0.35">
      <c r="C146" s="76" t="s">
        <v>885</v>
      </c>
      <c r="D146" s="533">
        <f ca="1" xml:space="preserve"> IF( calc_midmarket, IF($G$28, Parameter!B18, Parameter!B13), \parameter_zerohurdle_turnover )</f>
        <v>0.60373695427693996</v>
      </c>
      <c r="F146" s="76" t="s">
        <v>1844</v>
      </c>
      <c r="G146" s="122">
        <f ca="1">calc_losscount_base / (1 + calc_losscount_base)</f>
        <v>0.19829167607280498</v>
      </c>
      <c r="L146" s="121"/>
      <c r="Q146" s="76" t="s">
        <v>1845</v>
      </c>
      <c r="R146" s="78">
        <f ca="1" xml:space="preserve"> R145 / 2</f>
        <v>1.3396866342590601</v>
      </c>
    </row>
    <row r="147" spans="2:18" ht="43.5" outlineLevel="2" x14ac:dyDescent="0.35">
      <c r="C147" s="76" t="s">
        <v>896</v>
      </c>
      <c r="D147" s="534">
        <f ca="1" xml:space="preserve"> IF( calc_midmarket, IF($G$28, Parameter!B19, Parameter!B14), \parameter_countmodel_dispersion )</f>
        <v>4.5513239999999999E-5</v>
      </c>
      <c r="L147" s="121"/>
    </row>
    <row r="148" spans="2:18" outlineLevel="2" x14ac:dyDescent="0.35">
      <c r="F148" s="76" t="s">
        <v>1846</v>
      </c>
      <c r="G148" s="122">
        <f ca="1">calc_losscount_inverselogit * (calc_losscount_base2 / (1 - (1 + calc_losscount_base2 / D147)^-D147))</f>
        <v>0.41302578308286741</v>
      </c>
      <c r="L148" s="121"/>
    </row>
    <row r="149" spans="2:18" outlineLevel="2" x14ac:dyDescent="0.35">
      <c r="L149" s="121"/>
    </row>
    <row r="150" spans="2:18" outlineLevel="2" x14ac:dyDescent="0.35">
      <c r="F150" s="76" t="s">
        <v>1847</v>
      </c>
      <c r="G150" s="78">
        <f>VLOOKUP(calc_industry_code,\parameter_industry,5,FALSE)</f>
        <v>1</v>
      </c>
      <c r="L150" s="121"/>
      <c r="N150" s="76" t="s">
        <v>1847</v>
      </c>
      <c r="O150" s="78">
        <f>VLOOKUP(calc_industry_code,\parameter_industry,6,FALSE)</f>
        <v>1</v>
      </c>
    </row>
    <row r="151" spans="2:18" outlineLevel="2" x14ac:dyDescent="0.35">
      <c r="F151" s="76" t="s">
        <v>1848</v>
      </c>
      <c r="G151" s="78">
        <f>VLOOKUP(calc_ipflag,\parameter_ip,2,FALSE)</f>
        <v>1</v>
      </c>
      <c r="L151" s="121"/>
      <c r="N151" s="76" t="s">
        <v>1848</v>
      </c>
      <c r="O151" s="78">
        <f>VLOOKUP(calc_ipflag,\parameter_ip,3,FALSE)</f>
        <v>1</v>
      </c>
    </row>
    <row r="152" spans="2:18" ht="43.5" outlineLevel="2" x14ac:dyDescent="0.35">
      <c r="F152" s="76" t="s">
        <v>1849</v>
      </c>
      <c r="G152" s="78">
        <f xml:space="preserve"> IF(FALSE, (calc_exposure_transport_total_EUR/\parameter_baseexposure_transport)^\parameter_zerohurdle_turnover &amp; " Wird nicht benutzt solange Zero Hurdle gewählt ist und der Zero hurdle teil vom Umsatz abhängt.", 1)</f>
        <v>1</v>
      </c>
      <c r="L152" s="121"/>
      <c r="N152" s="76" t="s">
        <v>1849</v>
      </c>
      <c r="O152" s="123">
        <f ca="1" xml:space="preserve"> IF( Parameter!B58, EXP(R152), 1)</f>
        <v>3.1688352793800139</v>
      </c>
      <c r="Q152" s="76" t="s">
        <v>1850</v>
      </c>
      <c r="R152" s="78">
        <f ca="1" xml:space="preserve"> LN(calc_exposure_transport_total_EUR / 1000) * IF(G28, Parameter!B26, Parameter!B23)</f>
        <v>1.1533641006200746</v>
      </c>
    </row>
    <row r="153" spans="2:18" outlineLevel="2" x14ac:dyDescent="0.35">
      <c r="L153" s="121"/>
    </row>
    <row r="154" spans="2:18" outlineLevel="2" x14ac:dyDescent="0.35">
      <c r="F154" s="76" t="s">
        <v>1851</v>
      </c>
      <c r="G154" s="122">
        <f ca="1">calc_losscount_glmresult*calc_losscount_adjindustry*calc_losscount_adjip*calc_losscount_adjexposure</f>
        <v>0.41302578308286741</v>
      </c>
      <c r="N154" s="76" t="s">
        <v>1852</v>
      </c>
      <c r="O154" s="83">
        <f ca="1" xml:space="preserve"> calc_severity_base*calc_severity_adjindustry*calc_severity_adjip*calc_severity_adjexposure</f>
        <v>3739.0969740644391</v>
      </c>
    </row>
    <row r="155" spans="2:18" outlineLevel="2" x14ac:dyDescent="0.35">
      <c r="B155" s="120" t="s">
        <v>1853</v>
      </c>
    </row>
    <row r="156" spans="2:18" outlineLevel="2" x14ac:dyDescent="0.35">
      <c r="C156" s="119" t="s">
        <v>1854</v>
      </c>
      <c r="J156" s="120" t="s">
        <v>1853</v>
      </c>
    </row>
    <row r="157" spans="2:18" outlineLevel="2" x14ac:dyDescent="0.35">
      <c r="B157" s="125" t="s">
        <v>1855</v>
      </c>
      <c r="C157" s="126" cm="1">
        <f t="array" aca="1" ref="C157:C159" ca="1" xml:space="preserve"> IFERROR(VLOOKUP(calc_goods_code, \parameter_goods, 5, FALSE), 0)</f>
        <v>0.81275965640268855</v>
      </c>
      <c r="F157" s="76" t="s">
        <v>1856</v>
      </c>
      <c r="G157" s="122">
        <f ca="1">SUMPRODUCT(calc_losscount_adjgoods_singlegoods, calc_goods_code_perc)</f>
        <v>0.81275965640268855</v>
      </c>
      <c r="J157" s="125" t="s">
        <v>1855</v>
      </c>
      <c r="K157" s="126" cm="1">
        <f t="array" aca="1" ref="K157:K159" ca="1" xml:space="preserve"> IFERROR( VLOOKUP(calc_goods_code, \parameter_goods, 6, FALSE), 0)</f>
        <v>0.81275965640268855</v>
      </c>
      <c r="N157" s="76" t="s">
        <v>1856</v>
      </c>
      <c r="O157" s="77">
        <f ca="1">SUMPRODUCT( calc_severity_adjgoods_singlegoods, calc_goods_code_perc)</f>
        <v>0.81275965640268855</v>
      </c>
    </row>
    <row r="158" spans="2:18" outlineLevel="2" x14ac:dyDescent="0.35">
      <c r="B158" s="108" t="s">
        <v>1857</v>
      </c>
      <c r="C158" s="127">
        <f ca="1"/>
        <v>0</v>
      </c>
      <c r="J158" s="108" t="s">
        <v>1857</v>
      </c>
      <c r="K158" s="127">
        <f ca="1"/>
        <v>0</v>
      </c>
    </row>
    <row r="159" spans="2:18" outlineLevel="2" x14ac:dyDescent="0.35">
      <c r="B159" s="111" t="s">
        <v>1858</v>
      </c>
      <c r="C159" s="128">
        <f ca="1"/>
        <v>0</v>
      </c>
      <c r="J159" s="111" t="s">
        <v>1858</v>
      </c>
      <c r="K159" s="128">
        <f ca="1"/>
        <v>0</v>
      </c>
    </row>
    <row r="160" spans="2:18" outlineLevel="2" x14ac:dyDescent="0.35"/>
    <row r="161" spans="2:18" ht="58" outlineLevel="2" x14ac:dyDescent="0.35">
      <c r="B161" s="125" t="str" cm="1">
        <f t="array" ref="B161:B164">INDEX( \parameter_transportationtype, 0, 1)</f>
        <v>Land</v>
      </c>
      <c r="C161" s="126" cm="1">
        <f t="array" ref="C161:C164">INDEX( \parameter_transportationtype, 0, 2)</f>
        <v>1</v>
      </c>
      <c r="F161" s="76" t="s">
        <v>1859</v>
      </c>
      <c r="G161" s="77">
        <f>SUMPRODUCT( E43:E46,calc_transportationtype_adjlosscount)</f>
        <v>1.0439279633531364</v>
      </c>
      <c r="J161" s="125" t="str" cm="1">
        <f t="array" ref="J161:J164">INDEX( \parameter_transportationtype, 0, 1)</f>
        <v>Land</v>
      </c>
      <c r="K161" s="126" cm="1">
        <f t="array" ref="K161:K164">INDEX( \parameter_transportationtype, MATCH( calc_transportationtype, INDEX( \parameter_transportationtype, , 1), 0), 3)</f>
        <v>1</v>
      </c>
      <c r="N161" s="76" t="s">
        <v>1859</v>
      </c>
      <c r="O161" s="77">
        <f>SUMPRODUCT( E43:E46, calc_transportationtype_adjseverity)</f>
        <v>1.0439279633531364</v>
      </c>
      <c r="Q161" s="76" t="s">
        <v>1860</v>
      </c>
      <c r="R161" s="78">
        <f xml:space="preserve"> LN(O161)</f>
        <v>4.2990486460193586E-2</v>
      </c>
    </row>
    <row r="162" spans="2:18" ht="29" outlineLevel="2" x14ac:dyDescent="0.35">
      <c r="B162" s="108" t="str">
        <v>Rail</v>
      </c>
      <c r="C162" s="127">
        <v>1</v>
      </c>
      <c r="F162" s="76" t="s">
        <v>1861</v>
      </c>
      <c r="G162" s="77">
        <f xml:space="preserve"> IF(helper_TransportationType_splitAvailable, SUMPRODUCT( calc_transportationtype_perc, calc_transportationtype_adjlosscount), 1)</f>
        <v>1</v>
      </c>
      <c r="J162" s="108" t="str">
        <v>Rail</v>
      </c>
      <c r="K162" s="127">
        <v>1</v>
      </c>
      <c r="N162" s="76" t="s">
        <v>1861</v>
      </c>
      <c r="O162" s="77">
        <f xml:space="preserve"> IF(helper_TransportationType_splitAvailable, SUMPRODUCT( calc_transportationtype_perc, calc_transportationtype_adjseverity), 1)</f>
        <v>1</v>
      </c>
    </row>
    <row r="163" spans="2:18" outlineLevel="2" x14ac:dyDescent="0.35">
      <c r="B163" s="861" t="str">
        <v>Sea</v>
      </c>
      <c r="C163" s="862">
        <v>1.0488088481701516</v>
      </c>
      <c r="J163" s="861" t="str">
        <v>Sea</v>
      </c>
      <c r="K163" s="862">
        <v>1.0488088481701516</v>
      </c>
    </row>
    <row r="164" spans="2:18" outlineLevel="2" x14ac:dyDescent="0.35">
      <c r="B164" s="111" t="str">
        <v>Air</v>
      </c>
      <c r="C164" s="128">
        <v>0.89442719099991586</v>
      </c>
      <c r="J164" s="111" t="str">
        <v>Air</v>
      </c>
      <c r="K164" s="128">
        <v>0.89442719099991586</v>
      </c>
    </row>
    <row r="165" spans="2:18" outlineLevel="2" x14ac:dyDescent="0.35"/>
    <row r="166" spans="2:18" outlineLevel="2" x14ac:dyDescent="0.35">
      <c r="B166" s="224" t="e" cm="1">
        <f t="array" ref="B166">calc_packagingtype</f>
        <v>#NAME?</v>
      </c>
      <c r="C166" s="225" t="e" cm="1">
        <f t="array" ref="C166">INDEX(\parameter_packagingtype,MATCH(calc_packagingtype,INDEX(\parameter_packagingtype,,1),0),2)</f>
        <v>#NAME?</v>
      </c>
      <c r="F166" s="76" t="s">
        <v>1862</v>
      </c>
      <c r="G166" s="580">
        <f>IFERROR(SUMPRODUCT(calc_packagingtype_perc,calc_packagingtype_adjlosscount), 1)</f>
        <v>1</v>
      </c>
      <c r="J166" s="224" t="e" cm="1">
        <f t="array" ref="J166">calc_packagingtype</f>
        <v>#NAME?</v>
      </c>
      <c r="K166" s="225" t="e" cm="1">
        <f t="array" ref="K166">INDEX(\parameter_packagingtype,MATCH(calc_packagingtype,INDEX(\parameter_packagingtype,,1),0),3)</f>
        <v>#NAME?</v>
      </c>
      <c r="N166" s="76" t="s">
        <v>1862</v>
      </c>
      <c r="O166" s="580">
        <f xml:space="preserve"> IFERROR( SUMPRODUCT(calc_packagingtype_perc,calc_packagingtype_adjseverity), 1)</f>
        <v>1</v>
      </c>
    </row>
    <row r="167" spans="2:18" outlineLevel="2" x14ac:dyDescent="0.35"/>
    <row r="168" spans="2:18" ht="58" outlineLevel="2" x14ac:dyDescent="0.35">
      <c r="B168" s="125" t="str">
        <f xml:space="preserve"> calc_geoscope_int_nat</f>
        <v>National</v>
      </c>
      <c r="C168" s="129">
        <f>VLOOKUP(calc_riskcountry_code,\parameter_riskcountry,4,FALSE)</f>
        <v>1</v>
      </c>
      <c r="F168" s="76" t="s">
        <v>1863</v>
      </c>
      <c r="G168" s="78">
        <v>1</v>
      </c>
      <c r="J168" s="125" t="str">
        <f xml:space="preserve"> calc_geoscope_int_nat</f>
        <v>National</v>
      </c>
      <c r="K168" s="129">
        <f>VLOOKUP(calc_riskcountry_code,\parameter_riskcountry,5,FALSE)</f>
        <v>1</v>
      </c>
      <c r="N168" s="76" t="s">
        <v>1863</v>
      </c>
      <c r="O168" s="78">
        <v>1</v>
      </c>
      <c r="Q168" s="76" t="s">
        <v>1864</v>
      </c>
      <c r="R168" s="78">
        <f xml:space="preserve"> LN(O168)</f>
        <v>0</v>
      </c>
    </row>
    <row r="169" spans="2:18" ht="29" outlineLevel="2" x14ac:dyDescent="0.35">
      <c r="B169" s="130" t="str" cm="1">
        <f t="array" aca="1" ref="B169" ca="1">_xlfn.ANCHORARRAY(calc_geoscope_int_int_hashtag)</f>
        <v>Unknown - Unknown</v>
      </c>
      <c r="C169" s="126" cm="1">
        <f t="array" aca="1" ref="C169" ca="1" xml:space="preserve"> INDEX( \parameter_geoscope_int_int, MATCH(_xlfn.ANCHORARRAY( calc_geoscope_int_int_hashtag), INDEX( \parameter_geoscope_int_int, , 1), 0), MATCH("Adjustment Loss Count", \parameter_geoscope_int_int_header, 0))</f>
        <v>1.4574079777979971</v>
      </c>
      <c r="F169" s="76" t="s">
        <v>1865</v>
      </c>
      <c r="G169" s="78">
        <f ca="1" xml:space="preserve"> calc_geoscope_int_nat_perc + SUMPRODUCT(_xlfn.ANCHORARRAY(calc_geoscope_int_int_perc_hashtag),_xlfn.ANCHORARRAY(calc_geoscope_int_adjlosscount_hashtag))</f>
        <v>0</v>
      </c>
      <c r="J169" s="130" t="str" cm="1">
        <f t="array" aca="1" ref="J169" ca="1">_xlfn.ANCHORARRAY(calc_geoscope_int_int_hashtag)</f>
        <v>Unknown - Unknown</v>
      </c>
      <c r="K169" s="126" cm="1">
        <f t="array" aca="1" ref="K169" ca="1">INDEX( \parameter_geoscope_int_int, MATCH(_xlfn.ANCHORARRAY( calc_geoscope_int_int_hashtag), INDEX( \parameter_geoscope_int_int, , 1), 0), MATCH("Adjustment Severity", \parameter_geoscope_int_int_header, 0))</f>
        <v>1.4574079777979971</v>
      </c>
      <c r="N169" s="76" t="s">
        <v>1865</v>
      </c>
      <c r="O169" s="78">
        <f ca="1" xml:space="preserve"> calc_geoscope_int_nat_perc + SUMPRODUCT(_xlfn.ANCHORARRAY(calc_geoscope_int_int_perc_hashtag),_xlfn.ANCHORARRAY( calc_geoscope_int_adjseverity_hashtag))</f>
        <v>0</v>
      </c>
    </row>
    <row r="170" spans="2:18" outlineLevel="2" x14ac:dyDescent="0.35">
      <c r="B170" s="130"/>
      <c r="C170" s="131"/>
      <c r="D170" s="524"/>
      <c r="J170" s="130"/>
      <c r="K170" s="131"/>
    </row>
    <row r="171" spans="2:18" outlineLevel="2" x14ac:dyDescent="0.35">
      <c r="B171" s="130"/>
      <c r="C171" s="131"/>
      <c r="J171" s="130"/>
      <c r="K171" s="131"/>
    </row>
    <row r="172" spans="2:18" outlineLevel="2" x14ac:dyDescent="0.35">
      <c r="B172" s="130"/>
      <c r="C172" s="131"/>
      <c r="J172" s="130"/>
      <c r="K172" s="131"/>
    </row>
    <row r="173" spans="2:18" outlineLevel="2" x14ac:dyDescent="0.35">
      <c r="B173" s="130"/>
      <c r="C173" s="131"/>
      <c r="J173" s="130"/>
      <c r="K173" s="131"/>
    </row>
    <row r="174" spans="2:18" outlineLevel="2" x14ac:dyDescent="0.35">
      <c r="B174" s="130"/>
      <c r="C174" s="131"/>
      <c r="J174" s="130"/>
      <c r="K174" s="131"/>
    </row>
    <row r="175" spans="2:18" hidden="1" outlineLevel="2" x14ac:dyDescent="0.35">
      <c r="B175" s="130"/>
      <c r="C175" s="131"/>
      <c r="J175" s="130"/>
      <c r="K175" s="131"/>
    </row>
    <row r="176" spans="2:18" hidden="1" outlineLevel="2" x14ac:dyDescent="0.35">
      <c r="B176" s="130"/>
      <c r="C176" s="131"/>
      <c r="J176" s="130"/>
      <c r="K176" s="131"/>
    </row>
    <row r="177" spans="2:11" hidden="1" outlineLevel="2" x14ac:dyDescent="0.35">
      <c r="B177" s="130"/>
      <c r="C177" s="131"/>
      <c r="J177" s="130"/>
      <c r="K177" s="131"/>
    </row>
    <row r="178" spans="2:11" hidden="1" outlineLevel="2" x14ac:dyDescent="0.35">
      <c r="B178" s="130"/>
      <c r="C178" s="131"/>
      <c r="J178" s="130"/>
      <c r="K178" s="131"/>
    </row>
    <row r="179" spans="2:11" hidden="1" outlineLevel="2" x14ac:dyDescent="0.35">
      <c r="B179" s="130"/>
      <c r="C179" s="131"/>
      <c r="J179" s="130"/>
      <c r="K179" s="131"/>
    </row>
    <row r="180" spans="2:11" hidden="1" outlineLevel="2" x14ac:dyDescent="0.35">
      <c r="B180" s="130"/>
      <c r="C180" s="131"/>
      <c r="J180" s="130"/>
      <c r="K180" s="131"/>
    </row>
    <row r="181" spans="2:11" hidden="1" outlineLevel="2" x14ac:dyDescent="0.35">
      <c r="B181" s="130"/>
      <c r="C181" s="131"/>
      <c r="J181" s="130"/>
      <c r="K181" s="131"/>
    </row>
    <row r="182" spans="2:11" hidden="1" outlineLevel="2" x14ac:dyDescent="0.35">
      <c r="B182" s="130"/>
      <c r="C182" s="131"/>
      <c r="J182" s="130"/>
      <c r="K182" s="131"/>
    </row>
    <row r="183" spans="2:11" hidden="1" outlineLevel="2" x14ac:dyDescent="0.35">
      <c r="B183" s="130"/>
      <c r="C183" s="131"/>
      <c r="J183" s="130"/>
      <c r="K183" s="131"/>
    </row>
    <row r="184" spans="2:11" hidden="1" outlineLevel="2" x14ac:dyDescent="0.35">
      <c r="B184" s="130"/>
      <c r="C184" s="131"/>
      <c r="J184" s="130"/>
      <c r="K184" s="131"/>
    </row>
    <row r="185" spans="2:11" hidden="1" outlineLevel="2" x14ac:dyDescent="0.35">
      <c r="B185" s="130"/>
      <c r="C185" s="131"/>
      <c r="J185" s="130"/>
      <c r="K185" s="131"/>
    </row>
    <row r="186" spans="2:11" hidden="1" outlineLevel="2" x14ac:dyDescent="0.35">
      <c r="B186" s="130"/>
      <c r="C186" s="131"/>
      <c r="J186" s="130"/>
      <c r="K186" s="131"/>
    </row>
    <row r="187" spans="2:11" hidden="1" outlineLevel="2" x14ac:dyDescent="0.35">
      <c r="B187" s="130"/>
      <c r="C187" s="131"/>
      <c r="J187" s="130"/>
      <c r="K187" s="131"/>
    </row>
    <row r="188" spans="2:11" hidden="1" outlineLevel="2" x14ac:dyDescent="0.35">
      <c r="B188" s="130"/>
      <c r="C188" s="131"/>
      <c r="J188" s="130"/>
      <c r="K188" s="131"/>
    </row>
    <row r="189" spans="2:11" hidden="1" outlineLevel="2" x14ac:dyDescent="0.35">
      <c r="B189" s="130"/>
      <c r="C189" s="131"/>
      <c r="J189" s="130"/>
      <c r="K189" s="131"/>
    </row>
    <row r="190" spans="2:11" hidden="1" outlineLevel="2" x14ac:dyDescent="0.35">
      <c r="B190" s="130"/>
      <c r="C190" s="131"/>
      <c r="J190" s="130"/>
      <c r="K190" s="131"/>
    </row>
    <row r="191" spans="2:11" hidden="1" outlineLevel="2" x14ac:dyDescent="0.35">
      <c r="B191" s="130"/>
      <c r="C191" s="131"/>
      <c r="J191" s="130"/>
      <c r="K191" s="131"/>
    </row>
    <row r="192" spans="2:11" hidden="1" outlineLevel="2" x14ac:dyDescent="0.35">
      <c r="B192" s="130"/>
      <c r="C192" s="131"/>
      <c r="J192" s="130"/>
      <c r="K192" s="131"/>
    </row>
    <row r="193" spans="2:11" hidden="1" outlineLevel="2" x14ac:dyDescent="0.35">
      <c r="B193" s="130"/>
      <c r="C193" s="131"/>
      <c r="J193" s="130"/>
      <c r="K193" s="131"/>
    </row>
    <row r="194" spans="2:11" hidden="1" outlineLevel="2" x14ac:dyDescent="0.35">
      <c r="B194" s="130"/>
      <c r="C194" s="131"/>
      <c r="J194" s="130"/>
      <c r="K194" s="131"/>
    </row>
    <row r="195" spans="2:11" hidden="1" outlineLevel="2" x14ac:dyDescent="0.35">
      <c r="B195" s="130"/>
      <c r="C195" s="131"/>
      <c r="J195" s="130"/>
      <c r="K195" s="131"/>
    </row>
    <row r="196" spans="2:11" hidden="1" outlineLevel="2" x14ac:dyDescent="0.35">
      <c r="B196" s="130"/>
      <c r="C196" s="131"/>
      <c r="J196" s="130"/>
      <c r="K196" s="131"/>
    </row>
    <row r="197" spans="2:11" hidden="1" outlineLevel="2" x14ac:dyDescent="0.35">
      <c r="B197" s="130"/>
      <c r="C197" s="131"/>
      <c r="J197" s="130"/>
      <c r="K197" s="131"/>
    </row>
    <row r="198" spans="2:11" hidden="1" outlineLevel="2" x14ac:dyDescent="0.35">
      <c r="B198" s="130"/>
      <c r="C198" s="131"/>
      <c r="J198" s="130"/>
      <c r="K198" s="131"/>
    </row>
    <row r="199" spans="2:11" hidden="1" outlineLevel="2" x14ac:dyDescent="0.35">
      <c r="B199" s="130"/>
      <c r="C199" s="131"/>
      <c r="J199" s="130"/>
      <c r="K199" s="131"/>
    </row>
    <row r="200" spans="2:11" hidden="1" outlineLevel="2" x14ac:dyDescent="0.35">
      <c r="B200" s="130"/>
      <c r="C200" s="131"/>
      <c r="J200" s="130"/>
      <c r="K200" s="131"/>
    </row>
    <row r="201" spans="2:11" hidden="1" outlineLevel="2" x14ac:dyDescent="0.35">
      <c r="B201" s="130"/>
      <c r="C201" s="131"/>
      <c r="J201" s="130"/>
      <c r="K201" s="131"/>
    </row>
    <row r="202" spans="2:11" hidden="1" outlineLevel="2" x14ac:dyDescent="0.35">
      <c r="B202" s="130"/>
      <c r="C202" s="131"/>
      <c r="J202" s="130"/>
      <c r="K202" s="131"/>
    </row>
    <row r="203" spans="2:11" hidden="1" outlineLevel="2" x14ac:dyDescent="0.35">
      <c r="B203" s="130"/>
      <c r="C203" s="131"/>
      <c r="J203" s="130"/>
      <c r="K203" s="131"/>
    </row>
    <row r="204" spans="2:11" hidden="1" outlineLevel="2" x14ac:dyDescent="0.35">
      <c r="B204" s="130"/>
      <c r="C204" s="131"/>
      <c r="J204" s="130"/>
      <c r="K204" s="131"/>
    </row>
    <row r="205" spans="2:11" hidden="1" outlineLevel="2" x14ac:dyDescent="0.35">
      <c r="B205" s="130"/>
      <c r="C205" s="131"/>
      <c r="J205" s="130"/>
      <c r="K205" s="131"/>
    </row>
    <row r="206" spans="2:11" hidden="1" outlineLevel="2" x14ac:dyDescent="0.35">
      <c r="B206" s="130"/>
      <c r="C206" s="131"/>
      <c r="J206" s="130"/>
      <c r="K206" s="131"/>
    </row>
    <row r="207" spans="2:11" hidden="1" outlineLevel="2" x14ac:dyDescent="0.35">
      <c r="B207" s="130"/>
      <c r="C207" s="131"/>
      <c r="J207" s="130"/>
      <c r="K207" s="131"/>
    </row>
    <row r="208" spans="2:11" hidden="1" outlineLevel="2" x14ac:dyDescent="0.35">
      <c r="B208" s="130"/>
      <c r="C208" s="131"/>
      <c r="J208" s="130"/>
      <c r="K208" s="131"/>
    </row>
    <row r="209" spans="2:11" hidden="1" outlineLevel="2" x14ac:dyDescent="0.35">
      <c r="B209" s="130"/>
      <c r="C209" s="131"/>
      <c r="J209" s="130"/>
      <c r="K209" s="131"/>
    </row>
    <row r="210" spans="2:11" hidden="1" outlineLevel="2" x14ac:dyDescent="0.35">
      <c r="B210" s="130"/>
      <c r="C210" s="131"/>
      <c r="J210" s="130"/>
      <c r="K210" s="131"/>
    </row>
    <row r="211" spans="2:11" hidden="1" outlineLevel="2" x14ac:dyDescent="0.35">
      <c r="B211" s="130"/>
      <c r="C211" s="131"/>
      <c r="J211" s="130"/>
      <c r="K211" s="131"/>
    </row>
    <row r="212" spans="2:11" hidden="1" outlineLevel="2" x14ac:dyDescent="0.35">
      <c r="B212" s="130"/>
      <c r="C212" s="131"/>
      <c r="J212" s="130"/>
      <c r="K212" s="131"/>
    </row>
    <row r="213" spans="2:11" hidden="1" outlineLevel="2" x14ac:dyDescent="0.35">
      <c r="B213" s="130"/>
      <c r="C213" s="131"/>
      <c r="J213" s="130"/>
      <c r="K213" s="131"/>
    </row>
    <row r="214" spans="2:11" hidden="1" outlineLevel="2" x14ac:dyDescent="0.35">
      <c r="B214" s="130"/>
      <c r="C214" s="131"/>
      <c r="J214" s="130"/>
      <c r="K214" s="131"/>
    </row>
    <row r="215" spans="2:11" hidden="1" outlineLevel="2" x14ac:dyDescent="0.35">
      <c r="B215" s="130"/>
      <c r="C215" s="131"/>
      <c r="J215" s="130"/>
      <c r="K215" s="131"/>
    </row>
    <row r="216" spans="2:11" hidden="1" outlineLevel="2" x14ac:dyDescent="0.35">
      <c r="B216" s="130"/>
      <c r="C216" s="131"/>
      <c r="J216" s="130"/>
      <c r="K216" s="131"/>
    </row>
    <row r="217" spans="2:11" hidden="1" outlineLevel="2" x14ac:dyDescent="0.35">
      <c r="B217" s="130"/>
      <c r="C217" s="131"/>
      <c r="J217" s="130"/>
      <c r="K217" s="131"/>
    </row>
    <row r="218" spans="2:11" hidden="1" outlineLevel="2" x14ac:dyDescent="0.35">
      <c r="B218" s="130"/>
      <c r="C218" s="131"/>
      <c r="J218" s="130"/>
      <c r="K218" s="131"/>
    </row>
    <row r="219" spans="2:11" hidden="1" outlineLevel="2" x14ac:dyDescent="0.35">
      <c r="B219" s="130"/>
      <c r="C219" s="131"/>
      <c r="J219" s="130"/>
      <c r="K219" s="131"/>
    </row>
    <row r="220" spans="2:11" hidden="1" outlineLevel="2" x14ac:dyDescent="0.35">
      <c r="B220" s="130"/>
      <c r="C220" s="131"/>
      <c r="J220" s="130"/>
      <c r="K220" s="131"/>
    </row>
    <row r="221" spans="2:11" hidden="1" outlineLevel="2" x14ac:dyDescent="0.35">
      <c r="B221" s="130"/>
      <c r="C221" s="131"/>
      <c r="J221" s="130"/>
      <c r="K221" s="131"/>
    </row>
    <row r="222" spans="2:11" hidden="1" outlineLevel="2" x14ac:dyDescent="0.35">
      <c r="B222" s="130"/>
      <c r="C222" s="131"/>
      <c r="J222" s="130"/>
      <c r="K222" s="131"/>
    </row>
    <row r="223" spans="2:11" hidden="1" outlineLevel="2" x14ac:dyDescent="0.35">
      <c r="B223" s="130"/>
      <c r="C223" s="131"/>
      <c r="J223" s="130"/>
      <c r="K223" s="131"/>
    </row>
    <row r="224" spans="2:11" hidden="1" outlineLevel="2" x14ac:dyDescent="0.35">
      <c r="B224" s="130"/>
      <c r="C224" s="131"/>
      <c r="J224" s="130"/>
      <c r="K224" s="131"/>
    </row>
    <row r="225" spans="2:11" hidden="1" outlineLevel="2" x14ac:dyDescent="0.35">
      <c r="B225" s="130"/>
      <c r="C225" s="131"/>
      <c r="J225" s="130"/>
      <c r="K225" s="131"/>
    </row>
    <row r="226" spans="2:11" hidden="1" outlineLevel="2" x14ac:dyDescent="0.35">
      <c r="B226" s="130"/>
      <c r="C226" s="131"/>
      <c r="J226" s="130"/>
      <c r="K226" s="131"/>
    </row>
    <row r="227" spans="2:11" hidden="1" outlineLevel="2" x14ac:dyDescent="0.35">
      <c r="B227" s="130"/>
      <c r="C227" s="131"/>
      <c r="J227" s="130"/>
      <c r="K227" s="131"/>
    </row>
    <row r="228" spans="2:11" hidden="1" outlineLevel="2" x14ac:dyDescent="0.35">
      <c r="B228" s="130"/>
      <c r="C228" s="131"/>
      <c r="J228" s="130"/>
      <c r="K228" s="131"/>
    </row>
    <row r="229" spans="2:11" hidden="1" outlineLevel="2" x14ac:dyDescent="0.35">
      <c r="B229" s="130"/>
      <c r="C229" s="131"/>
      <c r="J229" s="130"/>
      <c r="K229" s="131"/>
    </row>
    <row r="230" spans="2:11" hidden="1" outlineLevel="2" x14ac:dyDescent="0.35">
      <c r="B230" s="130"/>
      <c r="C230" s="131"/>
      <c r="J230" s="130"/>
      <c r="K230" s="131"/>
    </row>
    <row r="231" spans="2:11" hidden="1" outlineLevel="2" x14ac:dyDescent="0.35">
      <c r="B231" s="130"/>
      <c r="C231" s="131"/>
      <c r="J231" s="130"/>
      <c r="K231" s="131"/>
    </row>
    <row r="232" spans="2:11" hidden="1" outlineLevel="2" x14ac:dyDescent="0.35">
      <c r="B232" s="130"/>
      <c r="C232" s="127"/>
      <c r="J232" s="130"/>
      <c r="K232" s="127"/>
    </row>
    <row r="233" spans="2:11" hidden="1" outlineLevel="2" x14ac:dyDescent="0.35">
      <c r="B233" s="130"/>
      <c r="C233" s="127"/>
      <c r="J233" s="130"/>
      <c r="K233" s="127"/>
    </row>
    <row r="234" spans="2:11" hidden="1" outlineLevel="2" x14ac:dyDescent="0.35">
      <c r="B234" s="130"/>
      <c r="C234" s="127"/>
      <c r="J234" s="130"/>
      <c r="K234" s="127"/>
    </row>
    <row r="235" spans="2:11" hidden="1" outlineLevel="2" x14ac:dyDescent="0.35">
      <c r="B235" s="130"/>
      <c r="C235" s="127"/>
      <c r="J235" s="130"/>
      <c r="K235" s="127"/>
    </row>
    <row r="236" spans="2:11" hidden="1" outlineLevel="2" x14ac:dyDescent="0.35">
      <c r="B236" s="130"/>
      <c r="C236" s="127"/>
      <c r="J236" s="130"/>
      <c r="K236" s="127"/>
    </row>
    <row r="237" spans="2:11" hidden="1" outlineLevel="2" x14ac:dyDescent="0.35">
      <c r="B237" s="130"/>
      <c r="C237" s="127"/>
      <c r="J237" s="130"/>
      <c r="K237" s="127"/>
    </row>
    <row r="238" spans="2:11" hidden="1" outlineLevel="2" x14ac:dyDescent="0.35">
      <c r="B238" s="130"/>
      <c r="C238" s="127"/>
      <c r="J238" s="130"/>
      <c r="K238" s="127"/>
    </row>
    <row r="239" spans="2:11" hidden="1" outlineLevel="2" x14ac:dyDescent="0.35">
      <c r="B239" s="130"/>
      <c r="C239" s="127"/>
      <c r="J239" s="130"/>
      <c r="K239" s="127"/>
    </row>
    <row r="240" spans="2:11" hidden="1" outlineLevel="2" x14ac:dyDescent="0.35">
      <c r="B240" s="130"/>
      <c r="C240" s="127"/>
      <c r="J240" s="130"/>
      <c r="K240" s="127"/>
    </row>
    <row r="241" spans="2:15" hidden="1" outlineLevel="2" x14ac:dyDescent="0.35">
      <c r="B241" s="130"/>
      <c r="C241" s="127"/>
      <c r="J241" s="130"/>
      <c r="K241" s="127"/>
    </row>
    <row r="242" spans="2:15" hidden="1" outlineLevel="2" x14ac:dyDescent="0.35">
      <c r="B242" s="130"/>
      <c r="C242" s="127"/>
      <c r="J242" s="130"/>
      <c r="K242" s="127"/>
    </row>
    <row r="243" spans="2:15" hidden="1" outlineLevel="2" x14ac:dyDescent="0.35">
      <c r="B243" s="130"/>
      <c r="C243" s="127"/>
      <c r="J243" s="130"/>
      <c r="K243" s="127"/>
    </row>
    <row r="244" spans="2:15" hidden="1" outlineLevel="2" x14ac:dyDescent="0.35">
      <c r="B244" s="130"/>
      <c r="C244" s="127"/>
      <c r="J244" s="130"/>
      <c r="K244" s="127"/>
    </row>
    <row r="245" spans="2:15" hidden="1" outlineLevel="2" x14ac:dyDescent="0.35">
      <c r="B245" s="130"/>
      <c r="C245" s="127"/>
      <c r="J245" s="130"/>
      <c r="K245" s="127"/>
    </row>
    <row r="246" spans="2:15" hidden="1" outlineLevel="2" x14ac:dyDescent="0.35">
      <c r="B246" s="130"/>
      <c r="C246" s="127"/>
      <c r="J246" s="130"/>
      <c r="K246" s="127"/>
    </row>
    <row r="247" spans="2:15" hidden="1" outlineLevel="2" x14ac:dyDescent="0.35">
      <c r="B247" s="130"/>
      <c r="C247" s="127"/>
      <c r="J247" s="130"/>
      <c r="K247" s="127"/>
    </row>
    <row r="248" spans="2:15" hidden="1" outlineLevel="2" x14ac:dyDescent="0.35">
      <c r="B248" s="130"/>
      <c r="C248" s="127"/>
      <c r="J248" s="130"/>
      <c r="K248" s="127"/>
    </row>
    <row r="249" spans="2:15" outlineLevel="2" x14ac:dyDescent="0.35">
      <c r="B249" s="132"/>
      <c r="C249" s="128"/>
      <c r="J249" s="132"/>
      <c r="K249" s="128"/>
    </row>
    <row r="250" spans="2:15" outlineLevel="2" x14ac:dyDescent="0.35"/>
    <row r="251" spans="2:15" outlineLevel="2" x14ac:dyDescent="0.35">
      <c r="B251" s="800"/>
      <c r="C251" s="801"/>
      <c r="F251" s="76" t="s">
        <v>1866</v>
      </c>
      <c r="G251" s="580">
        <v>1</v>
      </c>
      <c r="J251" s="800"/>
      <c r="K251" s="801"/>
      <c r="N251" s="76" t="s">
        <v>1866</v>
      </c>
      <c r="O251" s="580">
        <v>1</v>
      </c>
    </row>
    <row r="252" spans="2:15" outlineLevel="2" x14ac:dyDescent="0.35"/>
    <row r="253" spans="2:15" outlineLevel="2" x14ac:dyDescent="0.35">
      <c r="B253" s="120" t="s">
        <v>1867</v>
      </c>
    </row>
    <row r="254" spans="2:15" outlineLevel="2" x14ac:dyDescent="0.35"/>
    <row r="255" spans="2:15" outlineLevel="2" x14ac:dyDescent="0.35">
      <c r="E255" s="133"/>
      <c r="F255" s="76" t="s">
        <v>1868</v>
      </c>
      <c r="G255" s="78">
        <f>VLOOKUP(calc_limitdays_storage_transport,\parameter_storage_transports_days,2,FALSE)*\parameter_constant_storagelosses+(1-\parameter_constant_storagelosses)</f>
        <v>1.1000000000000001</v>
      </c>
      <c r="N255" s="76" t="s">
        <v>1868</v>
      </c>
      <c r="O255" s="123">
        <v>1</v>
      </c>
    </row>
    <row r="256" spans="2:15" outlineLevel="2" x14ac:dyDescent="0.35"/>
    <row r="257" spans="6:15" outlineLevel="2" x14ac:dyDescent="0.35">
      <c r="N257" s="76" t="s">
        <v>1852</v>
      </c>
    </row>
    <row r="258" spans="6:15" outlineLevel="2" x14ac:dyDescent="0.35">
      <c r="N258" s="76" t="s">
        <v>1852</v>
      </c>
    </row>
    <row r="259" spans="6:15" outlineLevel="2" x14ac:dyDescent="0.35"/>
    <row r="260" spans="6:15" outlineLevel="2" x14ac:dyDescent="0.35">
      <c r="J260" s="74" t="s">
        <v>1869</v>
      </c>
      <c r="K260" s="74">
        <f ca="1">IF( Parameter!B58, R146,\parameter_constant2_severitymodel / 2)</f>
        <v>1.3396866342590601</v>
      </c>
    </row>
    <row r="261" spans="6:15" outlineLevel="2" x14ac:dyDescent="0.35">
      <c r="J261" s="74" t="s">
        <v>1870</v>
      </c>
      <c r="K261" s="74">
        <f ca="1">IF( Parameter!B58, R144,\parameter_constant2_severitymodel ^(1/2))</f>
        <v>1.6368791245898764</v>
      </c>
    </row>
    <row r="262" spans="6:15" outlineLevel="2" x14ac:dyDescent="0.35"/>
    <row r="263" spans="6:15" outlineLevel="2" x14ac:dyDescent="0.35">
      <c r="J263" s="76" t="s">
        <v>1871</v>
      </c>
    </row>
    <row r="264" spans="6:15" ht="29" outlineLevel="2" x14ac:dyDescent="0.35">
      <c r="J264" s="76" t="s">
        <v>1872</v>
      </c>
      <c r="K264" s="76" t="s">
        <v>1873</v>
      </c>
      <c r="L264" s="76" t="s">
        <v>1874</v>
      </c>
    </row>
    <row r="265" spans="6:15" outlineLevel="2" x14ac:dyDescent="0.35">
      <c r="J265" s="134" cm="1">
        <f t="array" aca="1" ref="J265:J268" ca="1" xml:space="preserve"> IF( calc_transportationtype_perc = 0, 0, calc_deductiblemin_transportationtype_EUR / calc_severity_modelled )</f>
        <v>3.3430531721172142E-2</v>
      </c>
      <c r="K265" s="134" cm="1">
        <f t="array" aca="1" ref="K265:K268" ca="1" xml:space="preserve"> IF( calc_transportationtype_perc = 0, 0, calc_deductiblemin_transportationtype_EUR / (calc_deductibleprop_transportationtype * calc_severity_modelled) )</f>
        <v>3.3430531721172142E-2</v>
      </c>
      <c r="L265" s="134" cm="1">
        <f t="array" aca="1" ref="L265:L268" ca="1">IF( calc_transportationtype_perc = 0, 0, calc_deductiblemax_transportationtype_EUR / (calc_deductibleprop_transportationtype * calc_severity_modelled))</f>
        <v>3.3430531721172142E-2</v>
      </c>
    </row>
    <row r="266" spans="6:15" outlineLevel="2" x14ac:dyDescent="0.35">
      <c r="J266" s="134">
        <f ca="1"/>
        <v>0</v>
      </c>
      <c r="K266" s="134">
        <f ca="1"/>
        <v>0</v>
      </c>
      <c r="L266" s="134">
        <f ca="1"/>
        <v>0</v>
      </c>
    </row>
    <row r="267" spans="6:15" outlineLevel="2" x14ac:dyDescent="0.35">
      <c r="J267" s="134">
        <f ca="1"/>
        <v>3.3430531721172142E-2</v>
      </c>
      <c r="K267" s="134">
        <f ca="1"/>
        <v>3.3430531721172142E-2</v>
      </c>
      <c r="L267" s="134">
        <f ca="1"/>
        <v>3.3430531721172142E-2</v>
      </c>
    </row>
    <row r="268" spans="6:15" outlineLevel="2" x14ac:dyDescent="0.35">
      <c r="J268" s="137">
        <f ca="1"/>
        <v>0</v>
      </c>
      <c r="K268" s="137">
        <f ca="1"/>
        <v>0</v>
      </c>
      <c r="L268" s="137">
        <f ca="1"/>
        <v>0</v>
      </c>
    </row>
    <row r="269" spans="6:15" outlineLevel="2" x14ac:dyDescent="0.35">
      <c r="J269" s="139">
        <f xml:space="preserve"> IF( calc_inputrelevant_temperaturecontrolled, calc_deductible_temperaturecontrolled_EUR / calc_severity_modelled, 0 )</f>
        <v>0</v>
      </c>
      <c r="K269" s="139">
        <f xml:space="preserve"> IF( calc_inputrelevant_temperaturecontrolled, calc_deductible_temperaturecontrolled_EUR / (calc_deductibleprop_temperaturecontrolled * calc_severity_modelled), 0 )</f>
        <v>0</v>
      </c>
      <c r="L269" s="139">
        <f xml:space="preserve"> IF( calc_inputrelevant_temperaturecontrolled, calc_deductiblemax_temperaturecontrolled_EUR / (calc_deductibleprop_temperaturecontrolled * calc_severity_modelled), 0 )</f>
        <v>0</v>
      </c>
    </row>
    <row r="270" spans="6:15" outlineLevel="2" x14ac:dyDescent="0.35"/>
    <row r="271" spans="6:15" outlineLevel="2" x14ac:dyDescent="0.35">
      <c r="J271" s="76" t="s">
        <v>1875</v>
      </c>
      <c r="K271" s="76" t="s">
        <v>1876</v>
      </c>
      <c r="L271" s="76" t="s">
        <v>1877</v>
      </c>
    </row>
    <row r="272" spans="6:15" outlineLevel="2" x14ac:dyDescent="0.35">
      <c r="F272" s="76" t="s">
        <v>1878</v>
      </c>
      <c r="G272" s="123">
        <v>1</v>
      </c>
      <c r="J272" s="135" cm="1">
        <f t="array" aca="1" ref="J272:J275" ca="1" xml:space="preserve"> 1 - IFERROR( _xlfn.NORM.S.DIST( ( LN(calc_retention_minvalue1_transportationtype) - calc_sigma2) / calc_sigma, TRUE), 0)</f>
        <v>0.9981012803400201</v>
      </c>
      <c r="K272" s="135" cm="1">
        <f t="array" aca="1" ref="K272:K275" ca="1" xml:space="preserve"> calc_retention_minvalue1_transportationtype * ( IFERROR( _xlfn.NORM.S.DIST( (LN(calc_retention_minvalue1_transportationtype) + calc_sigma2) / calc_sigma, TRUE), 0) - IFERROR( _xlfn.NORM.S.DIST( (LN(calc_retention_minvalue2_transportationtype) + calc_sigma2) / calc_sigma, TRUE), 0) )</f>
        <v>0</v>
      </c>
      <c r="L272" s="135" cm="1">
        <f t="array" aca="1" ref="L272:L275" ca="1" xml:space="preserve"> calc_deductibleprop_transportationtype * ( IFERROR(_xlfn.NORM.S.DIST( (LN(calc_retention_minvalue2_transportationtype) - calc_sigma2) / calc_sigma, TRUE), 0) - IFERROR( _xlfn.NORM.S.DIST( (LN(calc_retention_mvalue_transportationtype) - calc_sigma2) / calc_sigma, TRUE), 0) + calc_retention_mvalue_transportationtype * ( IFERROR( _xlfn.NORM.S.DIST( (LN(calc_retention_mvalue_transportationtype) + calc_sigma2) / calc_sigma, TRUE), 0) - 1 ) )</f>
        <v>-2.9945010604402536E-2</v>
      </c>
      <c r="M272" s="135" cm="1">
        <f t="array" aca="1" ref="M272:M275" ca="1">_xlfn.ANCHORARRAY( J272) +_xlfn.ANCHORARRAY( K272) +_xlfn.ANCHORARRAY( L272)</f>
        <v>0.96815626973561753</v>
      </c>
      <c r="N272" s="76" t="s">
        <v>1878</v>
      </c>
      <c r="O272" s="115">
        <f ca="1">IFERROR( IF(calc_inputrelevant_temperaturecontrolled,calc_temperaturecontrolled,0)*calc_retention_adjseverity_temperaturecontrolled+(1-IF(calc_inputrelevant_temperaturecontrolled,calc_temperaturecontrolled,0))*SUMPRODUCT(M272:M275,calc_transportationtype_perc), 1)</f>
        <v>0.96815626973561753</v>
      </c>
    </row>
    <row r="273" spans="2:15" outlineLevel="2" x14ac:dyDescent="0.35">
      <c r="J273" s="136">
        <f ca="1"/>
        <v>1</v>
      </c>
      <c r="K273" s="136">
        <f ca="1"/>
        <v>0</v>
      </c>
      <c r="L273" s="136">
        <f ca="1"/>
        <v>0</v>
      </c>
      <c r="M273" s="136">
        <f ca="1"/>
        <v>1</v>
      </c>
    </row>
    <row r="274" spans="2:15" outlineLevel="2" x14ac:dyDescent="0.35">
      <c r="J274" s="136">
        <f ca="1"/>
        <v>0.9981012803400201</v>
      </c>
      <c r="K274" s="136">
        <f ca="1"/>
        <v>0</v>
      </c>
      <c r="L274" s="136">
        <f ca="1"/>
        <v>-2.9945010604402536E-2</v>
      </c>
      <c r="M274" s="136">
        <f ca="1"/>
        <v>0.96815626973561753</v>
      </c>
    </row>
    <row r="275" spans="2:15" outlineLevel="2" x14ac:dyDescent="0.35">
      <c r="J275" s="138">
        <f ca="1"/>
        <v>1</v>
      </c>
      <c r="K275" s="138">
        <f ca="1"/>
        <v>0</v>
      </c>
      <c r="L275" s="138">
        <f ca="1"/>
        <v>0</v>
      </c>
      <c r="M275" s="138">
        <f ca="1"/>
        <v>1</v>
      </c>
    </row>
    <row r="276" spans="2:15" outlineLevel="2" x14ac:dyDescent="0.35">
      <c r="F276" s="76" t="s">
        <v>1879</v>
      </c>
      <c r="G276" s="78">
        <f ca="1" xml:space="preserve"> PRODUCT(calc_losscount_modelled,G161,G168)</f>
        <v>0.4311691645460321</v>
      </c>
      <c r="J276" s="140">
        <f ca="1" xml:space="preserve"> 1 - IFERROR( _xlfn.NORM.S.DIST( ( LN(calc_retention_minvalue1_temperaturecontrolled) - calc_sigma2) / calc_sigma, TRUE), 0)</f>
        <v>1</v>
      </c>
      <c r="K276" s="140">
        <f ca="1" xml:space="preserve"> calc_retention_minvalue1_temperaturecontrolled * ( IFERROR( _xlfn.NORM.S.DIST( (LN(calc_retention_minvalue1_temperaturecontrolled) + calc_sigma2) / calc_sigma, TRUE), 0) - IFERROR( _xlfn.NORM.S.DIST( (LN(calc_retention_minvalue2_temperaturecontrolled) + calc_sigma2) / calc_sigma, TRUE), 0) )</f>
        <v>0</v>
      </c>
      <c r="L276" s="140">
        <f ca="1" xml:space="preserve"> calc_deductibleprop_temperaturecontrolled * ( IFERROR(_xlfn.NORM.S.DIST( (LN(calc_retention_minvalue2_temperaturecontrolled) - calc_sigma2) / calc_sigma, TRUE), 0) - IFERROR( _xlfn.NORM.S.DIST( (LN(calc_retention_mvalue_temperaturecontrolled) - calc_sigma2) / calc_sigma, TRUE), 0) + calc_retention_mvalue_temperaturecontrolled * ( IFERROR( _xlfn.NORM.S.DIST( (LN(calc_retention_mvalue_temperaturecontrolled) + calc_sigma2) / calc_sigma, TRUE), 0) - 1 ) )</f>
        <v>0</v>
      </c>
      <c r="M276" s="140">
        <f t="shared" ref="M276" ca="1" si="0">SUM(J276:L276)</f>
        <v>1</v>
      </c>
    </row>
    <row r="277" spans="2:15" outlineLevel="2" x14ac:dyDescent="0.35">
      <c r="F277" s="76" t="s">
        <v>1880</v>
      </c>
      <c r="G277" s="78">
        <f ca="1" xml:space="preserve"> PRODUCT(calc_losscount_adjretention, calc_losscount_adjlimit, calc_losscount_adjbasisvaluation, calc_losscount_adjgeoscope, calc_losscount_adjpackagingtype, calc_losscount_adjtransportationtype, calc_losscount_adjgoods, calc_losscount_modelled)</f>
        <v>0</v>
      </c>
      <c r="M277" s="419"/>
    </row>
    <row r="278" spans="2:15" outlineLevel="2" x14ac:dyDescent="0.35">
      <c r="M278" s="419"/>
      <c r="N278" s="76" t="s">
        <v>1881</v>
      </c>
      <c r="O278" s="78">
        <f>PRODUCT(calc_severity_adjlimit, O161, O168)</f>
        <v>1.0439279633531364</v>
      </c>
    </row>
    <row r="279" spans="2:15" outlineLevel="2" x14ac:dyDescent="0.35">
      <c r="M279" s="419"/>
      <c r="N279" s="76" t="s">
        <v>1882</v>
      </c>
      <c r="O279" s="78">
        <f ca="1">PRODUCT(calc_severity_adjlimit, calc_severity_adjbasisvaluation, calc_severity_adjgeoscope, calc_severity_adjpackagingtype, calc_severity_adjtransportationtype, calc_severity_adjgoods)</f>
        <v>0</v>
      </c>
    </row>
    <row r="280" spans="2:15" outlineLevel="2" x14ac:dyDescent="0.35">
      <c r="M280" s="419"/>
    </row>
    <row r="281" spans="2:15" outlineLevel="2" x14ac:dyDescent="0.35">
      <c r="M281" s="419"/>
    </row>
    <row r="282" spans="2:15" outlineLevel="2" x14ac:dyDescent="0.35">
      <c r="F282" s="76" t="s">
        <v>1883</v>
      </c>
      <c r="G282" s="78">
        <f ca="1" xml:space="preserve"> IF(calc_midmarket, G276, G277)</f>
        <v>0.4311691645460321</v>
      </c>
      <c r="M282" s="419"/>
      <c r="N282" s="76" t="s">
        <v>1884</v>
      </c>
      <c r="O282" s="491">
        <f xml:space="preserve"> IF(calc_midmarket, O278, O279)</f>
        <v>1.0439279633531364</v>
      </c>
    </row>
    <row r="283" spans="2:15" outlineLevel="2" x14ac:dyDescent="0.35">
      <c r="J283" s="76" t="s">
        <v>1885</v>
      </c>
      <c r="K283" s="491">
        <f>SUMPRODUCT(calc_deductiblemin_transportationtype_EUR, calc_transportationtype_perc)</f>
        <v>125</v>
      </c>
      <c r="M283" s="419"/>
      <c r="N283" s="76" t="s">
        <v>1886</v>
      </c>
      <c r="O283" s="491">
        <f ca="1">LN(calc_severity_modelled) - \parameter_constant2_severitymodel / 2 + LN(calc_severity_factor_AAD)</f>
        <v>6.8091182517504834</v>
      </c>
    </row>
    <row r="284" spans="2:15" outlineLevel="2" x14ac:dyDescent="0.35">
      <c r="J284" s="76" t="s">
        <v>1887</v>
      </c>
      <c r="K284" s="491">
        <f ca="1">SUMPRODUCT(calc_deductibleagg_transportationtype_EUR, calc_transportationtype_perc)</f>
        <v>124875</v>
      </c>
      <c r="M284" s="419"/>
      <c r="N284" s="76" t="s">
        <v>1888</v>
      </c>
      <c r="O284" s="491">
        <f ca="1">EXP(calc_severity_mu_AAD + calc_sigma2)</f>
        <v>3459.2424050867635</v>
      </c>
    </row>
    <row r="285" spans="2:15" outlineLevel="2" x14ac:dyDescent="0.35">
      <c r="J285" s="76" t="s">
        <v>1889</v>
      </c>
      <c r="K285" s="491">
        <f ca="1">calc_severity_ELP_AAD * (1 - _xlfn.NORM.S.DIST( ( LN(calc_severity_ded_AAD) - calc_severity_mu_AAD - \parameter_constant2_severitymodel ) / calc_sigma, TRUE ) ) - calc_severity_ded_AAD * (1 - _xlfn.NORM.S.DIST( ( LN(calc_severity_ded_AAD) - calc_severity_mu_AAD ) / calc_sigma, TRUE ) )</f>
        <v>3343.6286226772236</v>
      </c>
      <c r="M285" s="419"/>
    </row>
    <row r="286" spans="2:15" outlineLevel="2" x14ac:dyDescent="0.35">
      <c r="M286" s="419"/>
    </row>
    <row r="287" spans="2:15" outlineLevel="2" x14ac:dyDescent="0.35">
      <c r="B287" s="76" t="s">
        <v>1890</v>
      </c>
      <c r="C287" s="76" t="s">
        <v>1891</v>
      </c>
      <c r="D287" s="76" t="s">
        <v>1892</v>
      </c>
      <c r="E287" s="76" t="s">
        <v>1893</v>
      </c>
      <c r="F287" s="76" t="s">
        <v>1894</v>
      </c>
      <c r="G287" s="76" t="s">
        <v>1895</v>
      </c>
      <c r="H287" s="76" t="s">
        <v>1896</v>
      </c>
      <c r="I287" s="76" t="s">
        <v>1897</v>
      </c>
      <c r="N287" s="419"/>
    </row>
    <row r="288" spans="2:15" outlineLevel="2" x14ac:dyDescent="0.35">
      <c r="B288" s="154">
        <f ca="1">calc_severity_aad_AAD / calc_severity_ded_AAD</f>
        <v>999</v>
      </c>
      <c r="C288" s="154">
        <f ca="1">ROUNDUP(B288, 0)</f>
        <v>999</v>
      </c>
      <c r="D288" s="154">
        <f ca="1">calc_severity_aad_AAD / B288</f>
        <v>125</v>
      </c>
      <c r="E288" s="154">
        <f t="shared" ref="E288:E319" ca="1" si="1" xml:space="preserve"> (1 - _xlfn.NORM.S.DIST( ( LN(D288) - calc_severity_mu_AAD ) / calc_sigma, TRUE ) )</f>
        <v>0.88688174079650417</v>
      </c>
      <c r="F288" s="154" t="e" cm="1">
        <f t="array" aca="1" ref="F288" ca="1" xml:space="preserve"> 1 - SUM( calc_losscount_AAD^(ROW( OFFSET($A$1, , , C288 + 1 )) - 1) / FACT(ROW( OFFSET($A$1, , , C288 + 1 )) - 1) * EXP(-calc_losscount_AAD) )</f>
        <v>#NUM!</v>
      </c>
      <c r="G288" s="154">
        <f t="shared" ref="G288:G319" ca="1" si="2" xml:space="preserve"> (1 - _xlfn.NORM.S.DIST( ( LN((B288 + 1 - C288) * D288) - calc_severity_mu_AAD ) / calc_sigma, TRUE ) )</f>
        <v>0.88688174079650417</v>
      </c>
      <c r="H288" s="154" t="e" cm="1">
        <f t="array" aca="1" ref="H288" ca="1" xml:space="preserve"> ( calc_losscount_AAD - SUM( (ROW( OFFSET($A$1, , , C288 + 1 )) - 1) * calc_losscount_AAD^(ROW( OFFSET($A$1, , , C288 + 1 )) - 1) / FACT(ROW( OFFSET($A$1, , , C288 + 1 )) - 1) * EXP(-calc_losscount_AAD) ) ) / F288</f>
        <v>#NUM!</v>
      </c>
      <c r="I288" s="154">
        <f t="shared" ref="I288:I319" ca="1" si="3" xml:space="preserve"> IFERROR( F288 * E288^(C288-1) * (C288-1) * G288 * (H288-C288) * (calc_severity_ELP_AAD - calc_severity_FAD_AAD), 0 )</f>
        <v>0</v>
      </c>
      <c r="N288" s="419"/>
    </row>
    <row r="289" spans="2:14" hidden="1" outlineLevel="2" x14ac:dyDescent="0.35">
      <c r="B289" s="154">
        <f ca="1">ROUNDUP(B288, 0) + IF(B288 = ROUNDUP(B288, 0), 1, 0)</f>
        <v>1000</v>
      </c>
      <c r="C289" s="154">
        <f t="shared" ref="C289:C320" ca="1" si="4">B289</f>
        <v>1000</v>
      </c>
      <c r="D289" s="154">
        <f t="shared" ref="D289:D320" ca="1" si="5">calc_severity_aad_AAD / C289</f>
        <v>124.875</v>
      </c>
      <c r="E289" s="154">
        <f t="shared" ca="1" si="1"/>
        <v>0.88699895135916007</v>
      </c>
      <c r="F289" s="154" t="e" cm="1">
        <f t="array" aca="1" ref="F289" ca="1" xml:space="preserve"> 1 - SUM( calc_losscount_AAD^(ROW( OFFSET($A$1, , , C289 + 1 )) - 1) / FACT(ROW( OFFSET($A$1, , , C289 + 1 )) - 1) * EXP(-calc_losscount_AAD) )</f>
        <v>#NUM!</v>
      </c>
      <c r="G289" s="154">
        <f t="shared" ca="1" si="2"/>
        <v>0.88699895135916007</v>
      </c>
      <c r="H289" s="154" t="e" cm="1">
        <f t="array" aca="1" ref="H289" ca="1" xml:space="preserve"> ( calc_losscount_AAD - SUM( (ROW( OFFSET($A$1, , , C289 + 1 )) - 1) * calc_losscount_AAD^(ROW( OFFSET($A$1, , , C289 + 1 )) - 1) / FACT(ROW( OFFSET($A$1, , , C289 + 1 )) - 1) * EXP(-calc_losscount_AAD) ) ) / F289</f>
        <v>#NUM!</v>
      </c>
      <c r="I289" s="154">
        <f t="shared" ca="1" si="3"/>
        <v>0</v>
      </c>
      <c r="N289" s="419"/>
    </row>
    <row r="290" spans="2:14" hidden="1" outlineLevel="2" x14ac:dyDescent="0.35">
      <c r="B290" s="154">
        <f t="shared" ref="B290:B321" ca="1" si="6">B289+1</f>
        <v>1001</v>
      </c>
      <c r="C290" s="154">
        <f t="shared" ca="1" si="4"/>
        <v>1001</v>
      </c>
      <c r="D290" s="154">
        <f t="shared" ca="1" si="5"/>
        <v>124.75024975024975</v>
      </c>
      <c r="E290" s="154">
        <f t="shared" ca="1" si="1"/>
        <v>0.88711595819338651</v>
      </c>
      <c r="F290" s="154" t="e" cm="1">
        <f t="array" aca="1" ref="F290" ca="1" xml:space="preserve"> 1 - SUM( calc_losscount_AAD^(ROW( OFFSET($A$1, , , C290 + 1 )) - 1) / FACT(ROW( OFFSET($A$1, , , C290 + 1 )) - 1) * EXP(-calc_losscount_AAD) )</f>
        <v>#NUM!</v>
      </c>
      <c r="G290" s="154">
        <f t="shared" ca="1" si="2"/>
        <v>0.88711595819338651</v>
      </c>
      <c r="H290" s="154" t="e" cm="1">
        <f t="array" aca="1" ref="H290" ca="1" xml:space="preserve"> ( calc_losscount_AAD - SUM( (ROW( OFFSET($A$1, , , C290 + 1 )) - 1) * calc_losscount_AAD^(ROW( OFFSET($A$1, , , C290 + 1 )) - 1) / FACT(ROW( OFFSET($A$1, , , C290 + 1 )) - 1) * EXP(-calc_losscount_AAD) ) ) / F290</f>
        <v>#NUM!</v>
      </c>
      <c r="I290" s="154">
        <f t="shared" ca="1" si="3"/>
        <v>0</v>
      </c>
      <c r="M290" s="419"/>
    </row>
    <row r="291" spans="2:14" hidden="1" outlineLevel="2" x14ac:dyDescent="0.35">
      <c r="B291" s="154">
        <f t="shared" ca="1" si="6"/>
        <v>1002</v>
      </c>
      <c r="C291" s="154">
        <f t="shared" ca="1" si="4"/>
        <v>1002</v>
      </c>
      <c r="D291" s="154">
        <f t="shared" ca="1" si="5"/>
        <v>124.62574850299401</v>
      </c>
      <c r="E291" s="154">
        <f t="shared" ca="1" si="1"/>
        <v>0.88723276181275834</v>
      </c>
      <c r="F291" s="154" t="e" cm="1">
        <f t="array" aca="1" ref="F291" ca="1" xml:space="preserve"> 1 - SUM( calc_losscount_AAD^(ROW( OFFSET($A$1, , , C291 + 1 )) - 1) / FACT(ROW( OFFSET($A$1, , , C291 + 1 )) - 1) * EXP(-calc_losscount_AAD) )</f>
        <v>#NUM!</v>
      </c>
      <c r="G291" s="154">
        <f t="shared" ca="1" si="2"/>
        <v>0.88723276181275834</v>
      </c>
      <c r="H291" s="154" t="e" cm="1">
        <f t="array" aca="1" ref="H291" ca="1" xml:space="preserve"> ( calc_losscount_AAD - SUM( (ROW( OFFSET($A$1, , , C291 + 1 )) - 1) * calc_losscount_AAD^(ROW( OFFSET($A$1, , , C291 + 1 )) - 1) / FACT(ROW( OFFSET($A$1, , , C291 + 1 )) - 1) * EXP(-calc_losscount_AAD) ) ) / F291</f>
        <v>#NUM!</v>
      </c>
      <c r="I291" s="154">
        <f t="shared" ca="1" si="3"/>
        <v>0</v>
      </c>
      <c r="M291" s="419"/>
    </row>
    <row r="292" spans="2:14" hidden="1" outlineLevel="2" x14ac:dyDescent="0.35">
      <c r="B292" s="154">
        <f t="shared" ca="1" si="6"/>
        <v>1003</v>
      </c>
      <c r="C292" s="154">
        <f t="shared" ca="1" si="4"/>
        <v>1003</v>
      </c>
      <c r="D292" s="154">
        <f t="shared" ca="1" si="5"/>
        <v>124.50149551345962</v>
      </c>
      <c r="E292" s="154">
        <f t="shared" ca="1" si="1"/>
        <v>0.88734936272913001</v>
      </c>
      <c r="F292" s="154" t="e" cm="1">
        <f t="array" aca="1" ref="F292" ca="1" xml:space="preserve"> 1 - SUM( calc_losscount_AAD^(ROW( OFFSET($A$1, , , C292 + 1 )) - 1) / FACT(ROW( OFFSET($A$1, , , C292 + 1 )) - 1) * EXP(-calc_losscount_AAD) )</f>
        <v>#NUM!</v>
      </c>
      <c r="G292" s="154">
        <f t="shared" ca="1" si="2"/>
        <v>0.88734936272913001</v>
      </c>
      <c r="H292" s="154" t="e" cm="1">
        <f t="array" aca="1" ref="H292" ca="1" xml:space="preserve"> ( calc_losscount_AAD - SUM( (ROW( OFFSET($A$1, , , C292 + 1 )) - 1) * calc_losscount_AAD^(ROW( OFFSET($A$1, , , C292 + 1 )) - 1) / FACT(ROW( OFFSET($A$1, , , C292 + 1 )) - 1) * EXP(-calc_losscount_AAD) ) ) / F292</f>
        <v>#NUM!</v>
      </c>
      <c r="I292" s="154">
        <f t="shared" ca="1" si="3"/>
        <v>0</v>
      </c>
      <c r="M292" s="419"/>
    </row>
    <row r="293" spans="2:14" hidden="1" outlineLevel="2" x14ac:dyDescent="0.35">
      <c r="B293" s="154">
        <f t="shared" ca="1" si="6"/>
        <v>1004</v>
      </c>
      <c r="C293" s="154">
        <f t="shared" ca="1" si="4"/>
        <v>1004</v>
      </c>
      <c r="D293" s="154">
        <f t="shared" ca="1" si="5"/>
        <v>124.37749003984064</v>
      </c>
      <c r="E293" s="154">
        <f t="shared" ca="1" si="1"/>
        <v>0.88746576145264211</v>
      </c>
      <c r="F293" s="154" t="e" cm="1">
        <f t="array" aca="1" ref="F293" ca="1" xml:space="preserve"> 1 - SUM( calc_losscount_AAD^(ROW( OFFSET($A$1, , , C293 + 1 )) - 1) / FACT(ROW( OFFSET($A$1, , , C293 + 1 )) - 1) * EXP(-calc_losscount_AAD) )</f>
        <v>#NUM!</v>
      </c>
      <c r="G293" s="154">
        <f t="shared" ca="1" si="2"/>
        <v>0.88746576145264211</v>
      </c>
      <c r="H293" s="154" t="e" cm="1">
        <f t="array" aca="1" ref="H293" ca="1" xml:space="preserve"> ( calc_losscount_AAD - SUM( (ROW( OFFSET($A$1, , , C293 + 1 )) - 1) * calc_losscount_AAD^(ROW( OFFSET($A$1, , , C293 + 1 )) - 1) / FACT(ROW( OFFSET($A$1, , , C293 + 1 )) - 1) * EXP(-calc_losscount_AAD) ) ) / F293</f>
        <v>#NUM!</v>
      </c>
      <c r="I293" s="154">
        <f t="shared" ca="1" si="3"/>
        <v>0</v>
      </c>
      <c r="M293" s="419"/>
    </row>
    <row r="294" spans="2:14" hidden="1" outlineLevel="2" x14ac:dyDescent="0.35">
      <c r="B294" s="154">
        <f t="shared" ca="1" si="6"/>
        <v>1005</v>
      </c>
      <c r="C294" s="154">
        <f t="shared" ca="1" si="4"/>
        <v>1005</v>
      </c>
      <c r="D294" s="154">
        <f t="shared" ca="1" si="5"/>
        <v>124.25373134328358</v>
      </c>
      <c r="E294" s="154">
        <f t="shared" ca="1" si="1"/>
        <v>0.88758195849172927</v>
      </c>
      <c r="F294" s="154" t="e" cm="1">
        <f t="array" aca="1" ref="F294" ca="1" xml:space="preserve"> 1 - SUM( calc_losscount_AAD^(ROW( OFFSET($A$1, , , C294 + 1 )) - 1) / FACT(ROW( OFFSET($A$1, , , C294 + 1 )) - 1) * EXP(-calc_losscount_AAD) )</f>
        <v>#NUM!</v>
      </c>
      <c r="G294" s="154">
        <f t="shared" ca="1" si="2"/>
        <v>0.88758195849172927</v>
      </c>
      <c r="H294" s="154" t="e" cm="1">
        <f t="array" aca="1" ref="H294" ca="1" xml:space="preserve"> ( calc_losscount_AAD - SUM( (ROW( OFFSET($A$1, , , C294 + 1 )) - 1) * calc_losscount_AAD^(ROW( OFFSET($A$1, , , C294 + 1 )) - 1) / FACT(ROW( OFFSET($A$1, , , C294 + 1 )) - 1) * EXP(-calc_losscount_AAD) ) ) / F294</f>
        <v>#NUM!</v>
      </c>
      <c r="I294" s="154">
        <f t="shared" ca="1" si="3"/>
        <v>0</v>
      </c>
      <c r="M294" s="419"/>
    </row>
    <row r="295" spans="2:14" hidden="1" outlineLevel="2" x14ac:dyDescent="0.35">
      <c r="B295" s="154">
        <f t="shared" ca="1" si="6"/>
        <v>1006</v>
      </c>
      <c r="C295" s="154">
        <f t="shared" ca="1" si="4"/>
        <v>1006</v>
      </c>
      <c r="D295" s="154">
        <f t="shared" ca="1" si="5"/>
        <v>124.13021868787277</v>
      </c>
      <c r="E295" s="154">
        <f t="shared" ca="1" si="1"/>
        <v>0.88769795435312659</v>
      </c>
      <c r="F295" s="154" t="e" cm="1">
        <f t="array" aca="1" ref="F295" ca="1" xml:space="preserve"> 1 - SUM( calc_losscount_AAD^(ROW( OFFSET($A$1, , , C295 + 1 )) - 1) / FACT(ROW( OFFSET($A$1, , , C295 + 1 )) - 1) * EXP(-calc_losscount_AAD) )</f>
        <v>#NUM!</v>
      </c>
      <c r="G295" s="154">
        <f t="shared" ca="1" si="2"/>
        <v>0.88769795435312659</v>
      </c>
      <c r="H295" s="154" t="e" cm="1">
        <f t="array" aca="1" ref="H295" ca="1" xml:space="preserve"> ( calc_losscount_AAD - SUM( (ROW( OFFSET($A$1, , , C295 + 1 )) - 1) * calc_losscount_AAD^(ROW( OFFSET($A$1, , , C295 + 1 )) - 1) / FACT(ROW( OFFSET($A$1, , , C295 + 1 )) - 1) * EXP(-calc_losscount_AAD) ) ) / F295</f>
        <v>#NUM!</v>
      </c>
      <c r="I295" s="154">
        <f t="shared" ca="1" si="3"/>
        <v>0</v>
      </c>
      <c r="M295" s="419"/>
    </row>
    <row r="296" spans="2:14" hidden="1" outlineLevel="2" x14ac:dyDescent="0.35">
      <c r="B296" s="154">
        <f t="shared" ca="1" si="6"/>
        <v>1007</v>
      </c>
      <c r="C296" s="154">
        <f t="shared" ca="1" si="4"/>
        <v>1007</v>
      </c>
      <c r="D296" s="154">
        <f t="shared" ca="1" si="5"/>
        <v>124.00695134061569</v>
      </c>
      <c r="E296" s="154">
        <f t="shared" ca="1" si="1"/>
        <v>0.88781374954187742</v>
      </c>
      <c r="F296" s="154" t="e" cm="1">
        <f t="array" aca="1" ref="F296" ca="1" xml:space="preserve"> 1 - SUM( calc_losscount_AAD^(ROW( OFFSET($A$1, , , C296 + 1 )) - 1) / FACT(ROW( OFFSET($A$1, , , C296 + 1 )) - 1) * EXP(-calc_losscount_AAD) )</f>
        <v>#NUM!</v>
      </c>
      <c r="G296" s="154">
        <f t="shared" ca="1" si="2"/>
        <v>0.88781374954187742</v>
      </c>
      <c r="H296" s="154" t="e" cm="1">
        <f t="array" aca="1" ref="H296" ca="1" xml:space="preserve"> ( calc_losscount_AAD - SUM( (ROW( OFFSET($A$1, , , C296 + 1 )) - 1) * calc_losscount_AAD^(ROW( OFFSET($A$1, , , C296 + 1 )) - 1) / FACT(ROW( OFFSET($A$1, , , C296 + 1 )) - 1) * EXP(-calc_losscount_AAD) ) ) / F296</f>
        <v>#NUM!</v>
      </c>
      <c r="I296" s="154">
        <f t="shared" ca="1" si="3"/>
        <v>0</v>
      </c>
      <c r="M296" s="419"/>
    </row>
    <row r="297" spans="2:14" hidden="1" outlineLevel="2" x14ac:dyDescent="0.35">
      <c r="B297" s="154">
        <f t="shared" ca="1" si="6"/>
        <v>1008</v>
      </c>
      <c r="C297" s="154">
        <f t="shared" ca="1" si="4"/>
        <v>1008</v>
      </c>
      <c r="D297" s="154">
        <f t="shared" ca="1" si="5"/>
        <v>123.88392857142857</v>
      </c>
      <c r="E297" s="154">
        <f t="shared" ca="1" si="1"/>
        <v>0.88792934456134032</v>
      </c>
      <c r="F297" s="154" t="e" cm="1">
        <f t="array" aca="1" ref="F297" ca="1" xml:space="preserve"> 1 - SUM( calc_losscount_AAD^(ROW( OFFSET($A$1, , , C297 + 1 )) - 1) / FACT(ROW( OFFSET($A$1, , , C297 + 1 )) - 1) * EXP(-calc_losscount_AAD) )</f>
        <v>#NUM!</v>
      </c>
      <c r="G297" s="154">
        <f t="shared" ca="1" si="2"/>
        <v>0.88792934456134032</v>
      </c>
      <c r="H297" s="154" t="e" cm="1">
        <f t="array" aca="1" ref="H297" ca="1" xml:space="preserve"> ( calc_losscount_AAD - SUM( (ROW( OFFSET($A$1, , , C297 + 1 )) - 1) * calc_losscount_AAD^(ROW( OFFSET($A$1, , , C297 + 1 )) - 1) / FACT(ROW( OFFSET($A$1, , , C297 + 1 )) - 1) * EXP(-calc_losscount_AAD) ) ) / F297</f>
        <v>#NUM!</v>
      </c>
      <c r="I297" s="154">
        <f t="shared" ca="1" si="3"/>
        <v>0</v>
      </c>
      <c r="M297" s="419"/>
    </row>
    <row r="298" spans="2:14" hidden="1" outlineLevel="2" x14ac:dyDescent="0.35">
      <c r="B298" s="154">
        <f t="shared" ca="1" si="6"/>
        <v>1009</v>
      </c>
      <c r="C298" s="154">
        <f t="shared" ca="1" si="4"/>
        <v>1009</v>
      </c>
      <c r="D298" s="154">
        <f t="shared" ca="1" si="5"/>
        <v>123.7611496531219</v>
      </c>
      <c r="E298" s="154">
        <f t="shared" ca="1" si="1"/>
        <v>0.88804473991319544</v>
      </c>
      <c r="F298" s="154" t="e" cm="1">
        <f t="array" aca="1" ref="F298" ca="1" xml:space="preserve"> 1 - SUM( calc_losscount_AAD^(ROW( OFFSET($A$1, , , C298 + 1 )) - 1) / FACT(ROW( OFFSET($A$1, , , C298 + 1 )) - 1) * EXP(-calc_losscount_AAD) )</f>
        <v>#NUM!</v>
      </c>
      <c r="G298" s="154">
        <f t="shared" ca="1" si="2"/>
        <v>0.88804473991319544</v>
      </c>
      <c r="H298" s="154" t="e" cm="1">
        <f t="array" aca="1" ref="H298" ca="1" xml:space="preserve"> ( calc_losscount_AAD - SUM( (ROW( OFFSET($A$1, , , C298 + 1 )) - 1) * calc_losscount_AAD^(ROW( OFFSET($A$1, , , C298 + 1 )) - 1) / FACT(ROW( OFFSET($A$1, , , C298 + 1 )) - 1) * EXP(-calc_losscount_AAD) ) ) / F298</f>
        <v>#NUM!</v>
      </c>
      <c r="I298" s="154">
        <f t="shared" ca="1" si="3"/>
        <v>0</v>
      </c>
      <c r="M298" s="419"/>
    </row>
    <row r="299" spans="2:14" hidden="1" outlineLevel="2" x14ac:dyDescent="0.35">
      <c r="B299" s="154">
        <f t="shared" ca="1" si="6"/>
        <v>1010</v>
      </c>
      <c r="C299" s="154">
        <f t="shared" ca="1" si="4"/>
        <v>1010</v>
      </c>
      <c r="D299" s="154">
        <f t="shared" ca="1" si="5"/>
        <v>123.63861386138613</v>
      </c>
      <c r="E299" s="154">
        <f t="shared" ca="1" si="1"/>
        <v>0.88815993609745281</v>
      </c>
      <c r="F299" s="154" t="e" cm="1">
        <f t="array" aca="1" ref="F299" ca="1" xml:space="preserve"> 1 - SUM( calc_losscount_AAD^(ROW( OFFSET($A$1, , , C299 + 1 )) - 1) / FACT(ROW( OFFSET($A$1, , , C299 + 1 )) - 1) * EXP(-calc_losscount_AAD) )</f>
        <v>#NUM!</v>
      </c>
      <c r="G299" s="154">
        <f t="shared" ca="1" si="2"/>
        <v>0.88815993609745281</v>
      </c>
      <c r="H299" s="154" t="e" cm="1">
        <f t="array" aca="1" ref="H299" ca="1" xml:space="preserve"> ( calc_losscount_AAD - SUM( (ROW( OFFSET($A$1, , , C299 + 1 )) - 1) * calc_losscount_AAD^(ROW( OFFSET($A$1, , , C299 + 1 )) - 1) / FACT(ROW( OFFSET($A$1, , , C299 + 1 )) - 1) * EXP(-calc_losscount_AAD) ) ) / F299</f>
        <v>#NUM!</v>
      </c>
      <c r="I299" s="154">
        <f t="shared" ca="1" si="3"/>
        <v>0</v>
      </c>
      <c r="M299" s="419"/>
    </row>
    <row r="300" spans="2:14" hidden="1" outlineLevel="2" x14ac:dyDescent="0.35">
      <c r="B300" s="154">
        <f t="shared" ca="1" si="6"/>
        <v>1011</v>
      </c>
      <c r="C300" s="154">
        <f t="shared" ca="1" si="4"/>
        <v>1011</v>
      </c>
      <c r="D300" s="154">
        <f t="shared" ca="1" si="5"/>
        <v>123.51632047477744</v>
      </c>
      <c r="E300" s="154">
        <f t="shared" ca="1" si="1"/>
        <v>0.88827493361245813</v>
      </c>
      <c r="F300" s="154" t="e" cm="1">
        <f t="array" aca="1" ref="F300" ca="1" xml:space="preserve"> 1 - SUM( calc_losscount_AAD^(ROW( OFFSET($A$1, , , C300 + 1 )) - 1) / FACT(ROW( OFFSET($A$1, , , C300 + 1 )) - 1) * EXP(-calc_losscount_AAD) )</f>
        <v>#NUM!</v>
      </c>
      <c r="G300" s="154">
        <f t="shared" ca="1" si="2"/>
        <v>0.88827493361245813</v>
      </c>
      <c r="H300" s="154" t="e" cm="1">
        <f t="array" aca="1" ref="H300" ca="1" xml:space="preserve"> ( calc_losscount_AAD - SUM( (ROW( OFFSET($A$1, , , C300 + 1 )) - 1) * calc_losscount_AAD^(ROW( OFFSET($A$1, , , C300 + 1 )) - 1) / FACT(ROW( OFFSET($A$1, , , C300 + 1 )) - 1) * EXP(-calc_losscount_AAD) ) ) / F300</f>
        <v>#NUM!</v>
      </c>
      <c r="I300" s="154">
        <f t="shared" ca="1" si="3"/>
        <v>0</v>
      </c>
      <c r="M300" s="419"/>
    </row>
    <row r="301" spans="2:14" hidden="1" outlineLevel="2" x14ac:dyDescent="0.35">
      <c r="B301" s="154">
        <f t="shared" ca="1" si="6"/>
        <v>1012</v>
      </c>
      <c r="C301" s="154">
        <f t="shared" ca="1" si="4"/>
        <v>1012</v>
      </c>
      <c r="D301" s="154">
        <f t="shared" ca="1" si="5"/>
        <v>123.39426877470356</v>
      </c>
      <c r="E301" s="154">
        <f t="shared" ca="1" si="1"/>
        <v>0.88838973295490031</v>
      </c>
      <c r="F301" s="154" t="e" cm="1">
        <f t="array" aca="1" ref="F301" ca="1" xml:space="preserve"> 1 - SUM( calc_losscount_AAD^(ROW( OFFSET($A$1, , , C301 + 1 )) - 1) / FACT(ROW( OFFSET($A$1, , , C301 + 1 )) - 1) * EXP(-calc_losscount_AAD) )</f>
        <v>#NUM!</v>
      </c>
      <c r="G301" s="154">
        <f t="shared" ca="1" si="2"/>
        <v>0.88838973295490031</v>
      </c>
      <c r="H301" s="154" t="e" cm="1">
        <f t="array" aca="1" ref="H301" ca="1" xml:space="preserve"> ( calc_losscount_AAD - SUM( (ROW( OFFSET($A$1, , , C301 + 1 )) - 1) * calc_losscount_AAD^(ROW( OFFSET($A$1, , , C301 + 1 )) - 1) / FACT(ROW( OFFSET($A$1, , , C301 + 1 )) - 1) * EXP(-calc_losscount_AAD) ) ) / F301</f>
        <v>#NUM!</v>
      </c>
      <c r="I301" s="154">
        <f t="shared" ca="1" si="3"/>
        <v>0</v>
      </c>
      <c r="M301" s="419"/>
    </row>
    <row r="302" spans="2:14" hidden="1" outlineLevel="2" x14ac:dyDescent="0.35">
      <c r="B302" s="154">
        <f t="shared" ca="1" si="6"/>
        <v>1013</v>
      </c>
      <c r="C302" s="154">
        <f t="shared" ca="1" si="4"/>
        <v>1013</v>
      </c>
      <c r="D302" s="154">
        <f t="shared" ca="1" si="5"/>
        <v>123.27245804540968</v>
      </c>
      <c r="E302" s="154">
        <f t="shared" ca="1" si="1"/>
        <v>0.88850433461981837</v>
      </c>
      <c r="F302" s="154" t="e" cm="1">
        <f t="array" aca="1" ref="F302" ca="1" xml:space="preserve"> 1 - SUM( calc_losscount_AAD^(ROW( OFFSET($A$1, , , C302 + 1 )) - 1) / FACT(ROW( OFFSET($A$1, , , C302 + 1 )) - 1) * EXP(-calc_losscount_AAD) )</f>
        <v>#NUM!</v>
      </c>
      <c r="G302" s="154">
        <f t="shared" ca="1" si="2"/>
        <v>0.88850433461981837</v>
      </c>
      <c r="H302" s="154" t="e" cm="1">
        <f t="array" aca="1" ref="H302" ca="1" xml:space="preserve"> ( calc_losscount_AAD - SUM( (ROW( OFFSET($A$1, , , C302 + 1 )) - 1) * calc_losscount_AAD^(ROW( OFFSET($A$1, , , C302 + 1 )) - 1) / FACT(ROW( OFFSET($A$1, , , C302 + 1 )) - 1) * EXP(-calc_losscount_AAD) ) ) / F302</f>
        <v>#NUM!</v>
      </c>
      <c r="I302" s="154">
        <f t="shared" ca="1" si="3"/>
        <v>0</v>
      </c>
      <c r="M302" s="419"/>
    </row>
    <row r="303" spans="2:14" hidden="1" outlineLevel="2" x14ac:dyDescent="0.35">
      <c r="B303" s="154">
        <f t="shared" ca="1" si="6"/>
        <v>1014</v>
      </c>
      <c r="C303" s="154">
        <f t="shared" ca="1" si="4"/>
        <v>1014</v>
      </c>
      <c r="D303" s="154">
        <f t="shared" ca="1" si="5"/>
        <v>123.1508875739645</v>
      </c>
      <c r="E303" s="154">
        <f t="shared" ca="1" si="1"/>
        <v>0.88861873910060829</v>
      </c>
      <c r="F303" s="154" t="e" cm="1">
        <f t="array" aca="1" ref="F303" ca="1" xml:space="preserve"> 1 - SUM( calc_losscount_AAD^(ROW( OFFSET($A$1, , , C303 + 1 )) - 1) / FACT(ROW( OFFSET($A$1, , , C303 + 1 )) - 1) * EXP(-calc_losscount_AAD) )</f>
        <v>#NUM!</v>
      </c>
      <c r="G303" s="154">
        <f t="shared" ca="1" si="2"/>
        <v>0.88861873910060829</v>
      </c>
      <c r="H303" s="154" t="e" cm="1">
        <f t="array" aca="1" ref="H303" ca="1" xml:space="preserve"> ( calc_losscount_AAD - SUM( (ROW( OFFSET($A$1, , , C303 + 1 )) - 1) * calc_losscount_AAD^(ROW( OFFSET($A$1, , , C303 + 1 )) - 1) / FACT(ROW( OFFSET($A$1, , , C303 + 1 )) - 1) * EXP(-calc_losscount_AAD) ) ) / F303</f>
        <v>#NUM!</v>
      </c>
      <c r="I303" s="154">
        <f t="shared" ca="1" si="3"/>
        <v>0</v>
      </c>
      <c r="M303" s="419"/>
    </row>
    <row r="304" spans="2:14" hidden="1" outlineLevel="2" x14ac:dyDescent="0.35">
      <c r="B304" s="154">
        <f t="shared" ca="1" si="6"/>
        <v>1015</v>
      </c>
      <c r="C304" s="154">
        <f t="shared" ca="1" si="4"/>
        <v>1015</v>
      </c>
      <c r="D304" s="154">
        <f t="shared" ca="1" si="5"/>
        <v>123.02955665024631</v>
      </c>
      <c r="E304" s="154">
        <f t="shared" ca="1" si="1"/>
        <v>0.88873294688902993</v>
      </c>
      <c r="F304" s="154" t="e" cm="1">
        <f t="array" aca="1" ref="F304" ca="1" xml:space="preserve"> 1 - SUM( calc_losscount_AAD^(ROW( OFFSET($A$1, , , C304 + 1 )) - 1) / FACT(ROW( OFFSET($A$1, , , C304 + 1 )) - 1) * EXP(-calc_losscount_AAD) )</f>
        <v>#NUM!</v>
      </c>
      <c r="G304" s="154">
        <f t="shared" ca="1" si="2"/>
        <v>0.88873294688902993</v>
      </c>
      <c r="H304" s="154" t="e" cm="1">
        <f t="array" aca="1" ref="H304" ca="1" xml:space="preserve"> ( calc_losscount_AAD - SUM( (ROW( OFFSET($A$1, , , C304 + 1 )) - 1) * calc_losscount_AAD^(ROW( OFFSET($A$1, , , C304 + 1 )) - 1) / FACT(ROW( OFFSET($A$1, , , C304 + 1 )) - 1) * EXP(-calc_losscount_AAD) ) ) / F304</f>
        <v>#NUM!</v>
      </c>
      <c r="I304" s="154">
        <f t="shared" ca="1" si="3"/>
        <v>0</v>
      </c>
      <c r="M304" s="419"/>
    </row>
    <row r="305" spans="2:13" hidden="1" outlineLevel="2" x14ac:dyDescent="0.35">
      <c r="B305" s="154">
        <f t="shared" ca="1" si="6"/>
        <v>1016</v>
      </c>
      <c r="C305" s="154">
        <f t="shared" ca="1" si="4"/>
        <v>1016</v>
      </c>
      <c r="D305" s="154">
        <f t="shared" ca="1" si="5"/>
        <v>122.90846456692914</v>
      </c>
      <c r="E305" s="154">
        <f t="shared" ca="1" si="1"/>
        <v>0.88884695847521322</v>
      </c>
      <c r="F305" s="154" t="e" cm="1">
        <f t="array" aca="1" ref="F305" ca="1" xml:space="preserve"> 1 - SUM( calc_losscount_AAD^(ROW( OFFSET($A$1, , , C305 + 1 )) - 1) / FACT(ROW( OFFSET($A$1, , , C305 + 1 )) - 1) * EXP(-calc_losscount_AAD) )</f>
        <v>#NUM!</v>
      </c>
      <c r="G305" s="154">
        <f t="shared" ca="1" si="2"/>
        <v>0.88884695847521322</v>
      </c>
      <c r="H305" s="154" t="e" cm="1">
        <f t="array" aca="1" ref="H305" ca="1" xml:space="preserve"> ( calc_losscount_AAD - SUM( (ROW( OFFSET($A$1, , , C305 + 1 )) - 1) * calc_losscount_AAD^(ROW( OFFSET($A$1, , , C305 + 1 )) - 1) / FACT(ROW( OFFSET($A$1, , , C305 + 1 )) - 1) * EXP(-calc_losscount_AAD) ) ) / F305</f>
        <v>#NUM!</v>
      </c>
      <c r="I305" s="154">
        <f t="shared" ca="1" si="3"/>
        <v>0</v>
      </c>
      <c r="M305" s="419"/>
    </row>
    <row r="306" spans="2:13" hidden="1" outlineLevel="2" x14ac:dyDescent="0.35">
      <c r="B306" s="154">
        <f t="shared" ca="1" si="6"/>
        <v>1017</v>
      </c>
      <c r="C306" s="154">
        <f t="shared" ca="1" si="4"/>
        <v>1017</v>
      </c>
      <c r="D306" s="154">
        <f t="shared" ca="1" si="5"/>
        <v>122.78761061946902</v>
      </c>
      <c r="E306" s="154">
        <f t="shared" ca="1" si="1"/>
        <v>0.88896077434766596</v>
      </c>
      <c r="F306" s="154" t="e" cm="1">
        <f t="array" aca="1" ref="F306" ca="1" xml:space="preserve"> 1 - SUM( calc_losscount_AAD^(ROW( OFFSET($A$1, , , C306 + 1 )) - 1) / FACT(ROW( OFFSET($A$1, , , C306 + 1 )) - 1) * EXP(-calc_losscount_AAD) )</f>
        <v>#NUM!</v>
      </c>
      <c r="G306" s="154">
        <f t="shared" ca="1" si="2"/>
        <v>0.88896077434766596</v>
      </c>
      <c r="H306" s="154" t="e" cm="1">
        <f t="array" aca="1" ref="H306" ca="1" xml:space="preserve"> ( calc_losscount_AAD - SUM( (ROW( OFFSET($A$1, , , C306 + 1 )) - 1) * calc_losscount_AAD^(ROW( OFFSET($A$1, , , C306 + 1 )) - 1) / FACT(ROW( OFFSET($A$1, , , C306 + 1 )) - 1) * EXP(-calc_losscount_AAD) ) ) / F306</f>
        <v>#NUM!</v>
      </c>
      <c r="I306" s="154">
        <f t="shared" ca="1" si="3"/>
        <v>0</v>
      </c>
      <c r="M306" s="419"/>
    </row>
    <row r="307" spans="2:13" hidden="1" outlineLevel="2" x14ac:dyDescent="0.35">
      <c r="B307" s="154">
        <f t="shared" ca="1" si="6"/>
        <v>1018</v>
      </c>
      <c r="C307" s="154">
        <f t="shared" ca="1" si="4"/>
        <v>1018</v>
      </c>
      <c r="D307" s="154">
        <f t="shared" ca="1" si="5"/>
        <v>122.66699410609037</v>
      </c>
      <c r="E307" s="154">
        <f t="shared" ca="1" si="1"/>
        <v>0.88907439499328</v>
      </c>
      <c r="F307" s="154" t="e" cm="1">
        <f t="array" aca="1" ref="F307" ca="1" xml:space="preserve"> 1 - SUM( calc_losscount_AAD^(ROW( OFFSET($A$1, , , C307 + 1 )) - 1) / FACT(ROW( OFFSET($A$1, , , C307 + 1 )) - 1) * EXP(-calc_losscount_AAD) )</f>
        <v>#NUM!</v>
      </c>
      <c r="G307" s="154">
        <f t="shared" ca="1" si="2"/>
        <v>0.88907439499328</v>
      </c>
      <c r="H307" s="154" t="e" cm="1">
        <f t="array" aca="1" ref="H307" ca="1" xml:space="preserve"> ( calc_losscount_AAD - SUM( (ROW( OFFSET($A$1, , , C307 + 1 )) - 1) * calc_losscount_AAD^(ROW( OFFSET($A$1, , , C307 + 1 )) - 1) / FACT(ROW( OFFSET($A$1, , , C307 + 1 )) - 1) * EXP(-calc_losscount_AAD) ) ) / F307</f>
        <v>#NUM!</v>
      </c>
      <c r="I307" s="154">
        <f t="shared" ca="1" si="3"/>
        <v>0</v>
      </c>
      <c r="M307" s="419"/>
    </row>
    <row r="308" spans="2:13" hidden="1" outlineLevel="2" x14ac:dyDescent="0.35">
      <c r="B308" s="154">
        <f t="shared" ca="1" si="6"/>
        <v>1019</v>
      </c>
      <c r="C308" s="154">
        <f t="shared" ca="1" si="4"/>
        <v>1019</v>
      </c>
      <c r="D308" s="154">
        <f t="shared" ca="1" si="5"/>
        <v>122.54661432777233</v>
      </c>
      <c r="E308" s="154">
        <f t="shared" ca="1" si="1"/>
        <v>0.88918782089733794</v>
      </c>
      <c r="F308" s="154" t="e" cm="1">
        <f t="array" aca="1" ref="F308" ca="1" xml:space="preserve"> 1 - SUM( calc_losscount_AAD^(ROW( OFFSET($A$1, , , C308 + 1 )) - 1) / FACT(ROW( OFFSET($A$1, , , C308 + 1 )) - 1) * EXP(-calc_losscount_AAD) )</f>
        <v>#NUM!</v>
      </c>
      <c r="G308" s="154">
        <f t="shared" ca="1" si="2"/>
        <v>0.88918782089733794</v>
      </c>
      <c r="H308" s="154" t="e" cm="1">
        <f t="array" aca="1" ref="H308" ca="1" xml:space="preserve"> ( calc_losscount_AAD - SUM( (ROW( OFFSET($A$1, , , C308 + 1 )) - 1) * calc_losscount_AAD^(ROW( OFFSET($A$1, , , C308 + 1 )) - 1) / FACT(ROW( OFFSET($A$1, , , C308 + 1 )) - 1) * EXP(-calc_losscount_AAD) ) ) / F308</f>
        <v>#NUM!</v>
      </c>
      <c r="I308" s="154">
        <f t="shared" ca="1" si="3"/>
        <v>0</v>
      </c>
      <c r="M308" s="419"/>
    </row>
    <row r="309" spans="2:13" hidden="1" outlineLevel="2" x14ac:dyDescent="0.35">
      <c r="B309" s="154">
        <f t="shared" ca="1" si="6"/>
        <v>1020</v>
      </c>
      <c r="C309" s="154">
        <f t="shared" ca="1" si="4"/>
        <v>1020</v>
      </c>
      <c r="D309" s="154">
        <f t="shared" ca="1" si="5"/>
        <v>122.42647058823529</v>
      </c>
      <c r="E309" s="154">
        <f t="shared" ca="1" si="1"/>
        <v>0.88930105254351965</v>
      </c>
      <c r="F309" s="154" t="e" cm="1">
        <f t="array" aca="1" ref="F309" ca="1" xml:space="preserve"> 1 - SUM( calc_losscount_AAD^(ROW( OFFSET($A$1, , , C309 + 1 )) - 1) / FACT(ROW( OFFSET($A$1, , , C309 + 1 )) - 1) * EXP(-calc_losscount_AAD) )</f>
        <v>#NUM!</v>
      </c>
      <c r="G309" s="154">
        <f t="shared" ca="1" si="2"/>
        <v>0.88930105254351965</v>
      </c>
      <c r="H309" s="154" t="e" cm="1">
        <f t="array" aca="1" ref="H309" ca="1" xml:space="preserve"> ( calc_losscount_AAD - SUM( (ROW( OFFSET($A$1, , , C309 + 1 )) - 1) * calc_losscount_AAD^(ROW( OFFSET($A$1, , , C309 + 1 )) - 1) / FACT(ROW( OFFSET($A$1, , , C309 + 1 )) - 1) * EXP(-calc_losscount_AAD) ) ) / F309</f>
        <v>#NUM!</v>
      </c>
      <c r="I309" s="154">
        <f t="shared" ca="1" si="3"/>
        <v>0</v>
      </c>
      <c r="M309" s="419"/>
    </row>
    <row r="310" spans="2:13" hidden="1" outlineLevel="2" x14ac:dyDescent="0.35">
      <c r="B310" s="154">
        <f t="shared" ca="1" si="6"/>
        <v>1021</v>
      </c>
      <c r="C310" s="154">
        <f t="shared" ca="1" si="4"/>
        <v>1021</v>
      </c>
      <c r="D310" s="154">
        <f t="shared" ca="1" si="5"/>
        <v>122.30656219392752</v>
      </c>
      <c r="E310" s="154">
        <f t="shared" ca="1" si="1"/>
        <v>0.88941409041390962</v>
      </c>
      <c r="F310" s="154" t="e" cm="1">
        <f t="array" aca="1" ref="F310" ca="1" xml:space="preserve"> 1 - SUM( calc_losscount_AAD^(ROW( OFFSET($A$1, , , C310 + 1 )) - 1) / FACT(ROW( OFFSET($A$1, , , C310 + 1 )) - 1) * EXP(-calc_losscount_AAD) )</f>
        <v>#NUM!</v>
      </c>
      <c r="G310" s="154">
        <f t="shared" ca="1" si="2"/>
        <v>0.88941409041390962</v>
      </c>
      <c r="H310" s="154" t="e" cm="1">
        <f t="array" aca="1" ref="H310" ca="1" xml:space="preserve"> ( calc_losscount_AAD - SUM( (ROW( OFFSET($A$1, , , C310 + 1 )) - 1) * calc_losscount_AAD^(ROW( OFFSET($A$1, , , C310 + 1 )) - 1) / FACT(ROW( OFFSET($A$1, , , C310 + 1 )) - 1) * EXP(-calc_losscount_AAD) ) ) / F310</f>
        <v>#NUM!</v>
      </c>
      <c r="I310" s="154">
        <f t="shared" ca="1" si="3"/>
        <v>0</v>
      </c>
      <c r="M310" s="419"/>
    </row>
    <row r="311" spans="2:13" hidden="1" outlineLevel="2" x14ac:dyDescent="0.35">
      <c r="B311" s="154">
        <f t="shared" ca="1" si="6"/>
        <v>1022</v>
      </c>
      <c r="C311" s="154">
        <f t="shared" ca="1" si="4"/>
        <v>1022</v>
      </c>
      <c r="D311" s="154">
        <f t="shared" ca="1" si="5"/>
        <v>122.18688845401174</v>
      </c>
      <c r="E311" s="154">
        <f t="shared" ca="1" si="1"/>
        <v>0.8895269349890027</v>
      </c>
      <c r="F311" s="154" t="e" cm="1">
        <f t="array" aca="1" ref="F311" ca="1" xml:space="preserve"> 1 - SUM( calc_losscount_AAD^(ROW( OFFSET($A$1, , , C311 + 1 )) - 1) / FACT(ROW( OFFSET($A$1, , , C311 + 1 )) - 1) * EXP(-calc_losscount_AAD) )</f>
        <v>#NUM!</v>
      </c>
      <c r="G311" s="154">
        <f t="shared" ca="1" si="2"/>
        <v>0.8895269349890027</v>
      </c>
      <c r="H311" s="154" t="e" cm="1">
        <f t="array" aca="1" ref="H311" ca="1" xml:space="preserve"> ( calc_losscount_AAD - SUM( (ROW( OFFSET($A$1, , , C311 + 1 )) - 1) * calc_losscount_AAD^(ROW( OFFSET($A$1, , , C311 + 1 )) - 1) / FACT(ROW( OFFSET($A$1, , , C311 + 1 )) - 1) * EXP(-calc_losscount_AAD) ) ) / F311</f>
        <v>#NUM!</v>
      </c>
      <c r="I311" s="154">
        <f t="shared" ca="1" si="3"/>
        <v>0</v>
      </c>
      <c r="M311" s="419"/>
    </row>
    <row r="312" spans="2:13" hidden="1" outlineLevel="2" x14ac:dyDescent="0.35">
      <c r="B312" s="154">
        <f t="shared" ca="1" si="6"/>
        <v>1023</v>
      </c>
      <c r="C312" s="154">
        <f t="shared" ca="1" si="4"/>
        <v>1023</v>
      </c>
      <c r="D312" s="154">
        <f t="shared" ca="1" si="5"/>
        <v>122.0674486803519</v>
      </c>
      <c r="E312" s="154">
        <f t="shared" ca="1" si="1"/>
        <v>0.88963958674771115</v>
      </c>
      <c r="F312" s="154" t="e" cm="1">
        <f t="array" aca="1" ref="F312" ca="1" xml:space="preserve"> 1 - SUM( calc_losscount_AAD^(ROW( OFFSET($A$1, , , C312 + 1 )) - 1) / FACT(ROW( OFFSET($A$1, , , C312 + 1 )) - 1) * EXP(-calc_losscount_AAD) )</f>
        <v>#NUM!</v>
      </c>
      <c r="G312" s="154">
        <f t="shared" ca="1" si="2"/>
        <v>0.88963958674771115</v>
      </c>
      <c r="H312" s="154" t="e" cm="1">
        <f t="array" aca="1" ref="H312" ca="1" xml:space="preserve"> ( calc_losscount_AAD - SUM( (ROW( OFFSET($A$1, , , C312 + 1 )) - 1) * calc_losscount_AAD^(ROW( OFFSET($A$1, , , C312 + 1 )) - 1) / FACT(ROW( OFFSET($A$1, , , C312 + 1 )) - 1) * EXP(-calc_losscount_AAD) ) ) / F312</f>
        <v>#NUM!</v>
      </c>
      <c r="I312" s="154">
        <f t="shared" ca="1" si="3"/>
        <v>0</v>
      </c>
      <c r="M312" s="419"/>
    </row>
    <row r="313" spans="2:13" hidden="1" outlineLevel="2" x14ac:dyDescent="0.35">
      <c r="B313" s="154">
        <f t="shared" ca="1" si="6"/>
        <v>1024</v>
      </c>
      <c r="C313" s="154">
        <f t="shared" ca="1" si="4"/>
        <v>1024</v>
      </c>
      <c r="D313" s="154">
        <f t="shared" ca="1" si="5"/>
        <v>121.9482421875</v>
      </c>
      <c r="E313" s="154">
        <f t="shared" ca="1" si="1"/>
        <v>0.88975204616737147</v>
      </c>
      <c r="F313" s="154" t="e" cm="1">
        <f t="array" aca="1" ref="F313" ca="1" xml:space="preserve"> 1 - SUM( calc_losscount_AAD^(ROW( OFFSET($A$1, , , C313 + 1 )) - 1) / FACT(ROW( OFFSET($A$1, , , C313 + 1 )) - 1) * EXP(-calc_losscount_AAD) )</f>
        <v>#NUM!</v>
      </c>
      <c r="G313" s="154">
        <f t="shared" ca="1" si="2"/>
        <v>0.88975204616737147</v>
      </c>
      <c r="H313" s="154" t="e" cm="1">
        <f t="array" aca="1" ref="H313" ca="1" xml:space="preserve"> ( calc_losscount_AAD - SUM( (ROW( OFFSET($A$1, , , C313 + 1 )) - 1) * calc_losscount_AAD^(ROW( OFFSET($A$1, , , C313 + 1 )) - 1) / FACT(ROW( OFFSET($A$1, , , C313 + 1 )) - 1) * EXP(-calc_losscount_AAD) ) ) / F313</f>
        <v>#NUM!</v>
      </c>
      <c r="I313" s="154">
        <f t="shared" ca="1" si="3"/>
        <v>0</v>
      </c>
      <c r="M313" s="419"/>
    </row>
    <row r="314" spans="2:13" hidden="1" outlineLevel="2" x14ac:dyDescent="0.35">
      <c r="B314" s="154">
        <f t="shared" ca="1" si="6"/>
        <v>1025</v>
      </c>
      <c r="C314" s="154">
        <f t="shared" ca="1" si="4"/>
        <v>1025</v>
      </c>
      <c r="D314" s="154">
        <f t="shared" ca="1" si="5"/>
        <v>121.82926829268293</v>
      </c>
      <c r="E314" s="154">
        <f t="shared" ca="1" si="1"/>
        <v>0.88986431372375008</v>
      </c>
      <c r="F314" s="154" t="e" cm="1">
        <f t="array" aca="1" ref="F314" ca="1" xml:space="preserve"> 1 - SUM( calc_losscount_AAD^(ROW( OFFSET($A$1, , , C314 + 1 )) - 1) / FACT(ROW( OFFSET($A$1, , , C314 + 1 )) - 1) * EXP(-calc_losscount_AAD) )</f>
        <v>#NUM!</v>
      </c>
      <c r="G314" s="154">
        <f t="shared" ca="1" si="2"/>
        <v>0.88986431372375008</v>
      </c>
      <c r="H314" s="154" t="e" cm="1">
        <f t="array" aca="1" ref="H314" ca="1" xml:space="preserve"> ( calc_losscount_AAD - SUM( (ROW( OFFSET($A$1, , , C314 + 1 )) - 1) * calc_losscount_AAD^(ROW( OFFSET($A$1, , , C314 + 1 )) - 1) / FACT(ROW( OFFSET($A$1, , , C314 + 1 )) - 1) * EXP(-calc_losscount_AAD) ) ) / F314</f>
        <v>#NUM!</v>
      </c>
      <c r="I314" s="154">
        <f t="shared" ca="1" si="3"/>
        <v>0</v>
      </c>
      <c r="M314" s="419"/>
    </row>
    <row r="315" spans="2:13" hidden="1" outlineLevel="2" x14ac:dyDescent="0.35">
      <c r="B315" s="154">
        <f t="shared" ca="1" si="6"/>
        <v>1026</v>
      </c>
      <c r="C315" s="154">
        <f t="shared" ca="1" si="4"/>
        <v>1026</v>
      </c>
      <c r="D315" s="154">
        <f t="shared" ca="1" si="5"/>
        <v>121.71052631578948</v>
      </c>
      <c r="E315" s="154">
        <f t="shared" ca="1" si="1"/>
        <v>0.88997638989105066</v>
      </c>
      <c r="F315" s="154" t="e" cm="1">
        <f t="array" aca="1" ref="F315" ca="1" xml:space="preserve"> 1 - SUM( calc_losscount_AAD^(ROW( OFFSET($A$1, , , C315 + 1 )) - 1) / FACT(ROW( OFFSET($A$1, , , C315 + 1 )) - 1) * EXP(-calc_losscount_AAD) )</f>
        <v>#NUM!</v>
      </c>
      <c r="G315" s="154">
        <f t="shared" ca="1" si="2"/>
        <v>0.88997638989105066</v>
      </c>
      <c r="H315" s="154" t="e" cm="1">
        <f t="array" aca="1" ref="H315" ca="1" xml:space="preserve"> ( calc_losscount_AAD - SUM( (ROW( OFFSET($A$1, , , C315 + 1 )) - 1) * calc_losscount_AAD^(ROW( OFFSET($A$1, , , C315 + 1 )) - 1) / FACT(ROW( OFFSET($A$1, , , C315 + 1 )) - 1) * EXP(-calc_losscount_AAD) ) ) / F315</f>
        <v>#NUM!</v>
      </c>
      <c r="I315" s="154">
        <f t="shared" ca="1" si="3"/>
        <v>0</v>
      </c>
      <c r="M315" s="419"/>
    </row>
    <row r="316" spans="2:13" hidden="1" outlineLevel="2" x14ac:dyDescent="0.35">
      <c r="B316" s="154">
        <f t="shared" ca="1" si="6"/>
        <v>1027</v>
      </c>
      <c r="C316" s="154">
        <f t="shared" ca="1" si="4"/>
        <v>1027</v>
      </c>
      <c r="D316" s="154">
        <f t="shared" ca="1" si="5"/>
        <v>121.59201557935735</v>
      </c>
      <c r="E316" s="154">
        <f t="shared" ca="1" si="1"/>
        <v>0.8900882751419199</v>
      </c>
      <c r="F316" s="154" t="e" cm="1">
        <f t="array" aca="1" ref="F316" ca="1" xml:space="preserve"> 1 - SUM( calc_losscount_AAD^(ROW( OFFSET($A$1, , , C316 + 1 )) - 1) / FACT(ROW( OFFSET($A$1, , , C316 + 1 )) - 1) * EXP(-calc_losscount_AAD) )</f>
        <v>#NUM!</v>
      </c>
      <c r="G316" s="154">
        <f t="shared" ca="1" si="2"/>
        <v>0.8900882751419199</v>
      </c>
      <c r="H316" s="154" t="e" cm="1">
        <f t="array" aca="1" ref="H316" ca="1" xml:space="preserve"> ( calc_losscount_AAD - SUM( (ROW( OFFSET($A$1, , , C316 + 1 )) - 1) * calc_losscount_AAD^(ROW( OFFSET($A$1, , , C316 + 1 )) - 1) / FACT(ROW( OFFSET($A$1, , , C316 + 1 )) - 1) * EXP(-calc_losscount_AAD) ) ) / F316</f>
        <v>#NUM!</v>
      </c>
      <c r="I316" s="154">
        <f t="shared" ca="1" si="3"/>
        <v>0</v>
      </c>
      <c r="M316" s="419"/>
    </row>
    <row r="317" spans="2:13" hidden="1" outlineLevel="2" x14ac:dyDescent="0.35">
      <c r="B317" s="154">
        <f t="shared" ca="1" si="6"/>
        <v>1028</v>
      </c>
      <c r="C317" s="154">
        <f t="shared" ca="1" si="4"/>
        <v>1028</v>
      </c>
      <c r="D317" s="154">
        <f t="shared" ca="1" si="5"/>
        <v>121.47373540856032</v>
      </c>
      <c r="E317" s="154">
        <f t="shared" ca="1" si="1"/>
        <v>0.89019996994745454</v>
      </c>
      <c r="F317" s="154" t="e" cm="1">
        <f t="array" aca="1" ref="F317" ca="1" xml:space="preserve"> 1 - SUM( calc_losscount_AAD^(ROW( OFFSET($A$1, , , C317 + 1 )) - 1) / FACT(ROW( OFFSET($A$1, , , C317 + 1 )) - 1) * EXP(-calc_losscount_AAD) )</f>
        <v>#NUM!</v>
      </c>
      <c r="G317" s="154">
        <f t="shared" ca="1" si="2"/>
        <v>0.89019996994745454</v>
      </c>
      <c r="H317" s="154" t="e" cm="1">
        <f t="array" aca="1" ref="H317" ca="1" xml:space="preserve"> ( calc_losscount_AAD - SUM( (ROW( OFFSET($A$1, , , C317 + 1 )) - 1) * calc_losscount_AAD^(ROW( OFFSET($A$1, , , C317 + 1 )) - 1) / FACT(ROW( OFFSET($A$1, , , C317 + 1 )) - 1) * EXP(-calc_losscount_AAD) ) ) / F317</f>
        <v>#NUM!</v>
      </c>
      <c r="I317" s="154">
        <f t="shared" ca="1" si="3"/>
        <v>0</v>
      </c>
      <c r="M317" s="419"/>
    </row>
    <row r="318" spans="2:13" hidden="1" outlineLevel="2" x14ac:dyDescent="0.35">
      <c r="B318" s="154">
        <f t="shared" ca="1" si="6"/>
        <v>1029</v>
      </c>
      <c r="C318" s="154">
        <f t="shared" ca="1" si="4"/>
        <v>1029</v>
      </c>
      <c r="D318" s="154">
        <f t="shared" ca="1" si="5"/>
        <v>121.35568513119533</v>
      </c>
      <c r="E318" s="154">
        <f t="shared" ca="1" si="1"/>
        <v>0.89031147477720729</v>
      </c>
      <c r="F318" s="154" t="e" cm="1">
        <f t="array" aca="1" ref="F318" ca="1" xml:space="preserve"> 1 - SUM( calc_losscount_AAD^(ROW( OFFSET($A$1, , , C318 + 1 )) - 1) / FACT(ROW( OFFSET($A$1, , , C318 + 1 )) - 1) * EXP(-calc_losscount_AAD) )</f>
        <v>#NUM!</v>
      </c>
      <c r="G318" s="154">
        <f t="shared" ca="1" si="2"/>
        <v>0.89031147477720729</v>
      </c>
      <c r="H318" s="154" t="e" cm="1">
        <f t="array" aca="1" ref="H318" ca="1" xml:space="preserve"> ( calc_losscount_AAD - SUM( (ROW( OFFSET($A$1, , , C318 + 1 )) - 1) * calc_losscount_AAD^(ROW( OFFSET($A$1, , , C318 + 1 )) - 1) / FACT(ROW( OFFSET($A$1, , , C318 + 1 )) - 1) * EXP(-calc_losscount_AAD) ) ) / F318</f>
        <v>#NUM!</v>
      </c>
      <c r="I318" s="154">
        <f t="shared" ca="1" si="3"/>
        <v>0</v>
      </c>
      <c r="M318" s="419"/>
    </row>
    <row r="319" spans="2:13" hidden="1" outlineLevel="2" x14ac:dyDescent="0.35">
      <c r="B319" s="154">
        <f t="shared" ca="1" si="6"/>
        <v>1030</v>
      </c>
      <c r="C319" s="154">
        <f t="shared" ca="1" si="4"/>
        <v>1030</v>
      </c>
      <c r="D319" s="154">
        <f t="shared" ca="1" si="5"/>
        <v>121.2378640776699</v>
      </c>
      <c r="E319" s="154">
        <f t="shared" ca="1" si="1"/>
        <v>0.89042279009919345</v>
      </c>
      <c r="F319" s="154" t="e" cm="1">
        <f t="array" aca="1" ref="F319" ca="1" xml:space="preserve"> 1 - SUM( calc_losscount_AAD^(ROW( OFFSET($A$1, , , C319 + 1 )) - 1) / FACT(ROW( OFFSET($A$1, , , C319 + 1 )) - 1) * EXP(-calc_losscount_AAD) )</f>
        <v>#NUM!</v>
      </c>
      <c r="G319" s="154">
        <f t="shared" ca="1" si="2"/>
        <v>0.89042279009919345</v>
      </c>
      <c r="H319" s="154" t="e" cm="1">
        <f t="array" aca="1" ref="H319" ca="1" xml:space="preserve"> ( calc_losscount_AAD - SUM( (ROW( OFFSET($A$1, , , C319 + 1 )) - 1) * calc_losscount_AAD^(ROW( OFFSET($A$1, , , C319 + 1 )) - 1) / FACT(ROW( OFFSET($A$1, , , C319 + 1 )) - 1) * EXP(-calc_losscount_AAD) ) ) / F319</f>
        <v>#NUM!</v>
      </c>
      <c r="I319" s="154">
        <f t="shared" ca="1" si="3"/>
        <v>0</v>
      </c>
      <c r="M319" s="419"/>
    </row>
    <row r="320" spans="2:13" hidden="1" outlineLevel="2" x14ac:dyDescent="0.35">
      <c r="B320" s="154">
        <f t="shared" ca="1" si="6"/>
        <v>1031</v>
      </c>
      <c r="C320" s="154">
        <f t="shared" ca="1" si="4"/>
        <v>1031</v>
      </c>
      <c r="D320" s="154">
        <f t="shared" ca="1" si="5"/>
        <v>121.12027158098932</v>
      </c>
      <c r="E320" s="154">
        <f t="shared" ref="E320:E344" ca="1" si="7" xml:space="preserve"> (1 - _xlfn.NORM.S.DIST( ( LN(D320) - calc_severity_mu_AAD ) / calc_sigma, TRUE ) )</f>
        <v>0.89053391637989676</v>
      </c>
      <c r="F320" s="154" t="e" cm="1">
        <f t="array" aca="1" ref="F320" ca="1" xml:space="preserve"> 1 - SUM( calc_losscount_AAD^(ROW( OFFSET($A$1, , , C320 + 1 )) - 1) / FACT(ROW( OFFSET($A$1, , , C320 + 1 )) - 1) * EXP(-calc_losscount_AAD) )</f>
        <v>#NUM!</v>
      </c>
      <c r="G320" s="154">
        <f t="shared" ref="G320:G344" ca="1" si="8" xml:space="preserve"> (1 - _xlfn.NORM.S.DIST( ( LN((B320 + 1 - C320) * D320) - calc_severity_mu_AAD ) / calc_sigma, TRUE ) )</f>
        <v>0.89053391637989676</v>
      </c>
      <c r="H320" s="154" t="e" cm="1">
        <f t="array" aca="1" ref="H320" ca="1" xml:space="preserve"> ( calc_losscount_AAD - SUM( (ROW( OFFSET($A$1, , , C320 + 1 )) - 1) * calc_losscount_AAD^(ROW( OFFSET($A$1, , , C320 + 1 )) - 1) / FACT(ROW( OFFSET($A$1, , , C320 + 1 )) - 1) * EXP(-calc_losscount_AAD) ) ) / F320</f>
        <v>#NUM!</v>
      </c>
      <c r="I320" s="154">
        <f t="shared" ref="I320:I344" ca="1" si="9" xml:space="preserve"> IFERROR( F320 * E320^(C320-1) * (C320-1) * G320 * (H320-C320) * (calc_severity_ELP_AAD - calc_severity_FAD_AAD), 0 )</f>
        <v>0</v>
      </c>
      <c r="M320" s="419"/>
    </row>
    <row r="321" spans="2:13" hidden="1" outlineLevel="2" x14ac:dyDescent="0.35">
      <c r="B321" s="154">
        <f t="shared" ca="1" si="6"/>
        <v>1032</v>
      </c>
      <c r="C321" s="154">
        <f t="shared" ref="C321:C344" ca="1" si="10">B321</f>
        <v>1032</v>
      </c>
      <c r="D321" s="154">
        <f t="shared" ref="D321:D344" ca="1" si="11">calc_severity_aad_AAD / C321</f>
        <v>121.00290697674419</v>
      </c>
      <c r="E321" s="154">
        <f t="shared" ca="1" si="7"/>
        <v>0.89064485408427663</v>
      </c>
      <c r="F321" s="154" t="e" cm="1">
        <f t="array" aca="1" ref="F321" ca="1" xml:space="preserve"> 1 - SUM( calc_losscount_AAD^(ROW( OFFSET($A$1, , , C321 + 1 )) - 1) / FACT(ROW( OFFSET($A$1, , , C321 + 1 )) - 1) * EXP(-calc_losscount_AAD) )</f>
        <v>#NUM!</v>
      </c>
      <c r="G321" s="154">
        <f t="shared" ca="1" si="8"/>
        <v>0.89064485408427663</v>
      </c>
      <c r="H321" s="154" t="e" cm="1">
        <f t="array" aca="1" ref="H321" ca="1" xml:space="preserve"> ( calc_losscount_AAD - SUM( (ROW( OFFSET($A$1, , , C321 + 1 )) - 1) * calc_losscount_AAD^(ROW( OFFSET($A$1, , , C321 + 1 )) - 1) / FACT(ROW( OFFSET($A$1, , , C321 + 1 )) - 1) * EXP(-calc_losscount_AAD) ) ) / F321</f>
        <v>#NUM!</v>
      </c>
      <c r="I321" s="154">
        <f t="shared" ca="1" si="9"/>
        <v>0</v>
      </c>
      <c r="M321" s="419"/>
    </row>
    <row r="322" spans="2:13" hidden="1" outlineLevel="2" x14ac:dyDescent="0.35">
      <c r="B322" s="154">
        <f t="shared" ref="B322:B344" ca="1" si="12">B321+1</f>
        <v>1033</v>
      </c>
      <c r="C322" s="154">
        <f t="shared" ca="1" si="10"/>
        <v>1033</v>
      </c>
      <c r="D322" s="154">
        <f t="shared" ca="1" si="11"/>
        <v>120.88576960309777</v>
      </c>
      <c r="E322" s="154">
        <f t="shared" ca="1" si="7"/>
        <v>0.89075560367577356</v>
      </c>
      <c r="F322" s="154" t="e" cm="1">
        <f t="array" aca="1" ref="F322" ca="1" xml:space="preserve"> 1 - SUM( calc_losscount_AAD^(ROW( OFFSET($A$1, , , C322 + 1 )) - 1) / FACT(ROW( OFFSET($A$1, , , C322 + 1 )) - 1) * EXP(-calc_losscount_AAD) )</f>
        <v>#NUM!</v>
      </c>
      <c r="G322" s="154">
        <f t="shared" ca="1" si="8"/>
        <v>0.89075560367577356</v>
      </c>
      <c r="H322" s="154" t="e" cm="1">
        <f t="array" aca="1" ref="H322" ca="1" xml:space="preserve"> ( calc_losscount_AAD - SUM( (ROW( OFFSET($A$1, , , C322 + 1 )) - 1) * calc_losscount_AAD^(ROW( OFFSET($A$1, , , C322 + 1 )) - 1) / FACT(ROW( OFFSET($A$1, , , C322 + 1 )) - 1) * EXP(-calc_losscount_AAD) ) ) / F322</f>
        <v>#NUM!</v>
      </c>
      <c r="I322" s="154">
        <f t="shared" ca="1" si="9"/>
        <v>0</v>
      </c>
      <c r="M322" s="419"/>
    </row>
    <row r="323" spans="2:13" hidden="1" outlineLevel="2" x14ac:dyDescent="0.35">
      <c r="B323" s="154">
        <f t="shared" ca="1" si="12"/>
        <v>1034</v>
      </c>
      <c r="C323" s="154">
        <f t="shared" ca="1" si="10"/>
        <v>1034</v>
      </c>
      <c r="D323" s="154">
        <f t="shared" ca="1" si="11"/>
        <v>120.7688588007737</v>
      </c>
      <c r="E323" s="154">
        <f t="shared" ca="1" si="7"/>
        <v>0.89086616561631549</v>
      </c>
      <c r="F323" s="154" t="e" cm="1">
        <f t="array" aca="1" ref="F323" ca="1" xml:space="preserve"> 1 - SUM( calc_losscount_AAD^(ROW( OFFSET($A$1, , , C323 + 1 )) - 1) / FACT(ROW( OFFSET($A$1, , , C323 + 1 )) - 1) * EXP(-calc_losscount_AAD) )</f>
        <v>#NUM!</v>
      </c>
      <c r="G323" s="154">
        <f t="shared" ca="1" si="8"/>
        <v>0.89086616561631549</v>
      </c>
      <c r="H323" s="154" t="e" cm="1">
        <f t="array" aca="1" ref="H323" ca="1" xml:space="preserve"> ( calc_losscount_AAD - SUM( (ROW( OFFSET($A$1, , , C323 + 1 )) - 1) * calc_losscount_AAD^(ROW( OFFSET($A$1, , , C323 + 1 )) - 1) / FACT(ROW( OFFSET($A$1, , , C323 + 1 )) - 1) * EXP(-calc_losscount_AAD) ) ) / F323</f>
        <v>#NUM!</v>
      </c>
      <c r="I323" s="154">
        <f t="shared" ca="1" si="9"/>
        <v>0</v>
      </c>
      <c r="M323" s="419"/>
    </row>
    <row r="324" spans="2:13" hidden="1" outlineLevel="2" x14ac:dyDescent="0.35">
      <c r="B324" s="154">
        <f t="shared" ca="1" si="12"/>
        <v>1035</v>
      </c>
      <c r="C324" s="154">
        <f t="shared" ca="1" si="10"/>
        <v>1035</v>
      </c>
      <c r="D324" s="154">
        <f t="shared" ca="1" si="11"/>
        <v>120.65217391304348</v>
      </c>
      <c r="E324" s="154">
        <f t="shared" ca="1" si="7"/>
        <v>0.89097654036632423</v>
      </c>
      <c r="F324" s="154" t="e" cm="1">
        <f t="array" aca="1" ref="F324" ca="1" xml:space="preserve"> 1 - SUM( calc_losscount_AAD^(ROW( OFFSET($A$1, , , C324 + 1 )) - 1) / FACT(ROW( OFFSET($A$1, , , C324 + 1 )) - 1) * EXP(-calc_losscount_AAD) )</f>
        <v>#NUM!</v>
      </c>
      <c r="G324" s="154">
        <f t="shared" ca="1" si="8"/>
        <v>0.89097654036632423</v>
      </c>
      <c r="H324" s="154" t="e" cm="1">
        <f t="array" aca="1" ref="H324" ca="1" xml:space="preserve"> ( calc_losscount_AAD - SUM( (ROW( OFFSET($A$1, , , C324 + 1 )) - 1) * calc_losscount_AAD^(ROW( OFFSET($A$1, , , C324 + 1 )) - 1) / FACT(ROW( OFFSET($A$1, , , C324 + 1 )) - 1) * EXP(-calc_losscount_AAD) ) ) / F324</f>
        <v>#NUM!</v>
      </c>
      <c r="I324" s="154">
        <f t="shared" ca="1" si="9"/>
        <v>0</v>
      </c>
      <c r="M324" s="419"/>
    </row>
    <row r="325" spans="2:13" hidden="1" outlineLevel="2" x14ac:dyDescent="0.35">
      <c r="B325" s="154">
        <f t="shared" ca="1" si="12"/>
        <v>1036</v>
      </c>
      <c r="C325" s="154">
        <f t="shared" ca="1" si="10"/>
        <v>1036</v>
      </c>
      <c r="D325" s="154">
        <f t="shared" ca="1" si="11"/>
        <v>120.53571428571429</v>
      </c>
      <c r="E325" s="154">
        <f t="shared" ca="1" si="7"/>
        <v>0.8910867283847218</v>
      </c>
      <c r="F325" s="154" t="e" cm="1">
        <f t="array" aca="1" ref="F325" ca="1" xml:space="preserve"> 1 - SUM( calc_losscount_AAD^(ROW( OFFSET($A$1, , , C325 + 1 )) - 1) / FACT(ROW( OFFSET($A$1, , , C325 + 1 )) - 1) * EXP(-calc_losscount_AAD) )</f>
        <v>#NUM!</v>
      </c>
      <c r="G325" s="154">
        <f t="shared" ca="1" si="8"/>
        <v>0.8910867283847218</v>
      </c>
      <c r="H325" s="154" t="e" cm="1">
        <f t="array" aca="1" ref="H325" ca="1" xml:space="preserve"> ( calc_losscount_AAD - SUM( (ROW( OFFSET($A$1, , , C325 + 1 )) - 1) * calc_losscount_AAD^(ROW( OFFSET($A$1, , , C325 + 1 )) - 1) / FACT(ROW( OFFSET($A$1, , , C325 + 1 )) - 1) * EXP(-calc_losscount_AAD) ) ) / F325</f>
        <v>#NUM!</v>
      </c>
      <c r="I325" s="154">
        <f t="shared" ca="1" si="9"/>
        <v>0</v>
      </c>
      <c r="M325" s="419"/>
    </row>
    <row r="326" spans="2:13" hidden="1" outlineLevel="2" x14ac:dyDescent="0.35">
      <c r="B326" s="154">
        <f t="shared" ca="1" si="12"/>
        <v>1037</v>
      </c>
      <c r="C326" s="154">
        <f t="shared" ca="1" si="10"/>
        <v>1037</v>
      </c>
      <c r="D326" s="154">
        <f t="shared" ca="1" si="11"/>
        <v>120.41947926711669</v>
      </c>
      <c r="E326" s="154">
        <f t="shared" ca="1" si="7"/>
        <v>0.89119673012893597</v>
      </c>
      <c r="F326" s="154" t="e" cm="1">
        <f t="array" aca="1" ref="F326" ca="1" xml:space="preserve"> 1 - SUM( calc_losscount_AAD^(ROW( OFFSET($A$1, , , C326 + 1 )) - 1) / FACT(ROW( OFFSET($A$1, , , C326 + 1 )) - 1) * EXP(-calc_losscount_AAD) )</f>
        <v>#NUM!</v>
      </c>
      <c r="G326" s="154">
        <f t="shared" ca="1" si="8"/>
        <v>0.89119673012893597</v>
      </c>
      <c r="H326" s="154" t="e" cm="1">
        <f t="array" aca="1" ref="H326" ca="1" xml:space="preserve"> ( calc_losscount_AAD - SUM( (ROW( OFFSET($A$1, , , C326 + 1 )) - 1) * calc_losscount_AAD^(ROW( OFFSET($A$1, , , C326 + 1 )) - 1) / FACT(ROW( OFFSET($A$1, , , C326 + 1 )) - 1) * EXP(-calc_losscount_AAD) ) ) / F326</f>
        <v>#NUM!</v>
      </c>
      <c r="I326" s="154">
        <f t="shared" ca="1" si="9"/>
        <v>0</v>
      </c>
      <c r="M326" s="419"/>
    </row>
    <row r="327" spans="2:13" hidden="1" outlineLevel="2" x14ac:dyDescent="0.35">
      <c r="B327" s="154">
        <f t="shared" ca="1" si="12"/>
        <v>1038</v>
      </c>
      <c r="C327" s="154">
        <f t="shared" ca="1" si="10"/>
        <v>1038</v>
      </c>
      <c r="D327" s="154">
        <f t="shared" ca="1" si="11"/>
        <v>120.30346820809248</v>
      </c>
      <c r="E327" s="154">
        <f t="shared" ca="1" si="7"/>
        <v>0.89130654605490678</v>
      </c>
      <c r="F327" s="154" t="e" cm="1">
        <f t="array" aca="1" ref="F327" ca="1" xml:space="preserve"> 1 - SUM( calc_losscount_AAD^(ROW( OFFSET($A$1, , , C327 + 1 )) - 1) / FACT(ROW( OFFSET($A$1, , , C327 + 1 )) - 1) * EXP(-calc_losscount_AAD) )</f>
        <v>#NUM!</v>
      </c>
      <c r="G327" s="154">
        <f t="shared" ca="1" si="8"/>
        <v>0.89130654605490678</v>
      </c>
      <c r="H327" s="154" t="e" cm="1">
        <f t="array" aca="1" ref="H327" ca="1" xml:space="preserve"> ( calc_losscount_AAD - SUM( (ROW( OFFSET($A$1, , , C327 + 1 )) - 1) * calc_losscount_AAD^(ROW( OFFSET($A$1, , , C327 + 1 )) - 1) / FACT(ROW( OFFSET($A$1, , , C327 + 1 )) - 1) * EXP(-calc_losscount_AAD) ) ) / F327</f>
        <v>#NUM!</v>
      </c>
      <c r="I327" s="154">
        <f t="shared" ca="1" si="9"/>
        <v>0</v>
      </c>
      <c r="M327" s="419"/>
    </row>
    <row r="328" spans="2:13" hidden="1" outlineLevel="2" x14ac:dyDescent="0.35">
      <c r="B328" s="154">
        <f t="shared" ca="1" si="12"/>
        <v>1039</v>
      </c>
      <c r="C328" s="154">
        <f t="shared" ca="1" si="10"/>
        <v>1039</v>
      </c>
      <c r="D328" s="154">
        <f t="shared" ca="1" si="11"/>
        <v>120.18768046198268</v>
      </c>
      <c r="E328" s="154">
        <f t="shared" ca="1" si="7"/>
        <v>0.89141617661709271</v>
      </c>
      <c r="F328" s="154" t="e" cm="1">
        <f t="array" aca="1" ref="F328" ca="1" xml:space="preserve"> 1 - SUM( calc_losscount_AAD^(ROW( OFFSET($A$1, , , C328 + 1 )) - 1) / FACT(ROW( OFFSET($A$1, , , C328 + 1 )) - 1) * EXP(-calc_losscount_AAD) )</f>
        <v>#NUM!</v>
      </c>
      <c r="G328" s="154">
        <f t="shared" ca="1" si="8"/>
        <v>0.89141617661709271</v>
      </c>
      <c r="H328" s="154" t="e" cm="1">
        <f t="array" aca="1" ref="H328" ca="1" xml:space="preserve"> ( calc_losscount_AAD - SUM( (ROW( OFFSET($A$1, , , C328 + 1 )) - 1) * calc_losscount_AAD^(ROW( OFFSET($A$1, , , C328 + 1 )) - 1) / FACT(ROW( OFFSET($A$1, , , C328 + 1 )) - 1) * EXP(-calc_losscount_AAD) ) ) / F328</f>
        <v>#NUM!</v>
      </c>
      <c r="I328" s="154">
        <f t="shared" ca="1" si="9"/>
        <v>0</v>
      </c>
      <c r="M328" s="419"/>
    </row>
    <row r="329" spans="2:13" hidden="1" outlineLevel="2" x14ac:dyDescent="0.35">
      <c r="B329" s="154">
        <f t="shared" ca="1" si="12"/>
        <v>1040</v>
      </c>
      <c r="C329" s="154">
        <f t="shared" ca="1" si="10"/>
        <v>1040</v>
      </c>
      <c r="D329" s="154">
        <f t="shared" ca="1" si="11"/>
        <v>120.07211538461539</v>
      </c>
      <c r="E329" s="154">
        <f t="shared" ca="1" si="7"/>
        <v>0.89152562226847631</v>
      </c>
      <c r="F329" s="154" t="e" cm="1">
        <f t="array" aca="1" ref="F329" ca="1" xml:space="preserve"> 1 - SUM( calc_losscount_AAD^(ROW( OFFSET($A$1, , , C329 + 1 )) - 1) / FACT(ROW( OFFSET($A$1, , , C329 + 1 )) - 1) * EXP(-calc_losscount_AAD) )</f>
        <v>#NUM!</v>
      </c>
      <c r="G329" s="154">
        <f t="shared" ca="1" si="8"/>
        <v>0.89152562226847631</v>
      </c>
      <c r="H329" s="154" t="e" cm="1">
        <f t="array" aca="1" ref="H329" ca="1" xml:space="preserve"> ( calc_losscount_AAD - SUM( (ROW( OFFSET($A$1, , , C329 + 1 )) - 1) * calc_losscount_AAD^(ROW( OFFSET($A$1, , , C329 + 1 )) - 1) / FACT(ROW( OFFSET($A$1, , , C329 + 1 )) - 1) * EXP(-calc_losscount_AAD) ) ) / F329</f>
        <v>#NUM!</v>
      </c>
      <c r="I329" s="154">
        <f t="shared" ca="1" si="9"/>
        <v>0</v>
      </c>
      <c r="M329" s="419"/>
    </row>
    <row r="330" spans="2:13" hidden="1" outlineLevel="2" x14ac:dyDescent="0.35">
      <c r="B330" s="154">
        <f t="shared" ca="1" si="12"/>
        <v>1041</v>
      </c>
      <c r="C330" s="154">
        <f t="shared" ca="1" si="10"/>
        <v>1041</v>
      </c>
      <c r="D330" s="154">
        <f t="shared" ca="1" si="11"/>
        <v>119.95677233429394</v>
      </c>
      <c r="E330" s="154">
        <f t="shared" ca="1" si="7"/>
        <v>0.8916348834605704</v>
      </c>
      <c r="F330" s="154" t="e" cm="1">
        <f t="array" aca="1" ref="F330" ca="1" xml:space="preserve"> 1 - SUM( calc_losscount_AAD^(ROW( OFFSET($A$1, , , C330 + 1 )) - 1) / FACT(ROW( OFFSET($A$1, , , C330 + 1 )) - 1) * EXP(-calc_losscount_AAD) )</f>
        <v>#NUM!</v>
      </c>
      <c r="G330" s="154">
        <f t="shared" ca="1" si="8"/>
        <v>0.8916348834605704</v>
      </c>
      <c r="H330" s="154" t="e" cm="1">
        <f t="array" aca="1" ref="H330" ca="1" xml:space="preserve"> ( calc_losscount_AAD - SUM( (ROW( OFFSET($A$1, , , C330 + 1 )) - 1) * calc_losscount_AAD^(ROW( OFFSET($A$1, , , C330 + 1 )) - 1) / FACT(ROW( OFFSET($A$1, , , C330 + 1 )) - 1) * EXP(-calc_losscount_AAD) ) ) / F330</f>
        <v>#NUM!</v>
      </c>
      <c r="I330" s="154">
        <f t="shared" ca="1" si="9"/>
        <v>0</v>
      </c>
      <c r="M330" s="419"/>
    </row>
    <row r="331" spans="2:13" hidden="1" outlineLevel="2" x14ac:dyDescent="0.35">
      <c r="B331" s="154">
        <f t="shared" ca="1" si="12"/>
        <v>1042</v>
      </c>
      <c r="C331" s="154">
        <f t="shared" ca="1" si="10"/>
        <v>1042</v>
      </c>
      <c r="D331" s="154">
        <f t="shared" ca="1" si="11"/>
        <v>119.84165067178503</v>
      </c>
      <c r="E331" s="154">
        <f t="shared" ca="1" si="7"/>
        <v>0.89174396064342465</v>
      </c>
      <c r="F331" s="154" t="e" cm="1">
        <f t="array" aca="1" ref="F331" ca="1" xml:space="preserve"> 1 - SUM( calc_losscount_AAD^(ROW( OFFSET($A$1, , , C331 + 1 )) - 1) / FACT(ROW( OFFSET($A$1, , , C331 + 1 )) - 1) * EXP(-calc_losscount_AAD) )</f>
        <v>#NUM!</v>
      </c>
      <c r="G331" s="154">
        <f t="shared" ca="1" si="8"/>
        <v>0.89174396064342465</v>
      </c>
      <c r="H331" s="154" t="e" cm="1">
        <f t="array" aca="1" ref="H331" ca="1" xml:space="preserve"> ( calc_losscount_AAD - SUM( (ROW( OFFSET($A$1, , , C331 + 1 )) - 1) * calc_losscount_AAD^(ROW( OFFSET($A$1, , , C331 + 1 )) - 1) / FACT(ROW( OFFSET($A$1, , , C331 + 1 )) - 1) * EXP(-calc_losscount_AAD) ) ) / F331</f>
        <v>#NUM!</v>
      </c>
      <c r="I331" s="154">
        <f t="shared" ca="1" si="9"/>
        <v>0</v>
      </c>
      <c r="M331" s="419"/>
    </row>
    <row r="332" spans="2:13" hidden="1" outlineLevel="2" x14ac:dyDescent="0.35">
      <c r="B332" s="154">
        <f t="shared" ca="1" si="12"/>
        <v>1043</v>
      </c>
      <c r="C332" s="154">
        <f t="shared" ca="1" si="10"/>
        <v>1043</v>
      </c>
      <c r="D332" s="154">
        <f t="shared" ca="1" si="11"/>
        <v>119.7267497603068</v>
      </c>
      <c r="E332" s="154">
        <f t="shared" ca="1" si="7"/>
        <v>0.89185285426563032</v>
      </c>
      <c r="F332" s="154" t="e" cm="1">
        <f t="array" aca="1" ref="F332" ca="1" xml:space="preserve"> 1 - SUM( calc_losscount_AAD^(ROW( OFFSET($A$1, , , C332 + 1 )) - 1) / FACT(ROW( OFFSET($A$1, , , C332 + 1 )) - 1) * EXP(-calc_losscount_AAD) )</f>
        <v>#NUM!</v>
      </c>
      <c r="G332" s="154">
        <f t="shared" ca="1" si="8"/>
        <v>0.89185285426563032</v>
      </c>
      <c r="H332" s="154" t="e" cm="1">
        <f t="array" aca="1" ref="H332" ca="1" xml:space="preserve"> ( calc_losscount_AAD - SUM( (ROW( OFFSET($A$1, , , C332 + 1 )) - 1) * calc_losscount_AAD^(ROW( OFFSET($A$1, , , C332 + 1 )) - 1) / FACT(ROW( OFFSET($A$1, , , C332 + 1 )) - 1) * EXP(-calc_losscount_AAD) ) ) / F332</f>
        <v>#NUM!</v>
      </c>
      <c r="I332" s="154">
        <f t="shared" ca="1" si="9"/>
        <v>0</v>
      </c>
      <c r="M332" s="419"/>
    </row>
    <row r="333" spans="2:13" hidden="1" outlineLevel="2" x14ac:dyDescent="0.35">
      <c r="B333" s="154">
        <f t="shared" ca="1" si="12"/>
        <v>1044</v>
      </c>
      <c r="C333" s="154">
        <f t="shared" ca="1" si="10"/>
        <v>1044</v>
      </c>
      <c r="D333" s="154">
        <f t="shared" ca="1" si="11"/>
        <v>119.61206896551724</v>
      </c>
      <c r="E333" s="154">
        <f t="shared" ca="1" si="7"/>
        <v>0.89196156477432709</v>
      </c>
      <c r="F333" s="154" t="e" cm="1">
        <f t="array" aca="1" ref="F333" ca="1" xml:space="preserve"> 1 - SUM( calc_losscount_AAD^(ROW( OFFSET($A$1, , , C333 + 1 )) - 1) / FACT(ROW( OFFSET($A$1, , , C333 + 1 )) - 1) * EXP(-calc_losscount_AAD) )</f>
        <v>#NUM!</v>
      </c>
      <c r="G333" s="154">
        <f t="shared" ca="1" si="8"/>
        <v>0.89196156477432709</v>
      </c>
      <c r="H333" s="154" t="e" cm="1">
        <f t="array" aca="1" ref="H333" ca="1" xml:space="preserve"> ( calc_losscount_AAD - SUM( (ROW( OFFSET($A$1, , , C333 + 1 )) - 1) * calc_losscount_AAD^(ROW( OFFSET($A$1, , , C333 + 1 )) - 1) / FACT(ROW( OFFSET($A$1, , , C333 + 1 )) - 1) * EXP(-calc_losscount_AAD) ) ) / F333</f>
        <v>#NUM!</v>
      </c>
      <c r="I333" s="154">
        <f t="shared" ca="1" si="9"/>
        <v>0</v>
      </c>
      <c r="M333" s="419"/>
    </row>
    <row r="334" spans="2:13" hidden="1" outlineLevel="2" x14ac:dyDescent="0.35">
      <c r="B334" s="154">
        <f t="shared" ca="1" si="12"/>
        <v>1045</v>
      </c>
      <c r="C334" s="154">
        <f t="shared" ca="1" si="10"/>
        <v>1045</v>
      </c>
      <c r="D334" s="154">
        <f t="shared" ca="1" si="11"/>
        <v>119.49760765550239</v>
      </c>
      <c r="E334" s="154">
        <f t="shared" ca="1" si="7"/>
        <v>0.89207009261520931</v>
      </c>
      <c r="F334" s="154" t="e" cm="1">
        <f t="array" aca="1" ref="F334" ca="1" xml:space="preserve"> 1 - SUM( calc_losscount_AAD^(ROW( OFFSET($A$1, , , C334 + 1 )) - 1) / FACT(ROW( OFFSET($A$1, , , C334 + 1 )) - 1) * EXP(-calc_losscount_AAD) )</f>
        <v>#NUM!</v>
      </c>
      <c r="G334" s="154">
        <f t="shared" ca="1" si="8"/>
        <v>0.89207009261520931</v>
      </c>
      <c r="H334" s="154" t="e" cm="1">
        <f t="array" aca="1" ref="H334" ca="1" xml:space="preserve"> ( calc_losscount_AAD - SUM( (ROW( OFFSET($A$1, , , C334 + 1 )) - 1) * calc_losscount_AAD^(ROW( OFFSET($A$1, , , C334 + 1 )) - 1) / FACT(ROW( OFFSET($A$1, , , C334 + 1 )) - 1) * EXP(-calc_losscount_AAD) ) ) / F334</f>
        <v>#NUM!</v>
      </c>
      <c r="I334" s="154">
        <f t="shared" ca="1" si="9"/>
        <v>0</v>
      </c>
      <c r="M334" s="419"/>
    </row>
    <row r="335" spans="2:13" hidden="1" outlineLevel="2" x14ac:dyDescent="0.35">
      <c r="B335" s="154">
        <f t="shared" ca="1" si="12"/>
        <v>1046</v>
      </c>
      <c r="C335" s="154">
        <f t="shared" ca="1" si="10"/>
        <v>1046</v>
      </c>
      <c r="D335" s="154">
        <f t="shared" ca="1" si="11"/>
        <v>119.38336520076481</v>
      </c>
      <c r="E335" s="154">
        <f t="shared" ca="1" si="7"/>
        <v>0.89217843823253018</v>
      </c>
      <c r="F335" s="154" t="e" cm="1">
        <f t="array" aca="1" ref="F335" ca="1" xml:space="preserve"> 1 - SUM( calc_losscount_AAD^(ROW( OFFSET($A$1, , , C335 + 1 )) - 1) / FACT(ROW( OFFSET($A$1, , , C335 + 1 )) - 1) * EXP(-calc_losscount_AAD) )</f>
        <v>#NUM!</v>
      </c>
      <c r="G335" s="154">
        <f t="shared" ca="1" si="8"/>
        <v>0.89217843823253018</v>
      </c>
      <c r="H335" s="154" t="e" cm="1">
        <f t="array" aca="1" ref="H335" ca="1" xml:space="preserve"> ( calc_losscount_AAD - SUM( (ROW( OFFSET($A$1, , , C335 + 1 )) - 1) * calc_losscount_AAD^(ROW( OFFSET($A$1, , , C335 + 1 )) - 1) / FACT(ROW( OFFSET($A$1, , , C335 + 1 )) - 1) * EXP(-calc_losscount_AAD) ) ) / F335</f>
        <v>#NUM!</v>
      </c>
      <c r="I335" s="154">
        <f t="shared" ca="1" si="9"/>
        <v>0</v>
      </c>
      <c r="M335" s="419"/>
    </row>
    <row r="336" spans="2:13" hidden="1" outlineLevel="2" x14ac:dyDescent="0.35">
      <c r="B336" s="154">
        <f t="shared" ca="1" si="12"/>
        <v>1047</v>
      </c>
      <c r="C336" s="154">
        <f t="shared" ca="1" si="10"/>
        <v>1047</v>
      </c>
      <c r="D336" s="154">
        <f t="shared" ca="1" si="11"/>
        <v>119.26934097421203</v>
      </c>
      <c r="E336" s="154">
        <f t="shared" ca="1" si="7"/>
        <v>0.8922866020691097</v>
      </c>
      <c r="F336" s="154" t="e" cm="1">
        <f t="array" aca="1" ref="F336" ca="1" xml:space="preserve"> 1 - SUM( calc_losscount_AAD^(ROW( OFFSET($A$1, , , C336 + 1 )) - 1) / FACT(ROW( OFFSET($A$1, , , C336 + 1 )) - 1) * EXP(-calc_losscount_AAD) )</f>
        <v>#NUM!</v>
      </c>
      <c r="G336" s="154">
        <f t="shared" ca="1" si="8"/>
        <v>0.8922866020691097</v>
      </c>
      <c r="H336" s="154" t="e" cm="1">
        <f t="array" aca="1" ref="H336" ca="1" xml:space="preserve"> ( calc_losscount_AAD - SUM( (ROW( OFFSET($A$1, , , C336 + 1 )) - 1) * calc_losscount_AAD^(ROW( OFFSET($A$1, , , C336 + 1 )) - 1) / FACT(ROW( OFFSET($A$1, , , C336 + 1 )) - 1) * EXP(-calc_losscount_AAD) ) ) / F336</f>
        <v>#NUM!</v>
      </c>
      <c r="I336" s="154">
        <f t="shared" ca="1" si="9"/>
        <v>0</v>
      </c>
      <c r="M336" s="419"/>
    </row>
    <row r="337" spans="2:13" hidden="1" outlineLevel="2" x14ac:dyDescent="0.35">
      <c r="B337" s="154">
        <f t="shared" ca="1" si="12"/>
        <v>1048</v>
      </c>
      <c r="C337" s="154">
        <f t="shared" ca="1" si="10"/>
        <v>1048</v>
      </c>
      <c r="D337" s="154">
        <f t="shared" ca="1" si="11"/>
        <v>119.15553435114504</v>
      </c>
      <c r="E337" s="154">
        <f t="shared" ca="1" si="7"/>
        <v>0.89239458456633891</v>
      </c>
      <c r="F337" s="154" t="e" cm="1">
        <f t="array" aca="1" ref="F337" ca="1" xml:space="preserve"> 1 - SUM( calc_losscount_AAD^(ROW( OFFSET($A$1, , , C337 + 1 )) - 1) / FACT(ROW( OFFSET($A$1, , , C337 + 1 )) - 1) * EXP(-calc_losscount_AAD) )</f>
        <v>#NUM!</v>
      </c>
      <c r="G337" s="154">
        <f t="shared" ca="1" si="8"/>
        <v>0.89239458456633891</v>
      </c>
      <c r="H337" s="154" t="e" cm="1">
        <f t="array" aca="1" ref="H337" ca="1" xml:space="preserve"> ( calc_losscount_AAD - SUM( (ROW( OFFSET($A$1, , , C337 + 1 )) - 1) * calc_losscount_AAD^(ROW( OFFSET($A$1, , , C337 + 1 )) - 1) / FACT(ROW( OFFSET($A$1, , , C337 + 1 )) - 1) * EXP(-calc_losscount_AAD) ) ) / F337</f>
        <v>#NUM!</v>
      </c>
      <c r="I337" s="154">
        <f t="shared" ca="1" si="9"/>
        <v>0</v>
      </c>
      <c r="M337" s="419"/>
    </row>
    <row r="338" spans="2:13" hidden="1" outlineLevel="2" x14ac:dyDescent="0.35">
      <c r="B338" s="154">
        <f t="shared" ca="1" si="12"/>
        <v>1049</v>
      </c>
      <c r="C338" s="154">
        <f t="shared" ca="1" si="10"/>
        <v>1049</v>
      </c>
      <c r="D338" s="154">
        <f t="shared" ca="1" si="11"/>
        <v>119.04194470924691</v>
      </c>
      <c r="E338" s="154">
        <f t="shared" ca="1" si="7"/>
        <v>0.89250238616418653</v>
      </c>
      <c r="F338" s="154" t="e" cm="1">
        <f t="array" aca="1" ref="F338" ca="1" xml:space="preserve"> 1 - SUM( calc_losscount_AAD^(ROW( OFFSET($A$1, , , C338 + 1 )) - 1) / FACT(ROW( OFFSET($A$1, , , C338 + 1 )) - 1) * EXP(-calc_losscount_AAD) )</f>
        <v>#NUM!</v>
      </c>
      <c r="G338" s="154">
        <f t="shared" ca="1" si="8"/>
        <v>0.89250238616418653</v>
      </c>
      <c r="H338" s="154" t="e" cm="1">
        <f t="array" aca="1" ref="H338" ca="1" xml:space="preserve"> ( calc_losscount_AAD - SUM( (ROW( OFFSET($A$1, , , C338 + 1 )) - 1) * calc_losscount_AAD^(ROW( OFFSET($A$1, , , C338 + 1 )) - 1) / FACT(ROW( OFFSET($A$1, , , C338 + 1 )) - 1) * EXP(-calc_losscount_AAD) ) ) / F338</f>
        <v>#NUM!</v>
      </c>
      <c r="I338" s="154">
        <f t="shared" ca="1" si="9"/>
        <v>0</v>
      </c>
      <c r="M338" s="419"/>
    </row>
    <row r="339" spans="2:13" hidden="1" outlineLevel="2" x14ac:dyDescent="0.35">
      <c r="B339" s="154">
        <f t="shared" ca="1" si="12"/>
        <v>1050</v>
      </c>
      <c r="C339" s="154">
        <f t="shared" ca="1" si="10"/>
        <v>1050</v>
      </c>
      <c r="D339" s="154">
        <f t="shared" ca="1" si="11"/>
        <v>118.92857142857143</v>
      </c>
      <c r="E339" s="154">
        <f t="shared" ca="1" si="7"/>
        <v>0.89261000730120421</v>
      </c>
      <c r="F339" s="154" t="e" cm="1">
        <f t="array" aca="1" ref="F339" ca="1" xml:space="preserve"> 1 - SUM( calc_losscount_AAD^(ROW( OFFSET($A$1, , , C339 + 1 )) - 1) / FACT(ROW( OFFSET($A$1, , , C339 + 1 )) - 1) * EXP(-calc_losscount_AAD) )</f>
        <v>#NUM!</v>
      </c>
      <c r="G339" s="154">
        <f t="shared" ca="1" si="8"/>
        <v>0.89261000730120421</v>
      </c>
      <c r="H339" s="154" t="e" cm="1">
        <f t="array" aca="1" ref="H339" ca="1" xml:space="preserve"> ( calc_losscount_AAD - SUM( (ROW( OFFSET($A$1, , , C339 + 1 )) - 1) * calc_losscount_AAD^(ROW( OFFSET($A$1, , , C339 + 1 )) - 1) / FACT(ROW( OFFSET($A$1, , , C339 + 1 )) - 1) * EXP(-calc_losscount_AAD) ) ) / F339</f>
        <v>#NUM!</v>
      </c>
      <c r="I339" s="154">
        <f t="shared" ca="1" si="9"/>
        <v>0</v>
      </c>
      <c r="M339" s="419"/>
    </row>
    <row r="340" spans="2:13" hidden="1" outlineLevel="2" x14ac:dyDescent="0.35">
      <c r="B340" s="154">
        <f t="shared" ca="1" si="12"/>
        <v>1051</v>
      </c>
      <c r="C340" s="154">
        <f t="shared" ca="1" si="10"/>
        <v>1051</v>
      </c>
      <c r="D340" s="154">
        <f t="shared" ca="1" si="11"/>
        <v>118.81541389153188</v>
      </c>
      <c r="E340" s="154">
        <f t="shared" ca="1" si="7"/>
        <v>0.89271744841453282</v>
      </c>
      <c r="F340" s="154" t="e" cm="1">
        <f t="array" aca="1" ref="F340" ca="1" xml:space="preserve"> 1 - SUM( calc_losscount_AAD^(ROW( OFFSET($A$1, , , C340 + 1 )) - 1) / FACT(ROW( OFFSET($A$1, , , C340 + 1 )) - 1) * EXP(-calc_losscount_AAD) )</f>
        <v>#NUM!</v>
      </c>
      <c r="G340" s="154">
        <f t="shared" ca="1" si="8"/>
        <v>0.89271744841453282</v>
      </c>
      <c r="H340" s="154" t="e" cm="1">
        <f t="array" aca="1" ref="H340" ca="1" xml:space="preserve"> ( calc_losscount_AAD - SUM( (ROW( OFFSET($A$1, , , C340 + 1 )) - 1) * calc_losscount_AAD^(ROW( OFFSET($A$1, , , C340 + 1 )) - 1) / FACT(ROW( OFFSET($A$1, , , C340 + 1 )) - 1) * EXP(-calc_losscount_AAD) ) ) / F340</f>
        <v>#NUM!</v>
      </c>
      <c r="I340" s="154">
        <f t="shared" ca="1" si="9"/>
        <v>0</v>
      </c>
      <c r="M340" s="419"/>
    </row>
    <row r="341" spans="2:13" hidden="1" outlineLevel="2" x14ac:dyDescent="0.35">
      <c r="B341" s="154">
        <f t="shared" ca="1" si="12"/>
        <v>1052</v>
      </c>
      <c r="C341" s="154">
        <f t="shared" ca="1" si="10"/>
        <v>1052</v>
      </c>
      <c r="D341" s="154">
        <f t="shared" ca="1" si="11"/>
        <v>118.70247148288973</v>
      </c>
      <c r="E341" s="154">
        <f t="shared" ca="1" si="7"/>
        <v>0.89282470993990726</v>
      </c>
      <c r="F341" s="154" t="e" cm="1">
        <f t="array" aca="1" ref="F341" ca="1" xml:space="preserve"> 1 - SUM( calc_losscount_AAD^(ROW( OFFSET($A$1, , , C341 + 1 )) - 1) / FACT(ROW( OFFSET($A$1, , , C341 + 1 )) - 1) * EXP(-calc_losscount_AAD) )</f>
        <v>#NUM!</v>
      </c>
      <c r="G341" s="154">
        <f t="shared" ca="1" si="8"/>
        <v>0.89282470993990726</v>
      </c>
      <c r="H341" s="154" t="e" cm="1">
        <f t="array" aca="1" ref="H341" ca="1" xml:space="preserve"> ( calc_losscount_AAD - SUM( (ROW( OFFSET($A$1, , , C341 + 1 )) - 1) * calc_losscount_AAD^(ROW( OFFSET($A$1, , , C341 + 1 )) - 1) / FACT(ROW( OFFSET($A$1, , , C341 + 1 )) - 1) * EXP(-calc_losscount_AAD) ) ) / F341</f>
        <v>#NUM!</v>
      </c>
      <c r="I341" s="154">
        <f t="shared" ca="1" si="9"/>
        <v>0</v>
      </c>
      <c r="M341" s="419"/>
    </row>
    <row r="342" spans="2:13" hidden="1" outlineLevel="2" x14ac:dyDescent="0.35">
      <c r="B342" s="154">
        <f t="shared" ca="1" si="12"/>
        <v>1053</v>
      </c>
      <c r="C342" s="154">
        <f t="shared" ca="1" si="10"/>
        <v>1053</v>
      </c>
      <c r="D342" s="154">
        <f t="shared" ca="1" si="11"/>
        <v>118.58974358974359</v>
      </c>
      <c r="E342" s="154">
        <f t="shared" ca="1" si="7"/>
        <v>0.89293179231166342</v>
      </c>
      <c r="F342" s="154" t="e" cm="1">
        <f t="array" aca="1" ref="F342" ca="1" xml:space="preserve"> 1 - SUM( calc_losscount_AAD^(ROW( OFFSET($A$1, , , C342 + 1 )) - 1) / FACT(ROW( OFFSET($A$1, , , C342 + 1 )) - 1) * EXP(-calc_losscount_AAD) )</f>
        <v>#NUM!</v>
      </c>
      <c r="G342" s="154">
        <f t="shared" ca="1" si="8"/>
        <v>0.89293179231166342</v>
      </c>
      <c r="H342" s="154" t="e" cm="1">
        <f t="array" aca="1" ref="H342" ca="1" xml:space="preserve"> ( calc_losscount_AAD - SUM( (ROW( OFFSET($A$1, , , C342 + 1 )) - 1) * calc_losscount_AAD^(ROW( OFFSET($A$1, , , C342 + 1 )) - 1) / FACT(ROW( OFFSET($A$1, , , C342 + 1 )) - 1) * EXP(-calc_losscount_AAD) ) ) / F342</f>
        <v>#NUM!</v>
      </c>
      <c r="I342" s="154">
        <f t="shared" ca="1" si="9"/>
        <v>0</v>
      </c>
      <c r="M342" s="419"/>
    </row>
    <row r="343" spans="2:13" hidden="1" outlineLevel="2" x14ac:dyDescent="0.35">
      <c r="B343" s="154">
        <f t="shared" ca="1" si="12"/>
        <v>1054</v>
      </c>
      <c r="C343" s="154">
        <f t="shared" ca="1" si="10"/>
        <v>1054</v>
      </c>
      <c r="D343" s="154">
        <f t="shared" ca="1" si="11"/>
        <v>118.47722960151803</v>
      </c>
      <c r="E343" s="154">
        <f t="shared" ca="1" si="7"/>
        <v>0.89303869596274232</v>
      </c>
      <c r="F343" s="154" t="e" cm="1">
        <f t="array" aca="1" ref="F343" ca="1" xml:space="preserve"> 1 - SUM( calc_losscount_AAD^(ROW( OFFSET($A$1, , , C343 + 1 )) - 1) / FACT(ROW( OFFSET($A$1, , , C343 + 1 )) - 1) * EXP(-calc_losscount_AAD) )</f>
        <v>#NUM!</v>
      </c>
      <c r="G343" s="154">
        <f t="shared" ca="1" si="8"/>
        <v>0.89303869596274232</v>
      </c>
      <c r="H343" s="154" t="e" cm="1">
        <f t="array" aca="1" ref="H343" ca="1" xml:space="preserve"> ( calc_losscount_AAD - SUM( (ROW( OFFSET($A$1, , , C343 + 1 )) - 1) * calc_losscount_AAD^(ROW( OFFSET($A$1, , , C343 + 1 )) - 1) / FACT(ROW( OFFSET($A$1, , , C343 + 1 )) - 1) * EXP(-calc_losscount_AAD) ) ) / F343</f>
        <v>#NUM!</v>
      </c>
      <c r="I343" s="154">
        <f t="shared" ca="1" si="9"/>
        <v>0</v>
      </c>
      <c r="M343" s="419"/>
    </row>
    <row r="344" spans="2:13" outlineLevel="2" x14ac:dyDescent="0.35">
      <c r="B344" s="154">
        <f t="shared" ca="1" si="12"/>
        <v>1055</v>
      </c>
      <c r="C344" s="154">
        <f t="shared" ca="1" si="10"/>
        <v>1055</v>
      </c>
      <c r="D344" s="154">
        <f t="shared" ca="1" si="11"/>
        <v>118.36492890995261</v>
      </c>
      <c r="E344" s="154">
        <f t="shared" ca="1" si="7"/>
        <v>0.8931454213246971</v>
      </c>
      <c r="F344" s="154" t="e" cm="1">
        <f t="array" aca="1" ref="F344" ca="1" xml:space="preserve"> 1 - SUM( calc_losscount_AAD^(ROW( OFFSET($A$1, , , C344 + 1 )) - 1) / FACT(ROW( OFFSET($A$1, , , C344 + 1 )) - 1) * EXP(-calc_losscount_AAD) )</f>
        <v>#NUM!</v>
      </c>
      <c r="G344" s="154">
        <f t="shared" ca="1" si="8"/>
        <v>0.8931454213246971</v>
      </c>
      <c r="H344" s="154" t="e" cm="1">
        <f t="array" aca="1" ref="H344" ca="1" xml:space="preserve"> ( calc_losscount_AAD - SUM( (ROW( OFFSET($A$1, , , C344 + 1 )) - 1) * calc_losscount_AAD^(ROW( OFFSET($A$1, , , C344 + 1 )) - 1) / FACT(ROW( OFFSET($A$1, , , C344 + 1 )) - 1) * EXP(-calc_losscount_AAD) ) ) / F344</f>
        <v>#NUM!</v>
      </c>
      <c r="I344" s="154">
        <f t="shared" ca="1" si="9"/>
        <v>0</v>
      </c>
      <c r="M344" s="419"/>
    </row>
    <row r="345" spans="2:13" outlineLevel="2" x14ac:dyDescent="0.35">
      <c r="M345" s="419"/>
    </row>
    <row r="346" spans="2:13" outlineLevel="2" x14ac:dyDescent="0.35">
      <c r="J346" s="76" t="s">
        <v>1898</v>
      </c>
      <c r="M346" s="419"/>
    </row>
    <row r="347" spans="2:13" outlineLevel="2" x14ac:dyDescent="0.35">
      <c r="J347" s="154">
        <f ca="1">SUM(I288:I344)</f>
        <v>0</v>
      </c>
      <c r="M347" s="419"/>
    </row>
    <row r="348" spans="2:13" outlineLevel="2" x14ac:dyDescent="0.35">
      <c r="M348" s="419"/>
    </row>
    <row r="349" spans="2:13" outlineLevel="2" x14ac:dyDescent="0.35">
      <c r="B349" s="120" t="s">
        <v>1899</v>
      </c>
      <c r="M349" s="419"/>
    </row>
    <row r="350" spans="2:13" outlineLevel="2" x14ac:dyDescent="0.35">
      <c r="B350" s="141"/>
    </row>
    <row r="351" spans="2:13" ht="15" customHeight="1" outlineLevel="2" x14ac:dyDescent="0.35">
      <c r="C351" s="76" t="s">
        <v>1900</v>
      </c>
      <c r="D351" s="76" t="s">
        <v>1901</v>
      </c>
      <c r="E351" s="76" t="s">
        <v>1902</v>
      </c>
      <c r="H351" s="76" t="s">
        <v>1900</v>
      </c>
      <c r="I351" s="76" t="s">
        <v>1901</v>
      </c>
      <c r="J351" s="76" t="s">
        <v>1902</v>
      </c>
    </row>
    <row r="352" spans="2:13" ht="15" customHeight="1" outlineLevel="2" x14ac:dyDescent="0.35">
      <c r="B352" s="76" t="s">
        <v>1903</v>
      </c>
      <c r="C352" s="142">
        <f ca="1">calc_losscount_modelled*calc_severity_base</f>
        <v>487.35365507477479</v>
      </c>
      <c r="D352" s="143">
        <f ca="1">IF(calc_exposure_transport_total_EUR=0,"",calc_loss_base/calc_exposure_transport_total_EUR)</f>
        <v>3.0059974863842922E-5</v>
      </c>
      <c r="G352" s="76" t="s">
        <v>1903</v>
      </c>
      <c r="H352" s="142">
        <f ca="1">calc_losscount_modelled*calc_severity_base</f>
        <v>487.35365507477479</v>
      </c>
      <c r="I352" s="143">
        <f ca="1">IF(calc_exposure_transport_total_EUR=0,"",calc_loss_base/calc_exposure_transport_total_EUR)</f>
        <v>3.0059974863842922E-5</v>
      </c>
    </row>
    <row r="353" spans="2:10" ht="15" customHeight="1" outlineLevel="2" x14ac:dyDescent="0.35">
      <c r="B353" s="76" t="s">
        <v>1847</v>
      </c>
      <c r="C353" s="82">
        <f ca="1">calc_loss_base*calc_losscount_adjindustry*calc_severity_adjindustry</f>
        <v>487.35365507477479</v>
      </c>
      <c r="D353" s="144">
        <f t="shared" ref="D353:D355" ca="1" si="13">IF(calc_exposure_transport_total_EUR=0,"",C353/calc_exposure_transport_total_EUR)</f>
        <v>3.0059974863842922E-5</v>
      </c>
      <c r="E353" s="145">
        <f ca="1">IF(calc_loss_base=0,"",C353/calc_loss_base)</f>
        <v>1</v>
      </c>
      <c r="G353" s="76" t="s">
        <v>1849</v>
      </c>
      <c r="H353" s="82">
        <f ca="1">H352*calc_losscount_adjexposure*calc_severity_adjexposure</f>
        <v>1544.3434557357448</v>
      </c>
      <c r="I353" s="144">
        <f t="shared" ref="I353" ca="1" si="14">IF(calc_exposure_transport_total_EUR=0,"",H353/calc_exposure_transport_total_EUR)</f>
        <v>9.5255108845821877E-5</v>
      </c>
      <c r="J353" s="145">
        <f t="shared" ref="J353" ca="1" si="15">IF(H352=0,"",H353/H352)</f>
        <v>3.1688352793800139</v>
      </c>
    </row>
    <row r="354" spans="2:10" ht="15" customHeight="1" outlineLevel="2" x14ac:dyDescent="0.35">
      <c r="B354" s="76" t="s">
        <v>1848</v>
      </c>
      <c r="C354" s="82">
        <f ca="1">C353*calc_losscount_adjip*calc_severity_adjip</f>
        <v>487.35365507477479</v>
      </c>
      <c r="D354" s="144">
        <f t="shared" ca="1" si="13"/>
        <v>3.0059974863842922E-5</v>
      </c>
      <c r="E354" s="145">
        <f ca="1">IF(C353=0,"",C354/C353)</f>
        <v>1</v>
      </c>
      <c r="G354" s="76" t="s">
        <v>1904</v>
      </c>
      <c r="H354" s="146">
        <f ca="1">H353*calc_losscount_adjtransportationtype_MidMarket*calc_severity_adjtransportationtype_MidMarket</f>
        <v>1683.0032481959834</v>
      </c>
      <c r="I354" s="46">
        <f t="shared" ref="I354:I356" ca="1" si="16">IF(calc_exposure_transport_total_EUR=0,"",H354/calc_exposure_transport_total_EUR)</f>
        <v>1.038076452484491E-4</v>
      </c>
      <c r="J354" s="47">
        <f ca="1">IF(H353=0,"",H354/H353)</f>
        <v>1.0897855926706272</v>
      </c>
    </row>
    <row r="355" spans="2:10" ht="15" customHeight="1" outlineLevel="2" x14ac:dyDescent="0.35">
      <c r="B355" s="76" t="s">
        <v>1849</v>
      </c>
      <c r="C355" s="82">
        <f ca="1">C354*calc_losscount_adjexposure*calc_severity_adjexposure</f>
        <v>1544.3434557357448</v>
      </c>
      <c r="D355" s="144">
        <f t="shared" ca="1" si="13"/>
        <v>9.5255108845821877E-5</v>
      </c>
      <c r="E355" s="145">
        <f t="shared" ref="E355" ca="1" si="17">IF(C354=0,"",C355/C354)</f>
        <v>3.1688352793800139</v>
      </c>
      <c r="G355" s="76" t="s">
        <v>1905</v>
      </c>
      <c r="H355" s="146">
        <f ca="1">H354*calc_losscount_adjgeoscope_MidMarket*calc_severity_adjgeoscope_MidMarket</f>
        <v>1683.0032481959834</v>
      </c>
      <c r="I355" s="46">
        <f t="shared" ca="1" si="16"/>
        <v>1.038076452484491E-4</v>
      </c>
      <c r="J355" s="47">
        <f ca="1">IF(H354=0,"",H355/H354)</f>
        <v>1</v>
      </c>
    </row>
    <row r="356" spans="2:10" ht="15" customHeight="1" outlineLevel="2" x14ac:dyDescent="0.35">
      <c r="B356" s="76" t="s">
        <v>1906</v>
      </c>
      <c r="C356" s="146">
        <f ca="1">C355*calc_losscount_adjgoods*calc_severity_adjgoods</f>
        <v>1020.1597114050483</v>
      </c>
      <c r="D356" s="46">
        <f t="shared" ref="D356:D363" ca="1" si="18">IF(calc_exposure_transport_total_EUR=0,"",C356/calc_exposure_transport_total_EUR)</f>
        <v>6.2923453969450404E-5</v>
      </c>
      <c r="E356" s="47">
        <f t="shared" ref="E356:E363" ca="1" si="19">IF(C355=0,"",C356/C355)</f>
        <v>0.66057825907581624</v>
      </c>
      <c r="G356" s="76" t="s">
        <v>1907</v>
      </c>
      <c r="H356" s="146">
        <f ca="1" xml:space="preserve"> H355</f>
        <v>1683.0032481959834</v>
      </c>
      <c r="I356" s="46">
        <f t="shared" ca="1" si="16"/>
        <v>1.038076452484491E-4</v>
      </c>
      <c r="J356" s="47">
        <f t="shared" ref="J356" ca="1" si="20">IF(H355=0,"",H356/H355)</f>
        <v>1</v>
      </c>
    </row>
    <row r="357" spans="2:10" ht="15" customHeight="1" outlineLevel="2" x14ac:dyDescent="0.35">
      <c r="B357" s="76" t="s">
        <v>1904</v>
      </c>
      <c r="C357" s="146">
        <f ca="1">C356*calc_losscount_adjtransportationtype*calc_severity_adjtransportationtype</f>
        <v>1020.1597114050483</v>
      </c>
      <c r="D357" s="46">
        <f t="shared" ca="1" si="18"/>
        <v>6.2923453969450404E-5</v>
      </c>
      <c r="E357" s="47">
        <f t="shared" ca="1" si="19"/>
        <v>1</v>
      </c>
      <c r="G357" s="76" t="s">
        <v>1878</v>
      </c>
      <c r="H357" s="146">
        <f ca="1">H356*calc_losscount_adjretention*calc_severity_adjretention</f>
        <v>1629.4101467263508</v>
      </c>
      <c r="I357" s="46">
        <f ca="1">IF(calc_exposure_transport_total_EUR=0,"",H357/calc_exposure_transport_total_EUR)</f>
        <v>1.0050202259377679E-4</v>
      </c>
      <c r="J357" s="47">
        <f ca="1">IF(H356=0,"",H357/H356)</f>
        <v>0.96815626973561753</v>
      </c>
    </row>
    <row r="358" spans="2:10" ht="15" customHeight="1" outlineLevel="2" x14ac:dyDescent="0.35">
      <c r="B358" s="76" t="s">
        <v>1862</v>
      </c>
      <c r="C358" s="146">
        <f ca="1">C357*calc_losscount_adjpackagingtype*calc_severity_adjpackagingtype</f>
        <v>1020.1597114050483</v>
      </c>
      <c r="D358" s="46">
        <f t="shared" ca="1" si="18"/>
        <v>6.2923453969450404E-5</v>
      </c>
      <c r="E358" s="47">
        <f t="shared" ca="1" si="19"/>
        <v>1</v>
      </c>
      <c r="G358" s="76" t="s">
        <v>1908</v>
      </c>
      <c r="H358" s="146">
        <f ca="1">MIN(MAX(H357 + J347, H355 - calc_severity_aad_AAD), H355)</f>
        <v>1629.4101467263508</v>
      </c>
      <c r="I358" s="46">
        <f ca="1">IF(calc_exposure_transport_total_EUR=0,"",H358/calc_exposure_transport_total_EUR)</f>
        <v>1.0050202259377679E-4</v>
      </c>
      <c r="J358" s="47">
        <f ca="1">IF(H357=0,"",H358/H357)</f>
        <v>1</v>
      </c>
    </row>
    <row r="359" spans="2:10" ht="15" customHeight="1" outlineLevel="2" x14ac:dyDescent="0.35">
      <c r="B359" s="76" t="s">
        <v>1905</v>
      </c>
      <c r="C359" s="146">
        <f ca="1">C358*calc_losscount_adjgeoscope*calc_severity_adjgeoscope</f>
        <v>0</v>
      </c>
      <c r="D359" s="46">
        <f t="shared" ca="1" si="18"/>
        <v>0</v>
      </c>
      <c r="E359" s="47">
        <f t="shared" ca="1" si="19"/>
        <v>0</v>
      </c>
    </row>
    <row r="360" spans="2:10" ht="15" customHeight="1" outlineLevel="2" x14ac:dyDescent="0.35">
      <c r="B360" s="76" t="s">
        <v>1866</v>
      </c>
      <c r="C360" s="146">
        <f ca="1">C359*calc_losscount_adjbasisvaluation*calc_severity_adjbasisvaluation</f>
        <v>0</v>
      </c>
      <c r="D360" s="46">
        <f t="shared" ca="1" si="18"/>
        <v>0</v>
      </c>
      <c r="E360" s="47" t="str">
        <f t="shared" ca="1" si="19"/>
        <v/>
      </c>
    </row>
    <row r="361" spans="2:10" ht="15" customHeight="1" outlineLevel="2" x14ac:dyDescent="0.35">
      <c r="B361" s="76" t="s">
        <v>1907</v>
      </c>
      <c r="C361" s="146">
        <f ca="1">C360*calc_losscount_adjlimit*calc_severity_adjlimit</f>
        <v>0</v>
      </c>
      <c r="D361" s="46">
        <f t="shared" ca="1" si="18"/>
        <v>0</v>
      </c>
      <c r="E361" s="47" t="str">
        <f t="shared" ca="1" si="19"/>
        <v/>
      </c>
    </row>
    <row r="362" spans="2:10" ht="15" customHeight="1" outlineLevel="2" x14ac:dyDescent="0.35">
      <c r="B362" s="76" t="s">
        <v>1878</v>
      </c>
      <c r="C362" s="146">
        <f ca="1">C361*calc_losscount_adjretention*calc_severity_adjretention</f>
        <v>0</v>
      </c>
      <c r="D362" s="46">
        <f t="shared" ca="1" si="18"/>
        <v>0</v>
      </c>
      <c r="E362" s="47" t="str">
        <f t="shared" ca="1" si="19"/>
        <v/>
      </c>
    </row>
    <row r="363" spans="2:10" ht="15" customHeight="1" outlineLevel="2" x14ac:dyDescent="0.35">
      <c r="B363" s="76" t="s">
        <v>1908</v>
      </c>
      <c r="C363" s="146">
        <f ca="1">MIN(MAX(C362 + J347, C361 - calc_severity_aad_AAD), C361)</f>
        <v>0</v>
      </c>
      <c r="D363" s="46">
        <f t="shared" ca="1" si="18"/>
        <v>0</v>
      </c>
      <c r="E363" s="47" t="str">
        <f t="shared" ca="1" si="19"/>
        <v/>
      </c>
      <c r="G363" s="76" t="s">
        <v>1909</v>
      </c>
      <c r="H363" s="114">
        <f ca="1" xml:space="preserve"> H358</f>
        <v>1629.4101467263508</v>
      </c>
      <c r="I363" s="46">
        <f ca="1">IF(calc_exposure_transport_total_EUR=0,"",H363/calc_exposure_transport_total_EUR)</f>
        <v>1.0050202259377679E-4</v>
      </c>
    </row>
    <row r="364" spans="2:10" ht="15" customHeight="1" outlineLevel="2" x14ac:dyDescent="0.35">
      <c r="C364" s="147"/>
      <c r="E364" s="124"/>
    </row>
    <row r="365" spans="2:10" ht="15" customHeight="1" outlineLevel="2" x14ac:dyDescent="0.35">
      <c r="B365" s="76" t="s">
        <v>1910</v>
      </c>
      <c r="C365" s="83">
        <f ca="1">calc_losscount_modelled*calc_severity_modelled</f>
        <v>1544.343455735745</v>
      </c>
      <c r="D365" s="144">
        <f ca="1">IF(calc_exposure_transport_total_EUR=0,"",calc_loss_modelled/calc_exposure_transport_total_EUR)</f>
        <v>9.5255108845821891E-5</v>
      </c>
      <c r="E365" s="124"/>
    </row>
    <row r="366" spans="2:10" ht="15" customHeight="1" outlineLevel="2" x14ac:dyDescent="0.35">
      <c r="E366" s="124"/>
    </row>
    <row r="367" spans="2:10" ht="15" customHeight="1" outlineLevel="2" x14ac:dyDescent="0.35">
      <c r="B367" s="76" t="s">
        <v>1911</v>
      </c>
      <c r="C367" s="114">
        <f ca="1">C363</f>
        <v>0</v>
      </c>
      <c r="D367" s="46">
        <f ca="1">IF(calc_exposure_transport_total_EUR=0,"",calc_loss/calc_exposure_transport_total_EUR)</f>
        <v>1.0050202259377679E-4</v>
      </c>
      <c r="E367" s="124"/>
      <c r="G367" s="76" t="s">
        <v>1912</v>
      </c>
      <c r="H367" s="114">
        <f ca="1" xml:space="preserve"> IF(calc_midmarket, H363, C367)</f>
        <v>1629.4101467263508</v>
      </c>
      <c r="I367" s="46">
        <f ca="1">IF(calc_exposure_transport_total_EUR=0,"",H367/calc_exposure_transport_total_EUR)</f>
        <v>1.0050202259377679E-4</v>
      </c>
    </row>
    <row r="368" spans="2:10" outlineLevel="2" x14ac:dyDescent="0.35">
      <c r="C368" s="147"/>
    </row>
    <row r="369" spans="2:16" outlineLevel="1" x14ac:dyDescent="0.35"/>
    <row r="370" spans="2:16" outlineLevel="1" x14ac:dyDescent="0.35">
      <c r="B370" s="15" t="s">
        <v>1913</v>
      </c>
      <c r="C370" s="15"/>
      <c r="D370" s="15"/>
      <c r="E370" s="15"/>
      <c r="F370" s="15"/>
      <c r="G370" s="15"/>
      <c r="H370" s="15"/>
      <c r="I370" s="15"/>
      <c r="J370" s="15"/>
      <c r="K370" s="15"/>
      <c r="L370" s="15"/>
      <c r="M370" s="15"/>
      <c r="N370" s="15"/>
      <c r="O370" s="15"/>
      <c r="P370" s="15"/>
    </row>
    <row r="371" spans="2:16" outlineLevel="2" x14ac:dyDescent="0.35"/>
    <row r="372" spans="2:16" outlineLevel="2" x14ac:dyDescent="0.35">
      <c r="B372" s="120" t="s">
        <v>1836</v>
      </c>
      <c r="C372" s="119"/>
      <c r="J372" s="120" t="s">
        <v>1837</v>
      </c>
    </row>
    <row r="373" spans="2:16" outlineLevel="2" x14ac:dyDescent="0.35"/>
    <row r="374" spans="2:16" outlineLevel="2" x14ac:dyDescent="0.35">
      <c r="F374" s="76" t="s">
        <v>1914</v>
      </c>
      <c r="G374" s="148">
        <f>\parameter_ll_frequencymean</f>
        <v>5.6012636480031784E-3</v>
      </c>
      <c r="N374" s="76" t="s">
        <v>1839</v>
      </c>
      <c r="O374" s="83">
        <f>\parameter_ll_severitymean</f>
        <v>1166546.9641248693</v>
      </c>
    </row>
    <row r="375" spans="2:16" outlineLevel="2" x14ac:dyDescent="0.35">
      <c r="O375" s="149"/>
    </row>
    <row r="376" spans="2:16" outlineLevel="2" x14ac:dyDescent="0.35">
      <c r="F376" s="76" t="s">
        <v>1847</v>
      </c>
      <c r="G376" s="78">
        <f>VLOOKUP(calc_industry_code,\parameter_industry,7,FALSE)</f>
        <v>1</v>
      </c>
      <c r="H376" s="150" t="s">
        <v>1915</v>
      </c>
      <c r="N376" s="76" t="s">
        <v>1847</v>
      </c>
      <c r="O376" s="78">
        <f>VLOOKUP(calc_industry_code,\parameter_industry,8,FALSE)</f>
        <v>1</v>
      </c>
      <c r="P376" s="150" t="s">
        <v>1915</v>
      </c>
    </row>
    <row r="377" spans="2:16" outlineLevel="2" x14ac:dyDescent="0.35">
      <c r="F377" s="76" t="s">
        <v>1848</v>
      </c>
      <c r="G377" s="78">
        <f>VLOOKUP(calc_ipflag,\parameter_ip,4,FALSE)</f>
        <v>1</v>
      </c>
      <c r="H377" s="150" t="s">
        <v>1915</v>
      </c>
      <c r="N377" s="76" t="s">
        <v>1848</v>
      </c>
      <c r="O377" s="78">
        <f>VLOOKUP(calc_ipflag,\parameter_ip,5,FALSE)</f>
        <v>1</v>
      </c>
      <c r="P377" s="150" t="s">
        <v>1915</v>
      </c>
    </row>
    <row r="378" spans="2:16" outlineLevel="2" x14ac:dyDescent="0.35">
      <c r="F378" s="76" t="s">
        <v>1849</v>
      </c>
      <c r="G378" s="78">
        <f xml:space="preserve"> IF(FALSE, (calc_exposure_transport_total_EUR/\parameter_baseexposure_transport)^\parameter_zerohurdle_turnover &amp; " Wird nicht benutzt solange Zero Hurdle gewählt ist und der Zero hurdle teil vom Umsatz abhängt.", 1)</f>
        <v>1</v>
      </c>
      <c r="N378" s="76" t="s">
        <v>1849</v>
      </c>
      <c r="O378" s="151">
        <v>1</v>
      </c>
    </row>
    <row r="379" spans="2:16" outlineLevel="2" x14ac:dyDescent="0.35">
      <c r="O379" s="149"/>
    </row>
    <row r="380" spans="2:16" outlineLevel="2" x14ac:dyDescent="0.35">
      <c r="F380" s="76" t="s">
        <v>1851</v>
      </c>
      <c r="G380" s="152">
        <f>calc_lllosscount_base*calc_lllosscount_adjindustry*calc_lllosscount_adjip*calc_lllosscount_adjexposure</f>
        <v>5.6012636480031784E-3</v>
      </c>
      <c r="N380" s="76" t="s">
        <v>1852</v>
      </c>
      <c r="O380" s="83">
        <f>calc_llseverity_base*calc_llseverity_adjindustry*calc_llseverity_adjip*calc_llseverity_adjexposure</f>
        <v>1166546.9641248693</v>
      </c>
    </row>
    <row r="381" spans="2:16" outlineLevel="2" x14ac:dyDescent="0.35"/>
    <row r="382" spans="2:16" outlineLevel="2" x14ac:dyDescent="0.35">
      <c r="B382" s="120" t="s">
        <v>1853</v>
      </c>
      <c r="J382" s="120" t="s">
        <v>1853</v>
      </c>
    </row>
    <row r="383" spans="2:16" outlineLevel="2" x14ac:dyDescent="0.35">
      <c r="B383" s="125" t="s">
        <v>1855</v>
      </c>
      <c r="C383" s="126" cm="1">
        <f t="array" aca="1" ref="C383:C385" ca="1" xml:space="preserve"> IFERROR( VLOOKUP(calc_goods_code, \parameter_goods, 7, FALSE), 0)</f>
        <v>0.81275965640268855</v>
      </c>
      <c r="F383" s="76" t="s">
        <v>1856</v>
      </c>
      <c r="G383" s="122">
        <f ca="1">SUMPRODUCT(calc_lllosscount_adjgoods_singlegoods, calc_goods_code_perc)</f>
        <v>0.81275965640268855</v>
      </c>
      <c r="J383" s="125" t="s">
        <v>1855</v>
      </c>
      <c r="K383" s="126" cm="1">
        <f t="array" aca="1" ref="K383:K385" ca="1" xml:space="preserve"> IFERROR( VLOOKUP(calc_goods_code, \parameter_goods, 8, FALSE), 0)</f>
        <v>0.81275965640268855</v>
      </c>
      <c r="N383" s="76" t="s">
        <v>1856</v>
      </c>
      <c r="O383" s="122">
        <f ca="1">SUMPRODUCT(calc_llseverity_adjgoods_singlegoods, calc_goods_code_perc)</f>
        <v>0.81275965640268855</v>
      </c>
    </row>
    <row r="384" spans="2:16" outlineLevel="2" x14ac:dyDescent="0.35">
      <c r="B384" s="108" t="s">
        <v>1857</v>
      </c>
      <c r="C384" s="127">
        <f ca="1"/>
        <v>0</v>
      </c>
      <c r="J384" s="108" t="s">
        <v>1857</v>
      </c>
      <c r="K384" s="127">
        <f ca="1"/>
        <v>0</v>
      </c>
    </row>
    <row r="385" spans="2:15" outlineLevel="2" x14ac:dyDescent="0.35">
      <c r="B385" s="111" t="s">
        <v>1858</v>
      </c>
      <c r="C385" s="128">
        <f ca="1"/>
        <v>0</v>
      </c>
      <c r="J385" s="111" t="s">
        <v>1858</v>
      </c>
      <c r="K385" s="128">
        <f ca="1"/>
        <v>0</v>
      </c>
    </row>
    <row r="386" spans="2:15" outlineLevel="2" x14ac:dyDescent="0.35"/>
    <row r="387" spans="2:15" ht="29" outlineLevel="2" x14ac:dyDescent="0.35">
      <c r="B387" s="153" t="str" cm="1">
        <f t="array" ref="B387:B390">calc_transportationtype</f>
        <v>Land</v>
      </c>
      <c r="C387" s="126" cm="1">
        <f t="array" ref="C387:C390">INDEX(\parameter_transportationtype,MATCH(_xlfn.ANCHORARRAY(B387),INDEX(\parameter_transportationtype,,1),0),4)</f>
        <v>1</v>
      </c>
      <c r="F387" s="76" t="s">
        <v>1859</v>
      </c>
      <c r="G387" s="77">
        <f>SUMPRODUCT( E43:E46, calc_transportationtype_adjlllosscount)</f>
        <v>1.0439279633531364</v>
      </c>
      <c r="J387" s="125" t="str" cm="1">
        <f t="array" ref="J387:J390">calc_transportationtype</f>
        <v>Land</v>
      </c>
      <c r="K387" s="126" cm="1">
        <f t="array" ref="K387:K390">INDEX(\parameter_transportationtype,MATCH(_xlfn.ANCHORARRAY(J387),INDEX(\parameter_transportationtype,,1),0),5)</f>
        <v>1</v>
      </c>
      <c r="N387" s="76" t="s">
        <v>1859</v>
      </c>
      <c r="O387" s="77">
        <f>SUMPRODUCT( E43:E46, calc_transportationtype_adjllseverity)</f>
        <v>1.0439279633531364</v>
      </c>
    </row>
    <row r="388" spans="2:15" ht="29" outlineLevel="2" x14ac:dyDescent="0.35">
      <c r="B388" s="130" t="str">
        <v>Rail</v>
      </c>
      <c r="C388" s="127">
        <v>1</v>
      </c>
      <c r="F388" s="76" t="s">
        <v>1861</v>
      </c>
      <c r="G388" s="77">
        <f xml:space="preserve"> IF(helper_TransportationType_splitAvailable, SUMPRODUCT(calc_transportationtype_perc,calc_transportationtype_adjlllosscount), 1)</f>
        <v>1</v>
      </c>
      <c r="J388" s="108" t="str">
        <v>Rail</v>
      </c>
      <c r="K388" s="127">
        <v>1</v>
      </c>
      <c r="N388" s="76" t="s">
        <v>1861</v>
      </c>
      <c r="O388" s="77">
        <f xml:space="preserve"> IF(helper_TransportationType_splitAvailable, SUMPRODUCT(calc_transportationtype_perc,calc_transportationtype_adjllseverity), 1)</f>
        <v>1</v>
      </c>
    </row>
    <row r="389" spans="2:15" outlineLevel="2" x14ac:dyDescent="0.35">
      <c r="B389" s="865" t="str">
        <v>Sea</v>
      </c>
      <c r="C389" s="862">
        <v>1.0488088481701516</v>
      </c>
      <c r="J389" s="861" t="str">
        <v>Sea</v>
      </c>
      <c r="K389" s="862">
        <v>1.0488088481701516</v>
      </c>
    </row>
    <row r="390" spans="2:15" outlineLevel="2" x14ac:dyDescent="0.35">
      <c r="B390" s="132" t="str">
        <v>Air</v>
      </c>
      <c r="C390" s="128">
        <v>0.89442719099991586</v>
      </c>
      <c r="J390" s="111" t="str">
        <v>Air</v>
      </c>
      <c r="K390" s="128">
        <v>0.89442719099991586</v>
      </c>
    </row>
    <row r="391" spans="2:15" outlineLevel="2" x14ac:dyDescent="0.35"/>
    <row r="392" spans="2:15" outlineLevel="2" x14ac:dyDescent="0.35">
      <c r="B392" s="224" t="e" cm="1">
        <f t="array" ref="B392">calc_packagingtype</f>
        <v>#NAME?</v>
      </c>
      <c r="C392" s="225" t="e" cm="1">
        <f t="array" ref="C392">INDEX(\parameter_packagingtype,MATCH(calc_packagingtype,INDEX(\parameter_packagingtype,,1),0),4)</f>
        <v>#NAME?</v>
      </c>
      <c r="F392" s="76" t="s">
        <v>1862</v>
      </c>
      <c r="G392" s="580">
        <f>IFERROR( SUMPRODUCT(calc_packagingtype_perc,calc_packagingtype_adjlllosscount), 1)</f>
        <v>1</v>
      </c>
      <c r="J392" s="224" t="e" cm="1">
        <f t="array" ref="J392">calc_packagingtype</f>
        <v>#NAME?</v>
      </c>
      <c r="K392" s="225" t="e" cm="1">
        <f t="array" ref="K392">INDEX(\parameter_packagingtype,MATCH(calc_packagingtype,INDEX(\parameter_packagingtype,,1),0),5)</f>
        <v>#NAME?</v>
      </c>
      <c r="N392" s="76" t="s">
        <v>1862</v>
      </c>
      <c r="O392" s="580">
        <f>IFERROR( SUMPRODUCT(calc_packagingtype_perc,calc_packagingtype_adjllseverity), 1)</f>
        <v>1</v>
      </c>
    </row>
    <row r="393" spans="2:15" outlineLevel="2" x14ac:dyDescent="0.35"/>
    <row r="394" spans="2:15" ht="29" outlineLevel="2" x14ac:dyDescent="0.35">
      <c r="B394" s="125" t="str">
        <f xml:space="preserve"> calc_geoscope_int_nat</f>
        <v>National</v>
      </c>
      <c r="C394" s="154">
        <f>VLOOKUP(calc_riskcountry_code,\parameter_riskcountry,6,FALSE)</f>
        <v>1</v>
      </c>
      <c r="F394" s="76" t="s">
        <v>1863</v>
      </c>
      <c r="G394" s="78">
        <v>1</v>
      </c>
      <c r="J394" s="125" t="str">
        <f xml:space="preserve"> calc_geoscope_int_nat</f>
        <v>National</v>
      </c>
      <c r="K394" s="154">
        <f>VLOOKUP(calc_riskcountry_code,\parameter_riskcountry,7,FALSE)</f>
        <v>1</v>
      </c>
      <c r="N394" s="76" t="s">
        <v>1863</v>
      </c>
      <c r="O394" s="78">
        <v>1</v>
      </c>
    </row>
    <row r="395" spans="2:15" ht="29" outlineLevel="2" x14ac:dyDescent="0.35">
      <c r="B395" s="108" t="str" cm="1">
        <f t="array" aca="1" ref="B395" ca="1">_xlfn.ANCHORARRAY(calc_geoscope_int_int_hashtag)</f>
        <v>Unknown - Unknown</v>
      </c>
      <c r="C395" s="126" cm="1">
        <f t="array" aca="1" ref="C395" ca="1">INDEX( \parameter_geoscope_int_int, MATCH(_xlfn.ANCHORARRAY( calc_geoscope_int_int_hashtag), INDEX( \parameter_geoscope_int_int, , 1), 0), MATCH("Adjustment LL Loss Count", \parameter_geoscope_int_int_header, 0))</f>
        <v>1.4574079777979971</v>
      </c>
      <c r="F395" s="84" t="s">
        <v>1865</v>
      </c>
      <c r="G395" s="78">
        <f ca="1" xml:space="preserve"> calc_geoscope_int_nat_perc + SUMPRODUCT(_xlfn.ANCHORARRAY(calc_geoscope_int_int_perc_hashtag),_xlfn.ANCHORARRAY( calc_geoscope_int_adjlllosscount_hashtag))</f>
        <v>0</v>
      </c>
      <c r="J395" s="108" t="str" cm="1">
        <f t="array" aca="1" ref="J395" ca="1">_xlfn.ANCHORARRAY(calc_geoscope_int_int_hashtag)</f>
        <v>Unknown - Unknown</v>
      </c>
      <c r="K395" s="126" cm="1">
        <f t="array" aca="1" ref="K395" ca="1">INDEX( \parameter_geoscope_int_int, MATCH(_xlfn.ANCHORARRAY( calc_geoscope_int_int_hashtag), INDEX( \parameter_geoscope_int_int, , 1), 0), MATCH("Adjustment LL Severity", \parameter_geoscope_int_int_header, 0))</f>
        <v>1.4574079777979971</v>
      </c>
      <c r="N395" s="76" t="s">
        <v>1865</v>
      </c>
      <c r="O395" s="78">
        <f ca="1" xml:space="preserve"> calc_geoscope_int_nat_perc + SUMPRODUCT(_xlfn.ANCHORARRAY(calc_geoscope_int_int_perc_hashtag),_xlfn.ANCHORARRAY( calc_geoscope_int_adjllseverity_hashtag))</f>
        <v>0</v>
      </c>
    </row>
    <row r="396" spans="2:15" outlineLevel="2" x14ac:dyDescent="0.35">
      <c r="B396" s="108"/>
      <c r="C396" s="127"/>
      <c r="J396" s="108"/>
      <c r="K396" s="127"/>
    </row>
    <row r="397" spans="2:15" outlineLevel="2" x14ac:dyDescent="0.35">
      <c r="B397" s="108"/>
      <c r="C397" s="127"/>
      <c r="J397" s="108"/>
      <c r="K397" s="127"/>
    </row>
    <row r="398" spans="2:15" outlineLevel="2" x14ac:dyDescent="0.35">
      <c r="B398" s="108"/>
      <c r="C398" s="127"/>
      <c r="J398" s="108"/>
      <c r="K398" s="127"/>
    </row>
    <row r="399" spans="2:15" outlineLevel="2" x14ac:dyDescent="0.35">
      <c r="B399" s="108"/>
      <c r="C399" s="127"/>
      <c r="J399" s="108"/>
      <c r="K399" s="127"/>
    </row>
    <row r="400" spans="2:15" outlineLevel="2" x14ac:dyDescent="0.35">
      <c r="B400" s="108"/>
      <c r="C400" s="127"/>
      <c r="J400" s="108"/>
      <c r="K400" s="127"/>
    </row>
    <row r="401" spans="2:11" hidden="1" outlineLevel="2" x14ac:dyDescent="0.35">
      <c r="B401" s="108"/>
      <c r="C401" s="127"/>
      <c r="J401" s="108"/>
      <c r="K401" s="127"/>
    </row>
    <row r="402" spans="2:11" hidden="1" outlineLevel="2" x14ac:dyDescent="0.35">
      <c r="B402" s="108"/>
      <c r="C402" s="127"/>
      <c r="J402" s="108"/>
      <c r="K402" s="127"/>
    </row>
    <row r="403" spans="2:11" hidden="1" outlineLevel="2" x14ac:dyDescent="0.35">
      <c r="B403" s="108"/>
      <c r="C403" s="127"/>
      <c r="J403" s="108"/>
      <c r="K403" s="127"/>
    </row>
    <row r="404" spans="2:11" hidden="1" outlineLevel="2" x14ac:dyDescent="0.35">
      <c r="B404" s="108"/>
      <c r="C404" s="127"/>
      <c r="J404" s="108"/>
      <c r="K404" s="127"/>
    </row>
    <row r="405" spans="2:11" hidden="1" outlineLevel="2" x14ac:dyDescent="0.35">
      <c r="B405" s="108"/>
      <c r="C405" s="127"/>
      <c r="J405" s="108"/>
      <c r="K405" s="127"/>
    </row>
    <row r="406" spans="2:11" hidden="1" outlineLevel="2" x14ac:dyDescent="0.35">
      <c r="B406" s="108"/>
      <c r="C406" s="127"/>
      <c r="J406" s="108"/>
      <c r="K406" s="127"/>
    </row>
    <row r="407" spans="2:11" hidden="1" outlineLevel="2" x14ac:dyDescent="0.35">
      <c r="B407" s="108"/>
      <c r="C407" s="127"/>
      <c r="J407" s="108"/>
      <c r="K407" s="127"/>
    </row>
    <row r="408" spans="2:11" hidden="1" outlineLevel="2" x14ac:dyDescent="0.35">
      <c r="B408" s="108"/>
      <c r="C408" s="127"/>
      <c r="J408" s="108"/>
      <c r="K408" s="127"/>
    </row>
    <row r="409" spans="2:11" hidden="1" outlineLevel="2" x14ac:dyDescent="0.35">
      <c r="B409" s="108"/>
      <c r="C409" s="127"/>
      <c r="J409" s="108"/>
      <c r="K409" s="127"/>
    </row>
    <row r="410" spans="2:11" hidden="1" outlineLevel="2" x14ac:dyDescent="0.35">
      <c r="B410" s="108"/>
      <c r="C410" s="127"/>
      <c r="J410" s="108"/>
      <c r="K410" s="127"/>
    </row>
    <row r="411" spans="2:11" hidden="1" outlineLevel="2" x14ac:dyDescent="0.35">
      <c r="B411" s="108"/>
      <c r="C411" s="127"/>
      <c r="J411" s="108"/>
      <c r="K411" s="127"/>
    </row>
    <row r="412" spans="2:11" hidden="1" outlineLevel="2" x14ac:dyDescent="0.35">
      <c r="B412" s="108"/>
      <c r="C412" s="127"/>
      <c r="J412" s="108"/>
      <c r="K412" s="127"/>
    </row>
    <row r="413" spans="2:11" hidden="1" outlineLevel="2" x14ac:dyDescent="0.35">
      <c r="B413" s="108"/>
      <c r="C413" s="127"/>
      <c r="J413" s="108"/>
      <c r="K413" s="127"/>
    </row>
    <row r="414" spans="2:11" hidden="1" outlineLevel="2" x14ac:dyDescent="0.35">
      <c r="B414" s="108"/>
      <c r="C414" s="127"/>
      <c r="J414" s="108"/>
      <c r="K414" s="127"/>
    </row>
    <row r="415" spans="2:11" hidden="1" outlineLevel="2" x14ac:dyDescent="0.35">
      <c r="B415" s="108"/>
      <c r="C415" s="127"/>
      <c r="J415" s="108"/>
      <c r="K415" s="127"/>
    </row>
    <row r="416" spans="2:11" hidden="1" outlineLevel="2" x14ac:dyDescent="0.35">
      <c r="B416" s="108"/>
      <c r="C416" s="127"/>
      <c r="J416" s="108"/>
      <c r="K416" s="127"/>
    </row>
    <row r="417" spans="2:11" hidden="1" outlineLevel="2" x14ac:dyDescent="0.35">
      <c r="B417" s="108"/>
      <c r="C417" s="127"/>
      <c r="J417" s="108"/>
      <c r="K417" s="127"/>
    </row>
    <row r="418" spans="2:11" hidden="1" outlineLevel="2" x14ac:dyDescent="0.35">
      <c r="B418" s="108"/>
      <c r="C418" s="127"/>
      <c r="J418" s="108"/>
      <c r="K418" s="127"/>
    </row>
    <row r="419" spans="2:11" hidden="1" outlineLevel="2" x14ac:dyDescent="0.35">
      <c r="B419" s="108"/>
      <c r="C419" s="127"/>
      <c r="J419" s="108"/>
      <c r="K419" s="127"/>
    </row>
    <row r="420" spans="2:11" hidden="1" outlineLevel="2" x14ac:dyDescent="0.35">
      <c r="B420" s="108"/>
      <c r="C420" s="127"/>
      <c r="J420" s="108"/>
      <c r="K420" s="127"/>
    </row>
    <row r="421" spans="2:11" hidden="1" outlineLevel="2" x14ac:dyDescent="0.35">
      <c r="B421" s="108"/>
      <c r="C421" s="127"/>
      <c r="J421" s="108"/>
      <c r="K421" s="127"/>
    </row>
    <row r="422" spans="2:11" hidden="1" outlineLevel="2" x14ac:dyDescent="0.35">
      <c r="B422" s="108"/>
      <c r="C422" s="127"/>
      <c r="J422" s="108"/>
      <c r="K422" s="127"/>
    </row>
    <row r="423" spans="2:11" hidden="1" outlineLevel="2" x14ac:dyDescent="0.35">
      <c r="B423" s="108"/>
      <c r="C423" s="127"/>
      <c r="J423" s="108"/>
      <c r="K423" s="127"/>
    </row>
    <row r="424" spans="2:11" hidden="1" outlineLevel="2" x14ac:dyDescent="0.35">
      <c r="B424" s="108"/>
      <c r="C424" s="127"/>
      <c r="J424" s="108"/>
      <c r="K424" s="127"/>
    </row>
    <row r="425" spans="2:11" hidden="1" outlineLevel="2" x14ac:dyDescent="0.35">
      <c r="B425" s="108"/>
      <c r="C425" s="127"/>
      <c r="J425" s="108"/>
      <c r="K425" s="127"/>
    </row>
    <row r="426" spans="2:11" hidden="1" outlineLevel="2" x14ac:dyDescent="0.35">
      <c r="B426" s="108"/>
      <c r="C426" s="127"/>
      <c r="J426" s="108"/>
      <c r="K426" s="127"/>
    </row>
    <row r="427" spans="2:11" hidden="1" outlineLevel="2" x14ac:dyDescent="0.35">
      <c r="B427" s="108"/>
      <c r="C427" s="127"/>
      <c r="J427" s="108"/>
      <c r="K427" s="127"/>
    </row>
    <row r="428" spans="2:11" hidden="1" outlineLevel="2" x14ac:dyDescent="0.35">
      <c r="B428" s="108"/>
      <c r="C428" s="127"/>
      <c r="J428" s="108"/>
      <c r="K428" s="127"/>
    </row>
    <row r="429" spans="2:11" hidden="1" outlineLevel="2" x14ac:dyDescent="0.35">
      <c r="B429" s="108"/>
      <c r="C429" s="127"/>
      <c r="J429" s="108"/>
      <c r="K429" s="127"/>
    </row>
    <row r="430" spans="2:11" hidden="1" outlineLevel="2" x14ac:dyDescent="0.35">
      <c r="B430" s="108"/>
      <c r="C430" s="127"/>
      <c r="J430" s="108"/>
      <c r="K430" s="127"/>
    </row>
    <row r="431" spans="2:11" hidden="1" outlineLevel="2" x14ac:dyDescent="0.35">
      <c r="B431" s="108"/>
      <c r="C431" s="127"/>
      <c r="J431" s="108"/>
      <c r="K431" s="127"/>
    </row>
    <row r="432" spans="2:11" hidden="1" outlineLevel="2" x14ac:dyDescent="0.35">
      <c r="B432" s="108"/>
      <c r="C432" s="127"/>
      <c r="J432" s="108"/>
      <c r="K432" s="127"/>
    </row>
    <row r="433" spans="2:11" hidden="1" outlineLevel="2" x14ac:dyDescent="0.35">
      <c r="B433" s="108"/>
      <c r="C433" s="127"/>
      <c r="J433" s="108"/>
      <c r="K433" s="127"/>
    </row>
    <row r="434" spans="2:11" hidden="1" outlineLevel="2" x14ac:dyDescent="0.35">
      <c r="B434" s="108"/>
      <c r="C434" s="127"/>
      <c r="J434" s="108"/>
      <c r="K434" s="127"/>
    </row>
    <row r="435" spans="2:11" hidden="1" outlineLevel="2" x14ac:dyDescent="0.35">
      <c r="B435" s="108"/>
      <c r="C435" s="127"/>
      <c r="J435" s="108"/>
      <c r="K435" s="127"/>
    </row>
    <row r="436" spans="2:11" hidden="1" outlineLevel="2" x14ac:dyDescent="0.35">
      <c r="B436" s="108"/>
      <c r="C436" s="127"/>
      <c r="J436" s="108"/>
      <c r="K436" s="127"/>
    </row>
    <row r="437" spans="2:11" hidden="1" outlineLevel="2" x14ac:dyDescent="0.35">
      <c r="B437" s="108"/>
      <c r="C437" s="127"/>
      <c r="J437" s="108"/>
      <c r="K437" s="127"/>
    </row>
    <row r="438" spans="2:11" hidden="1" outlineLevel="2" x14ac:dyDescent="0.35">
      <c r="B438" s="108"/>
      <c r="C438" s="127"/>
      <c r="J438" s="108"/>
      <c r="K438" s="127"/>
    </row>
    <row r="439" spans="2:11" hidden="1" outlineLevel="2" x14ac:dyDescent="0.35">
      <c r="B439" s="108"/>
      <c r="C439" s="127"/>
      <c r="J439" s="108"/>
      <c r="K439" s="127"/>
    </row>
    <row r="440" spans="2:11" hidden="1" outlineLevel="2" x14ac:dyDescent="0.35">
      <c r="B440" s="108"/>
      <c r="C440" s="127"/>
      <c r="J440" s="108"/>
      <c r="K440" s="127"/>
    </row>
    <row r="441" spans="2:11" hidden="1" outlineLevel="2" x14ac:dyDescent="0.35">
      <c r="B441" s="108"/>
      <c r="C441" s="127"/>
      <c r="J441" s="108"/>
      <c r="K441" s="127"/>
    </row>
    <row r="442" spans="2:11" hidden="1" outlineLevel="2" x14ac:dyDescent="0.35">
      <c r="B442" s="108"/>
      <c r="C442" s="127"/>
      <c r="J442" s="108"/>
      <c r="K442" s="127"/>
    </row>
    <row r="443" spans="2:11" hidden="1" outlineLevel="2" x14ac:dyDescent="0.35">
      <c r="B443" s="108"/>
      <c r="C443" s="127"/>
      <c r="J443" s="108"/>
      <c r="K443" s="127"/>
    </row>
    <row r="444" spans="2:11" hidden="1" outlineLevel="2" x14ac:dyDescent="0.35">
      <c r="B444" s="108"/>
      <c r="C444" s="127"/>
      <c r="J444" s="108"/>
      <c r="K444" s="127"/>
    </row>
    <row r="445" spans="2:11" hidden="1" outlineLevel="2" x14ac:dyDescent="0.35">
      <c r="B445" s="108"/>
      <c r="C445" s="127"/>
      <c r="J445" s="108"/>
      <c r="K445" s="127"/>
    </row>
    <row r="446" spans="2:11" hidden="1" outlineLevel="2" x14ac:dyDescent="0.35">
      <c r="B446" s="108"/>
      <c r="C446" s="127"/>
      <c r="J446" s="108"/>
      <c r="K446" s="127"/>
    </row>
    <row r="447" spans="2:11" hidden="1" outlineLevel="2" x14ac:dyDescent="0.35">
      <c r="B447" s="108"/>
      <c r="C447" s="127"/>
      <c r="J447" s="108"/>
      <c r="K447" s="127"/>
    </row>
    <row r="448" spans="2:11" hidden="1" outlineLevel="2" x14ac:dyDescent="0.35">
      <c r="B448" s="108"/>
      <c r="C448" s="127"/>
      <c r="J448" s="108"/>
      <c r="K448" s="127"/>
    </row>
    <row r="449" spans="2:11" hidden="1" outlineLevel="2" x14ac:dyDescent="0.35">
      <c r="B449" s="108"/>
      <c r="C449" s="127"/>
      <c r="J449" s="108"/>
      <c r="K449" s="127"/>
    </row>
    <row r="450" spans="2:11" hidden="1" outlineLevel="2" x14ac:dyDescent="0.35">
      <c r="B450" s="108"/>
      <c r="C450" s="127"/>
      <c r="J450" s="108"/>
      <c r="K450" s="127"/>
    </row>
    <row r="451" spans="2:11" hidden="1" outlineLevel="2" x14ac:dyDescent="0.35">
      <c r="B451" s="108"/>
      <c r="C451" s="127"/>
      <c r="J451" s="108"/>
      <c r="K451" s="127"/>
    </row>
    <row r="452" spans="2:11" hidden="1" outlineLevel="2" x14ac:dyDescent="0.35">
      <c r="B452" s="108"/>
      <c r="C452" s="127"/>
      <c r="J452" s="108"/>
      <c r="K452" s="127"/>
    </row>
    <row r="453" spans="2:11" hidden="1" outlineLevel="2" x14ac:dyDescent="0.35">
      <c r="B453" s="108"/>
      <c r="C453" s="127"/>
      <c r="J453" s="108"/>
      <c r="K453" s="127"/>
    </row>
    <row r="454" spans="2:11" hidden="1" outlineLevel="2" x14ac:dyDescent="0.35">
      <c r="B454" s="108"/>
      <c r="C454" s="127"/>
      <c r="J454" s="108"/>
      <c r="K454" s="127"/>
    </row>
    <row r="455" spans="2:11" hidden="1" outlineLevel="2" x14ac:dyDescent="0.35">
      <c r="B455" s="108"/>
      <c r="C455" s="127"/>
      <c r="J455" s="108"/>
      <c r="K455" s="127"/>
    </row>
    <row r="456" spans="2:11" hidden="1" outlineLevel="2" x14ac:dyDescent="0.35">
      <c r="B456" s="108"/>
      <c r="C456" s="127"/>
      <c r="J456" s="108"/>
      <c r="K456" s="127"/>
    </row>
    <row r="457" spans="2:11" hidden="1" outlineLevel="2" x14ac:dyDescent="0.35">
      <c r="B457" s="108"/>
      <c r="C457" s="127"/>
      <c r="J457" s="108"/>
      <c r="K457" s="127"/>
    </row>
    <row r="458" spans="2:11" hidden="1" outlineLevel="2" x14ac:dyDescent="0.35">
      <c r="B458" s="108"/>
      <c r="C458" s="127"/>
      <c r="J458" s="108"/>
      <c r="K458" s="127"/>
    </row>
    <row r="459" spans="2:11" hidden="1" outlineLevel="2" x14ac:dyDescent="0.35">
      <c r="B459" s="108"/>
      <c r="C459" s="127"/>
      <c r="J459" s="108"/>
      <c r="K459" s="127"/>
    </row>
    <row r="460" spans="2:11" hidden="1" outlineLevel="2" x14ac:dyDescent="0.35">
      <c r="B460" s="108"/>
      <c r="C460" s="127"/>
      <c r="J460" s="108"/>
      <c r="K460" s="127"/>
    </row>
    <row r="461" spans="2:11" hidden="1" outlineLevel="2" x14ac:dyDescent="0.35">
      <c r="B461" s="108"/>
      <c r="C461" s="127"/>
      <c r="J461" s="108"/>
      <c r="K461" s="127"/>
    </row>
    <row r="462" spans="2:11" hidden="1" outlineLevel="2" x14ac:dyDescent="0.35">
      <c r="B462" s="108"/>
      <c r="C462" s="127"/>
      <c r="J462" s="108"/>
      <c r="K462" s="127"/>
    </row>
    <row r="463" spans="2:11" hidden="1" outlineLevel="2" x14ac:dyDescent="0.35">
      <c r="B463" s="108"/>
      <c r="C463" s="127"/>
      <c r="J463" s="108"/>
      <c r="K463" s="127"/>
    </row>
    <row r="464" spans="2:11" hidden="1" outlineLevel="2" x14ac:dyDescent="0.35">
      <c r="B464" s="108"/>
      <c r="C464" s="127"/>
      <c r="J464" s="108"/>
      <c r="K464" s="127"/>
    </row>
    <row r="465" spans="2:15" hidden="1" outlineLevel="2" x14ac:dyDescent="0.35">
      <c r="B465" s="108"/>
      <c r="C465" s="127"/>
      <c r="J465" s="108"/>
      <c r="K465" s="127"/>
    </row>
    <row r="466" spans="2:15" hidden="1" outlineLevel="2" x14ac:dyDescent="0.35">
      <c r="B466" s="108"/>
      <c r="C466" s="127"/>
      <c r="J466" s="108"/>
      <c r="K466" s="127"/>
    </row>
    <row r="467" spans="2:15" hidden="1" outlineLevel="2" x14ac:dyDescent="0.35">
      <c r="B467" s="108"/>
      <c r="C467" s="127"/>
      <c r="J467" s="108"/>
      <c r="K467" s="127"/>
    </row>
    <row r="468" spans="2:15" hidden="1" outlineLevel="2" x14ac:dyDescent="0.35">
      <c r="B468" s="108"/>
      <c r="C468" s="127"/>
      <c r="J468" s="108"/>
      <c r="K468" s="127"/>
    </row>
    <row r="469" spans="2:15" hidden="1" outlineLevel="2" x14ac:dyDescent="0.35">
      <c r="B469" s="108"/>
      <c r="C469" s="127"/>
      <c r="J469" s="108"/>
      <c r="K469" s="127"/>
    </row>
    <row r="470" spans="2:15" hidden="1" outlineLevel="2" x14ac:dyDescent="0.35">
      <c r="B470" s="108"/>
      <c r="C470" s="127"/>
      <c r="J470" s="108"/>
      <c r="K470" s="127"/>
    </row>
    <row r="471" spans="2:15" hidden="1" outlineLevel="2" x14ac:dyDescent="0.35">
      <c r="B471" s="108"/>
      <c r="C471" s="127"/>
      <c r="J471" s="108"/>
      <c r="K471" s="127"/>
    </row>
    <row r="472" spans="2:15" hidden="1" outlineLevel="2" x14ac:dyDescent="0.35">
      <c r="B472" s="108"/>
      <c r="C472" s="127"/>
      <c r="J472" s="108"/>
      <c r="K472" s="127"/>
    </row>
    <row r="473" spans="2:15" hidden="1" outlineLevel="2" x14ac:dyDescent="0.35">
      <c r="B473" s="108"/>
      <c r="C473" s="127"/>
      <c r="J473" s="108"/>
      <c r="K473" s="127"/>
    </row>
    <row r="474" spans="2:15" hidden="1" outlineLevel="2" x14ac:dyDescent="0.35">
      <c r="B474" s="108"/>
      <c r="C474" s="127"/>
      <c r="J474" s="108"/>
      <c r="K474" s="127"/>
    </row>
    <row r="475" spans="2:15" outlineLevel="2" x14ac:dyDescent="0.35">
      <c r="B475" s="111"/>
      <c r="C475" s="128"/>
      <c r="J475" s="111"/>
      <c r="K475" s="128"/>
    </row>
    <row r="476" spans="2:15" outlineLevel="2" x14ac:dyDescent="0.35"/>
    <row r="477" spans="2:15" outlineLevel="2" x14ac:dyDescent="0.35">
      <c r="B477" s="800"/>
      <c r="C477" s="801"/>
      <c r="F477" s="76" t="s">
        <v>1866</v>
      </c>
      <c r="G477" s="580">
        <v>1</v>
      </c>
      <c r="J477" s="800"/>
      <c r="K477" s="801"/>
      <c r="N477" s="76" t="s">
        <v>1866</v>
      </c>
      <c r="O477" s="580">
        <v>1</v>
      </c>
    </row>
    <row r="478" spans="2:15" outlineLevel="2" x14ac:dyDescent="0.35"/>
    <row r="479" spans="2:15" outlineLevel="2" x14ac:dyDescent="0.35">
      <c r="B479" s="15" t="s">
        <v>1867</v>
      </c>
    </row>
    <row r="480" spans="2:15" outlineLevel="2" x14ac:dyDescent="0.35">
      <c r="B480" s="141"/>
    </row>
    <row r="481" spans="2:15" outlineLevel="2" x14ac:dyDescent="0.35">
      <c r="B481" s="141"/>
      <c r="F481" s="76" t="s">
        <v>1916</v>
      </c>
      <c r="G481" s="77">
        <f>calc_lllosscount_base*PRODUCT(calc_lllosscount_adjexposure, G387, G394)</f>
        <v>5.8473157522639175E-3</v>
      </c>
      <c r="N481" s="76" t="s">
        <v>1917</v>
      </c>
      <c r="O481" s="77">
        <f>calc_llseverity_base*PRODUCT(calc_llseverity_adjexposure, O387, O394)</f>
        <v>1217790.9964146591</v>
      </c>
    </row>
    <row r="482" spans="2:15" ht="29" outlineLevel="2" x14ac:dyDescent="0.35">
      <c r="B482" s="141"/>
      <c r="F482" s="76" t="s">
        <v>1918</v>
      </c>
      <c r="G482" s="77">
        <f ca="1">calc_lllosscount_base*PRODUCT(calc_lllosscount_adjindustry,calc_lllosscount_adjip,calc_lllosscount_adjexposure,calc_lllosscount_adjgoods,calc_lllosscount_adjpackagingtype,calc_lllosscount_adjgeoscope,calc_lllosscount_adjbasisvaluation)</f>
        <v>0</v>
      </c>
      <c r="N482" s="76" t="s">
        <v>1919</v>
      </c>
      <c r="O482" s="77">
        <f ca="1">calc_llseverity_base*PRODUCT(calc_llseverity_adjindustry,calc_llseverity_adjip,calc_llseverity_adjexposure,calc_llseverity_adjgoods,calc_llseverity_adjpackagingtype,calc_llseverity_adjgeoscope,calc_llseverity_adjbasisvaluation)</f>
        <v>0</v>
      </c>
    </row>
    <row r="483" spans="2:15" outlineLevel="2" x14ac:dyDescent="0.35">
      <c r="B483" s="141"/>
    </row>
    <row r="484" spans="2:15" ht="29" outlineLevel="2" x14ac:dyDescent="0.35">
      <c r="F484" s="76" t="s">
        <v>1920</v>
      </c>
      <c r="G484" s="118">
        <f xml:space="preserve"> IF(calc_midmarket, G481, G482)</f>
        <v>5.8473157522639175E-3</v>
      </c>
      <c r="N484" s="76" t="s">
        <v>1921</v>
      </c>
      <c r="O484" s="114">
        <f xml:space="preserve"> IF(calc_midmarket, O481, O482)</f>
        <v>1217790.9964146591</v>
      </c>
    </row>
    <row r="485" spans="2:15" outlineLevel="2" x14ac:dyDescent="0.35">
      <c r="N485" s="119"/>
    </row>
    <row r="486" spans="2:15" ht="46" outlineLevel="2" x14ac:dyDescent="0.35">
      <c r="B486" s="493" t="s">
        <v>1922</v>
      </c>
      <c r="C486" s="76" t="s">
        <v>1923</v>
      </c>
      <c r="D486" s="155" t="s">
        <v>1924</v>
      </c>
      <c r="E486" s="76" t="s">
        <v>1925</v>
      </c>
      <c r="F486" s="87" t="s">
        <v>1926</v>
      </c>
      <c r="G486" s="76" t="s">
        <v>1927</v>
      </c>
      <c r="H486" s="76" t="s">
        <v>1928</v>
      </c>
      <c r="I486" s="76" t="s">
        <v>1929</v>
      </c>
      <c r="J486" s="76" t="s">
        <v>1930</v>
      </c>
      <c r="K486" s="76" t="s">
        <v>1931</v>
      </c>
      <c r="L486" s="76" t="s">
        <v>1932</v>
      </c>
    </row>
    <row r="487" spans="2:15" outlineLevel="2" x14ac:dyDescent="0.35">
      <c r="B487" s="125" t="str" cm="1">
        <f t="array" ref="B487:B490" xml:space="preserve"> calc_transportationtype</f>
        <v>Land</v>
      </c>
      <c r="C487" s="156" cm="1">
        <f t="array" ref="C487:C490" xml:space="preserve"> $G$484*calc_transportationtype_adjlllosscount* IF(calc_midmarket, E43:E46, calc_transportationtype_perc)</f>
        <v>5.8473157522639181E-4</v>
      </c>
      <c r="D487" s="157" cm="1">
        <f t="array" ref="D487:D490">$O$484*calc_transportationtype_adjllseverity</f>
        <v>1217790.9964146591</v>
      </c>
      <c r="E487" s="158" cm="1">
        <f t="array" ref="E487:E490">_xlfn.ANCHORARRAY(D487)/(_xlfn.ANCHORARRAY(D487)-_xlfn.ANCHORARRAY(F487))</f>
        <v>1.2583202374543327</v>
      </c>
      <c r="F487" s="504" cm="1">
        <f t="array" ref="F487:F490" xml:space="preserve"> _xlfn.SEQUENCE(COUNTA(_xlfn.ANCHORARRAY(B487)), 1, \parameter_llthreshold1_transport, 0)</f>
        <v>250000</v>
      </c>
      <c r="G487" s="159" cm="1">
        <f t="array" ref="G487:G490">calc_limit_transportationtype_EUR+calc_deductiblemax_transportationtype_EUR</f>
        <v>500125</v>
      </c>
      <c r="H487" s="495" cm="1">
        <f t="array" ref="H487:H490">(_xlfn.ANCHORARRAY(E487)*_xlfn.ANCHORARRAY(F487)-_xlfn.ANCHORARRAY(G487)*(_xlfn.ANCHORARRAY(F487)/_xlfn.ANCHORARRAY(G487))^_xlfn.ANCHORARRAY(E487))/(_xlfn.ANCHORARRAY(E487)-1)</f>
        <v>408711.1297323117</v>
      </c>
      <c r="I487" s="495" cm="1">
        <f t="array" ref="I487:I490">_xlfn.ANCHORARRAY(H487)-calc_deductiblemax_transportationtype_EUR</f>
        <v>408586.1297323117</v>
      </c>
      <c r="J487" s="866" cm="1">
        <f t="array" ref="J487:J490">_xlfn.ANCHORARRAY(C487)*_xlfn.ANCHORARRAY(D487)</f>
        <v>712.08084763006082</v>
      </c>
      <c r="K487" s="866" cm="1">
        <f t="array" ref="K487:K490">_xlfn.ANCHORARRAY(C487)*_xlfn.ANCHORARRAY(H487)</f>
        <v>238.98630270093281</v>
      </c>
      <c r="L487" s="867" cm="1">
        <f t="array" ref="L487:L490">_xlfn.ANCHORARRAY(C487)*_xlfn.ANCHORARRAY(I487)</f>
        <v>238.91321125402951</v>
      </c>
    </row>
    <row r="488" spans="2:15" outlineLevel="2" x14ac:dyDescent="0.35">
      <c r="B488" s="108" t="str">
        <v>Rail</v>
      </c>
      <c r="C488" s="160">
        <v>0</v>
      </c>
      <c r="D488" s="161">
        <v>1217790.9964146591</v>
      </c>
      <c r="E488" s="162">
        <v>1.2583202374543327</v>
      </c>
      <c r="F488" s="505">
        <v>250000</v>
      </c>
      <c r="G488" s="163">
        <v>500125</v>
      </c>
      <c r="H488" s="161">
        <v>408711.1297323117</v>
      </c>
      <c r="I488" s="496">
        <v>408586.1297323117</v>
      </c>
      <c r="J488" s="161">
        <v>0</v>
      </c>
      <c r="K488" s="161">
        <v>0</v>
      </c>
      <c r="L488" s="501">
        <v>0</v>
      </c>
    </row>
    <row r="489" spans="2:15" outlineLevel="2" x14ac:dyDescent="0.35">
      <c r="B489" s="861" t="str">
        <v>Sea</v>
      </c>
      <c r="C489" s="868">
        <v>5.5194448491171924E-3</v>
      </c>
      <c r="D489" s="869">
        <v>1277229.9722616398</v>
      </c>
      <c r="E489" s="870">
        <v>1.2433729610221342</v>
      </c>
      <c r="F489" s="505">
        <v>250000</v>
      </c>
      <c r="G489" s="871">
        <v>500125</v>
      </c>
      <c r="H489" s="869">
        <v>409511.78427982581</v>
      </c>
      <c r="I489" s="872">
        <v>409386.78427982581</v>
      </c>
      <c r="J489" s="869">
        <v>7049.6003915376023</v>
      </c>
      <c r="K489" s="869">
        <v>2260.2777083960755</v>
      </c>
      <c r="L489" s="873">
        <v>2259.5877777899359</v>
      </c>
    </row>
    <row r="490" spans="2:15" outlineLevel="2" x14ac:dyDescent="0.35">
      <c r="B490" s="111" t="str">
        <v>Air</v>
      </c>
      <c r="C490" s="164">
        <v>0</v>
      </c>
      <c r="D490" s="165">
        <v>1089225.3801481521</v>
      </c>
      <c r="E490" s="166">
        <v>1.2978937552578145</v>
      </c>
      <c r="F490" s="506">
        <v>250000</v>
      </c>
      <c r="G490" s="167">
        <v>500125</v>
      </c>
      <c r="H490" s="165">
        <v>406617.47373577749</v>
      </c>
      <c r="I490" s="497">
        <v>406492.47373577749</v>
      </c>
      <c r="J490" s="165">
        <v>0</v>
      </c>
      <c r="K490" s="165">
        <v>0</v>
      </c>
      <c r="L490" s="502">
        <v>0</v>
      </c>
    </row>
    <row r="491" spans="2:15" outlineLevel="2" x14ac:dyDescent="0.35">
      <c r="C491" s="119"/>
      <c r="D491" s="168"/>
      <c r="E491" s="169"/>
      <c r="G491" s="170"/>
      <c r="H491" s="168"/>
      <c r="J491" s="171"/>
      <c r="K491" s="171"/>
    </row>
    <row r="492" spans="2:15" ht="31" outlineLevel="2" x14ac:dyDescent="0.35">
      <c r="B492" s="492" t="s">
        <v>1933</v>
      </c>
      <c r="C492" s="119"/>
      <c r="D492" s="168"/>
      <c r="E492" s="87" t="s">
        <v>1934</v>
      </c>
      <c r="F492" s="87" t="s">
        <v>1935</v>
      </c>
      <c r="G492" s="170"/>
      <c r="H492" s="168"/>
      <c r="J492" s="171"/>
      <c r="K492" s="171"/>
    </row>
    <row r="493" spans="2:15" outlineLevel="2" x14ac:dyDescent="0.35">
      <c r="C493" s="119"/>
      <c r="D493" s="168"/>
      <c r="E493" s="157" cm="1">
        <f t="array" ref="E493:E496" xml:space="preserve"> (_xlfn.ANCHORARRAY(D487) -_xlfn.ANCHORARRAY( F493)) * (1 - \parameter_ll_GPD_shape)</f>
        <v>396794.30853001022</v>
      </c>
      <c r="F493" s="504" cm="1">
        <f t="array" ref="F493:F496">_xlfn.ANCHORARRAY( F487)</f>
        <v>250000</v>
      </c>
      <c r="G493" s="170"/>
      <c r="H493" s="157" cm="1">
        <f t="array" ref="H493:H496" xml:space="preserve"> ( (-_xlfn.ANCHORARRAY(F493) * \parameter_ll_GPD_shape +_xlfn.ANCHORARRAY( E493) +_xlfn.ANCHORARRAY( G487)) * ( (-_xlfn.ANCHORARRAY(F493) * \parameter_ll_GPD_shape +_xlfn.ANCHORARRAY( E493) +_xlfn.ANCHORARRAY( G487)*\parameter_ll_GPD_shape) /_xlfn.ANCHORARRAY( E493) ) ^(- 1 / \parameter_ll_GPD_shape) / (\parameter_ll_GPD_shape - 1) ) - ( (-_xlfn.ANCHORARRAY(F493) * \parameter_ll_GPD_shape +_xlfn.ANCHORARRAY( E493) +_xlfn.ANCHORARRAY( F493)) * ( (-_xlfn.ANCHORARRAY(F493) * \parameter_ll_GPD_shape +_xlfn.ANCHORARRAY( E493) +_xlfn.ANCHORARRAY( F493)*\parameter_ll_GPD_shape) /_xlfn.ANCHORARRAY( E493) ) ^(- 1 / \parameter_ll_GPD_shape) / (\parameter_ll_GPD_shape - 1) ) + (1 + \parameter_ll_GPD_shape * (_xlfn.ANCHORARRAY(G487) -_xlfn.ANCHORARRAY( F493)) /_xlfn.ANCHORARRAY( E493) )^( -1/\parameter_ll_GPD_shape) *_xlfn.ANCHORARRAY( G487)</f>
        <v>440916.59545104794</v>
      </c>
      <c r="I493" s="495" cm="1">
        <f t="array" ref="I493:I496">_xlfn.ANCHORARRAY(H493) - calc_deductiblemax_transportationtype_EUR</f>
        <v>440791.59545104794</v>
      </c>
      <c r="J493" s="171"/>
      <c r="K493" s="157" cm="1">
        <f t="array" ref="K493:K496">_xlfn.ANCHORARRAY(H493) *_xlfn.ANCHORARRAY( $C$487)</f>
        <v>257.81785540154902</v>
      </c>
      <c r="L493" s="498" cm="1">
        <f t="array" ref="L493:L496">_xlfn.ANCHORARRAY(I493) *_xlfn.ANCHORARRAY( $C$487)</f>
        <v>257.74476395464569</v>
      </c>
    </row>
    <row r="494" spans="2:15" outlineLevel="2" x14ac:dyDescent="0.35">
      <c r="C494" s="119"/>
      <c r="D494" s="168"/>
      <c r="E494" s="157">
        <v>396794.30853001022</v>
      </c>
      <c r="F494" s="505">
        <v>250000</v>
      </c>
      <c r="G494" s="170"/>
      <c r="H494" s="157">
        <v>440916.59545104794</v>
      </c>
      <c r="I494" s="495">
        <v>440791.59545104794</v>
      </c>
      <c r="J494" s="171"/>
      <c r="K494" s="157">
        <v>0</v>
      </c>
      <c r="L494" s="498">
        <v>0</v>
      </c>
    </row>
    <row r="495" spans="2:15" outlineLevel="2" x14ac:dyDescent="0.35">
      <c r="C495" s="119"/>
      <c r="D495" s="168"/>
      <c r="E495" s="161">
        <v>421164.28862727236</v>
      </c>
      <c r="F495" s="505">
        <v>250000</v>
      </c>
      <c r="G495" s="170"/>
      <c r="H495" s="161">
        <v>443532.41938329482</v>
      </c>
      <c r="I495" s="496">
        <v>443407.41938329482</v>
      </c>
      <c r="J495" s="171"/>
      <c r="K495" s="161">
        <v>2448.052727581613</v>
      </c>
      <c r="L495" s="499">
        <v>2447.3627969754734</v>
      </c>
    </row>
    <row r="496" spans="2:15" outlineLevel="2" x14ac:dyDescent="0.35">
      <c r="C496" s="119"/>
      <c r="D496" s="168"/>
      <c r="E496" s="165">
        <v>344082.40586074238</v>
      </c>
      <c r="F496" s="506">
        <v>250000</v>
      </c>
      <c r="G496" s="170"/>
      <c r="H496" s="165">
        <v>434336.78156375408</v>
      </c>
      <c r="I496" s="497">
        <v>434211.78156375408</v>
      </c>
      <c r="J496" s="171"/>
      <c r="K496" s="165">
        <v>0</v>
      </c>
      <c r="L496" s="500">
        <v>0</v>
      </c>
    </row>
    <row r="497" spans="2:15" outlineLevel="2" x14ac:dyDescent="0.35">
      <c r="C497" s="119"/>
      <c r="D497" s="168"/>
      <c r="E497" s="169"/>
      <c r="G497" s="170"/>
      <c r="H497" s="168"/>
      <c r="J497" s="171"/>
      <c r="K497" s="171"/>
    </row>
    <row r="498" spans="2:15" ht="31" outlineLevel="2" x14ac:dyDescent="0.35">
      <c r="B498" s="492" t="s">
        <v>1936</v>
      </c>
      <c r="C498" s="119"/>
      <c r="D498" s="168"/>
      <c r="E498" s="87" t="s">
        <v>1937</v>
      </c>
      <c r="G498" s="170"/>
      <c r="H498" s="168"/>
      <c r="J498" s="171"/>
      <c r="K498" s="171"/>
    </row>
    <row r="499" spans="2:15" outlineLevel="2" x14ac:dyDescent="0.35">
      <c r="C499" s="119"/>
      <c r="D499" s="168"/>
      <c r="E499" s="158" cm="1">
        <f t="array" ref="E499:E502" xml:space="preserve"> LN(_xlfn.ANCHORARRAY( D487) - \parameter_llthreshold1_transport ) - Parameter!B33/2</f>
        <v>12.583665173558417</v>
      </c>
      <c r="G499" s="170"/>
      <c r="H499" s="157" cm="1">
        <f t="array" ref="H499:H502" xml:space="preserve"> IFERROR(_xlfn.ANCHORARRAY( D487) - ( (_xlfn.ANCHORARRAY(D487) - \parameter_llthreshold1_transport) * (1 - _xlfn.NORM.S.DIST( ( LN(_xlfn.ANCHORARRAY(G487) - \parameter_llthreshold1_transport) -_xlfn.ANCHORARRAY( E499) - \parameter_ll_LN_Dispersion ) / SQRT(\parameter_ll_LN_Dispersion), TRUE)) - (_xlfn.ANCHORARRAY(G487) - \parameter_llthreshold1_transport) * (1 - _xlfn.NORM.S.DIST( ( LN(_xlfn.ANCHORARRAY(G487) - \parameter_llthreshold1_transport) -_xlfn.ANCHORARRAY( E499) ) / SQRT(\parameter_ll_LN_Dispersion),TRUE) )), G487:G490 )</f>
        <v>433039.55293955025</v>
      </c>
      <c r="I499" s="495" cm="1">
        <f t="array" ref="I499:I502">_xlfn.ANCHORARRAY(H499) - calc_deductiblemax_transportationtype_EUR</f>
        <v>432914.55293955025</v>
      </c>
      <c r="J499" s="171"/>
      <c r="K499" s="157" cm="1">
        <f t="array" ref="K499:K502">_xlfn.ANCHORARRAY(H499) *_xlfn.ANCHORARRAY( $C$487)</f>
        <v>253.21189992567571</v>
      </c>
      <c r="L499" s="498" cm="1">
        <f t="array" ref="L499:L502">_xlfn.ANCHORARRAY(I499) *_xlfn.ANCHORARRAY( $C$487)</f>
        <v>253.1388084787724</v>
      </c>
    </row>
    <row r="500" spans="2:15" outlineLevel="2" x14ac:dyDescent="0.35">
      <c r="C500" s="119"/>
      <c r="D500" s="168"/>
      <c r="E500" s="162">
        <v>12.583665173558417</v>
      </c>
      <c r="G500" s="170"/>
      <c r="H500" s="161">
        <v>433039.55293955025</v>
      </c>
      <c r="I500" s="496">
        <v>432914.55293955025</v>
      </c>
      <c r="J500" s="171"/>
      <c r="K500" s="161">
        <v>0</v>
      </c>
      <c r="L500" s="499">
        <v>0</v>
      </c>
    </row>
    <row r="501" spans="2:15" outlineLevel="2" x14ac:dyDescent="0.35">
      <c r="C501" s="119"/>
      <c r="D501" s="168"/>
      <c r="E501" s="870">
        <v>12.643270133502767</v>
      </c>
      <c r="G501" s="170"/>
      <c r="H501" s="869">
        <v>435876.06585505139</v>
      </c>
      <c r="I501" s="872">
        <v>435751.06585505139</v>
      </c>
      <c r="J501" s="171"/>
      <c r="K501" s="869">
        <v>2405.7939065371297</v>
      </c>
      <c r="L501" s="874">
        <v>2405.1039759309897</v>
      </c>
    </row>
    <row r="502" spans="2:15" outlineLevel="2" x14ac:dyDescent="0.35">
      <c r="C502" s="119"/>
      <c r="D502" s="168"/>
      <c r="E502" s="166">
        <v>12.441128322279102</v>
      </c>
      <c r="G502" s="170"/>
      <c r="H502" s="165">
        <v>426030.3114802388</v>
      </c>
      <c r="I502" s="497">
        <v>425905.3114802388</v>
      </c>
      <c r="J502" s="171"/>
      <c r="K502" s="165">
        <v>0</v>
      </c>
      <c r="L502" s="500">
        <v>0</v>
      </c>
    </row>
    <row r="503" spans="2:15" outlineLevel="2" x14ac:dyDescent="0.35">
      <c r="C503" s="119"/>
      <c r="D503" s="168"/>
      <c r="G503" s="170"/>
      <c r="H503" s="168"/>
      <c r="J503" s="171"/>
      <c r="K503" s="171"/>
    </row>
    <row r="504" spans="2:15" outlineLevel="2" x14ac:dyDescent="0.35">
      <c r="C504" s="119"/>
      <c r="D504" s="168"/>
      <c r="E504" s="169"/>
      <c r="G504" s="170"/>
      <c r="H504" s="168"/>
      <c r="J504" s="171"/>
      <c r="K504" s="171"/>
    </row>
    <row r="505" spans="2:15" outlineLevel="2" x14ac:dyDescent="0.35">
      <c r="F505" s="76" t="s">
        <v>1907</v>
      </c>
      <c r="G505" s="172">
        <v>1</v>
      </c>
      <c r="N505" s="76" t="s">
        <v>1907</v>
      </c>
      <c r="O505" s="118">
        <f>SUM(K487:K490,_xlfn.ANCHORARRAY( K493),_xlfn.ANCHORARRAY( K499)) / (3 * SUM(J487:J490))</f>
        <v>0.33773354673290262</v>
      </c>
    </row>
    <row r="506" spans="2:15" outlineLevel="2" x14ac:dyDescent="0.35"/>
    <row r="507" spans="2:15" outlineLevel="2" x14ac:dyDescent="0.35">
      <c r="F507" s="76" t="s">
        <v>1878</v>
      </c>
      <c r="G507" s="172">
        <v>1</v>
      </c>
      <c r="N507" s="76" t="s">
        <v>1878</v>
      </c>
      <c r="O507" s="439">
        <f>SUM(L487:L490,_xlfn.ANCHORARRAY( L493),_xlfn.ANCHORARRAY( L499)) / SUM(K487:K490,_xlfn.ANCHORARRAY( K493),_xlfn.ANCHORARRAY( K499))</f>
        <v>0.99970892353867802</v>
      </c>
    </row>
    <row r="508" spans="2:15" outlineLevel="2" x14ac:dyDescent="0.35"/>
    <row r="509" spans="2:15" outlineLevel="2" x14ac:dyDescent="0.35">
      <c r="B509" s="120" t="s">
        <v>1899</v>
      </c>
    </row>
    <row r="510" spans="2:15" outlineLevel="2" x14ac:dyDescent="0.35"/>
    <row r="511" spans="2:15" ht="15" customHeight="1" outlineLevel="2" x14ac:dyDescent="0.35">
      <c r="C511" s="76" t="s">
        <v>1900</v>
      </c>
      <c r="D511" s="76" t="s">
        <v>1901</v>
      </c>
      <c r="E511" s="76" t="s">
        <v>1902</v>
      </c>
      <c r="H511" s="76" t="s">
        <v>1900</v>
      </c>
      <c r="I511" s="76" t="s">
        <v>1901</v>
      </c>
      <c r="J511" s="76" t="s">
        <v>1902</v>
      </c>
    </row>
    <row r="512" spans="2:15" ht="15" customHeight="1" outlineLevel="2" x14ac:dyDescent="0.35">
      <c r="B512" s="76" t="s">
        <v>1903</v>
      </c>
      <c r="C512" s="83">
        <f>calc_lllosscount_base*calc_llseverity_base</f>
        <v>6534.1371038410989</v>
      </c>
      <c r="D512" s="144">
        <f ca="1">IF(calc_exposure_transport_total_EUR=0,"",calc_llloss_base/calc_exposure_transport_total_EUR)</f>
        <v>4.0302559558772708E-4</v>
      </c>
      <c r="G512" s="76" t="s">
        <v>1903</v>
      </c>
      <c r="H512" s="83">
        <f>calc_lllosscount_base*calc_llseverity_base</f>
        <v>6534.1371038410989</v>
      </c>
      <c r="I512" s="143">
        <f ca="1">IF(calc_exposure_transport_total_EUR=0,"",calc_loss_base/calc_exposure_transport_total_EUR)</f>
        <v>3.0059974863842922E-5</v>
      </c>
    </row>
    <row r="513" spans="2:10" ht="15" customHeight="1" outlineLevel="2" x14ac:dyDescent="0.35">
      <c r="B513" s="76" t="s">
        <v>1847</v>
      </c>
      <c r="C513" s="82">
        <f>calc_llloss_base*calc_lllosscount_adjindustry*calc_llseverity_adjindustry</f>
        <v>6534.1371038410989</v>
      </c>
      <c r="D513" s="144">
        <f t="shared" ref="D513:D515" ca="1" si="21">IF(calc_exposure_transport_total_EUR=0,"",C513/calc_exposure_transport_total_EUR)</f>
        <v>4.0302559558772708E-4</v>
      </c>
      <c r="E513" s="145">
        <f>IF(calc_llloss_base=0,"",C513/calc_llloss_base)</f>
        <v>1</v>
      </c>
      <c r="G513" s="76" t="s">
        <v>1904</v>
      </c>
      <c r="H513" s="146">
        <f>H512*G387*O387</f>
        <v>7120.8084763006082</v>
      </c>
      <c r="I513" s="46">
        <f t="shared" ref="I513:I514" ca="1" si="22">IF(calc_exposure_transport_total_EUR=0,"",H513/calc_exposure_transport_total_EUR)</f>
        <v>4.3921148754900373E-4</v>
      </c>
      <c r="J513" s="47">
        <f>IF(H512=0,"",H513/H512)</f>
        <v>1.0897855926706272</v>
      </c>
    </row>
    <row r="514" spans="2:10" ht="15" customHeight="1" outlineLevel="2" x14ac:dyDescent="0.35">
      <c r="B514" s="76" t="s">
        <v>1848</v>
      </c>
      <c r="C514" s="82">
        <f>C513*calc_lllosscount_adjip*calc_llseverity_adjip</f>
        <v>6534.1371038410989</v>
      </c>
      <c r="D514" s="144">
        <f t="shared" ca="1" si="21"/>
        <v>4.0302559558772708E-4</v>
      </c>
      <c r="E514" s="145">
        <f>IF(C513=0,"",C514/C513)</f>
        <v>1</v>
      </c>
      <c r="G514" s="76" t="s">
        <v>1905</v>
      </c>
      <c r="H514" s="146">
        <f>H513*calc_lllosscount_adjgeoscope_MidMarket*calc_llseverity_adjgeoscope_MidMarket</f>
        <v>7120.8084763006082</v>
      </c>
      <c r="I514" s="46">
        <f t="shared" ca="1" si="22"/>
        <v>4.3921148754900373E-4</v>
      </c>
      <c r="J514" s="47">
        <f>IF(H513=0,"",H514/H513)</f>
        <v>1</v>
      </c>
    </row>
    <row r="515" spans="2:10" ht="15" customHeight="1" outlineLevel="2" x14ac:dyDescent="0.35">
      <c r="B515" s="76" t="s">
        <v>1849</v>
      </c>
      <c r="C515" s="82">
        <f>C514*calc_lllosscount_adjexposure*calc_llseverity_adjexposure</f>
        <v>6534.1371038410989</v>
      </c>
      <c r="D515" s="144">
        <f t="shared" ca="1" si="21"/>
        <v>4.0302559558772708E-4</v>
      </c>
      <c r="E515" s="145">
        <f t="shared" ref="E515" si="23">IF(C514=0,"",C515/C514)</f>
        <v>1</v>
      </c>
      <c r="G515" s="76" t="s">
        <v>1907</v>
      </c>
      <c r="H515" s="146">
        <f>H514*calc_lllosscount_adjlimit*calc_llseverity_adjlimit</f>
        <v>2404.9359023067204</v>
      </c>
      <c r="I515" s="46">
        <f ca="1">IF(calc_exposure_transport_total_EUR=0,"",H515/calc_exposure_transport_total_EUR)</f>
        <v>1.4833645345575913E-4</v>
      </c>
      <c r="J515" s="47">
        <f>IF(H514=0,"",H515/H514)</f>
        <v>0.33773354673290262</v>
      </c>
    </row>
    <row r="516" spans="2:10" ht="15" customHeight="1" outlineLevel="2" x14ac:dyDescent="0.35">
      <c r="B516" s="76" t="s">
        <v>1906</v>
      </c>
      <c r="C516" s="146">
        <f ca="1">C515*calc_lllosscount_adjgoods*calc_llseverity_adjgoods</f>
        <v>4316.3089126180503</v>
      </c>
      <c r="D516" s="46">
        <f t="shared" ref="D516:D522" ca="1" si="24">IF(calc_exposure_transport_total_EUR=0,"",C516/calc_exposure_transport_total_EUR)</f>
        <v>2.6622994629633479E-4</v>
      </c>
      <c r="E516" s="47">
        <f t="shared" ref="E516:E522" ca="1" si="25">IF(C515=0,"",C516/C515)</f>
        <v>0.66057825907581647</v>
      </c>
      <c r="G516" s="76" t="s">
        <v>1878</v>
      </c>
      <c r="H516" s="146">
        <f>H515*calc_lllosscount_adjretention*calc_llseverity_adjretention</f>
        <v>2404.2358820745708</v>
      </c>
      <c r="I516" s="46">
        <f ca="1">IF(calc_exposure_transport_total_EUR=0,"",H516/calc_exposure_transport_total_EUR)</f>
        <v>1.4829327620580215E-4</v>
      </c>
      <c r="J516" s="47">
        <f>IF(H515=0,"",H516/H515)</f>
        <v>0.99970892353867802</v>
      </c>
    </row>
    <row r="517" spans="2:10" ht="15" customHeight="1" outlineLevel="2" x14ac:dyDescent="0.35">
      <c r="B517" s="76" t="s">
        <v>1904</v>
      </c>
      <c r="C517" s="146">
        <f ca="1">C516*calc_lllosscount_adjtransportationtype*calc_llseverity_adjtransportationtype</f>
        <v>4316.3089126180503</v>
      </c>
      <c r="D517" s="46">
        <f t="shared" ca="1" si="24"/>
        <v>2.6622994629633479E-4</v>
      </c>
      <c r="E517" s="47">
        <f t="shared" ca="1" si="25"/>
        <v>1</v>
      </c>
    </row>
    <row r="518" spans="2:10" ht="15" customHeight="1" outlineLevel="2" x14ac:dyDescent="0.35">
      <c r="B518" s="76" t="s">
        <v>1862</v>
      </c>
      <c r="C518" s="146">
        <f ca="1">C517*calc_lllosscount_adjpackagingtype*calc_llseverity_adjpackagingtype</f>
        <v>4316.3089126180503</v>
      </c>
      <c r="D518" s="46">
        <f t="shared" ca="1" si="24"/>
        <v>2.6622994629633479E-4</v>
      </c>
      <c r="E518" s="47">
        <f t="shared" ca="1" si="25"/>
        <v>1</v>
      </c>
    </row>
    <row r="519" spans="2:10" ht="15" customHeight="1" outlineLevel="2" x14ac:dyDescent="0.35">
      <c r="B519" s="76" t="s">
        <v>1905</v>
      </c>
      <c r="C519" s="146">
        <f ca="1">C518*calc_lllosscount_adjgeoscope*calc_llseverity_adjgeoscope</f>
        <v>0</v>
      </c>
      <c r="D519" s="46">
        <f t="shared" ca="1" si="24"/>
        <v>0</v>
      </c>
      <c r="E519" s="47">
        <f t="shared" ca="1" si="25"/>
        <v>0</v>
      </c>
    </row>
    <row r="520" spans="2:10" ht="15" customHeight="1" outlineLevel="2" x14ac:dyDescent="0.35">
      <c r="B520" s="76" t="s">
        <v>1866</v>
      </c>
      <c r="C520" s="146">
        <f ca="1">C519*calc_lllosscount_adjbasisvaluation*calc_llseverity_adjbasisvaluation</f>
        <v>0</v>
      </c>
      <c r="D520" s="46">
        <f t="shared" ca="1" si="24"/>
        <v>0</v>
      </c>
      <c r="E520" s="47" t="str">
        <f t="shared" ca="1" si="25"/>
        <v/>
      </c>
    </row>
    <row r="521" spans="2:10" ht="15" customHeight="1" outlineLevel="2" x14ac:dyDescent="0.35">
      <c r="B521" s="76" t="s">
        <v>1907</v>
      </c>
      <c r="C521" s="146">
        <f ca="1">C520*calc_lllosscount_adjlimit*calc_llseverity_adjlimit</f>
        <v>0</v>
      </c>
      <c r="D521" s="46">
        <f t="shared" ca="1" si="24"/>
        <v>0</v>
      </c>
      <c r="E521" s="47" t="str">
        <f t="shared" ca="1" si="25"/>
        <v/>
      </c>
    </row>
    <row r="522" spans="2:10" ht="15" customHeight="1" outlineLevel="2" x14ac:dyDescent="0.35">
      <c r="B522" s="76" t="s">
        <v>1878</v>
      </c>
      <c r="C522" s="146">
        <f ca="1">C521*calc_lllosscount_adjretention*calc_llseverity_adjretention</f>
        <v>0</v>
      </c>
      <c r="D522" s="46">
        <f t="shared" ca="1" si="24"/>
        <v>0</v>
      </c>
      <c r="E522" s="47" t="str">
        <f t="shared" ca="1" si="25"/>
        <v/>
      </c>
      <c r="G522" s="76" t="s">
        <v>1909</v>
      </c>
      <c r="H522" s="114">
        <f xml:space="preserve"> H516</f>
        <v>2404.2358820745708</v>
      </c>
      <c r="I522" s="46">
        <f ca="1">IF(calc_exposure_transport_total_EUR=0,"",H522/calc_exposure_transport_total_EUR)</f>
        <v>1.4829327620580215E-4</v>
      </c>
    </row>
    <row r="523" spans="2:10" ht="15" customHeight="1" outlineLevel="2" x14ac:dyDescent="0.35">
      <c r="C523" s="147"/>
      <c r="E523" s="124"/>
    </row>
    <row r="524" spans="2:10" ht="15" customHeight="1" outlineLevel="2" x14ac:dyDescent="0.35">
      <c r="B524" s="76" t="s">
        <v>1910</v>
      </c>
      <c r="C524" s="83">
        <f>calc_lllosscount_modelled*calc_llseverity_modelled</f>
        <v>6534.1371038410989</v>
      </c>
      <c r="D524" s="144">
        <f ca="1">IF(calc_exposure_transport_total_EUR=0,"",calc_llloss_modelled/calc_exposure_transport_total_EUR)</f>
        <v>4.0302559558772708E-4</v>
      </c>
      <c r="E524" s="124"/>
    </row>
    <row r="525" spans="2:10" ht="15" customHeight="1" outlineLevel="2" x14ac:dyDescent="0.35">
      <c r="E525" s="124"/>
    </row>
    <row r="526" spans="2:10" ht="15.75" customHeight="1" outlineLevel="2" x14ac:dyDescent="0.35">
      <c r="B526" s="76" t="s">
        <v>1938</v>
      </c>
      <c r="C526" s="114">
        <f ca="1">C522</f>
        <v>0</v>
      </c>
      <c r="D526" s="46">
        <f ca="1">IF(calc_exposure_transport_total_EUR=0,"",calc_llloss/calc_exposure_transport_total_EUR)</f>
        <v>0</v>
      </c>
      <c r="E526" s="124"/>
      <c r="G526" s="76" t="s">
        <v>1912</v>
      </c>
      <c r="H526" s="114" cm="1">
        <f t="array" ref="H526" xml:space="preserve"> IF(calc_midmarket, H522, calc_llloss)</f>
        <v>2404.2358820745708</v>
      </c>
      <c r="I526" s="46">
        <f ca="1">IF(calc_exposure_transport_total_EUR=0,"",H526/calc_exposure_transport_total_EUR)</f>
        <v>1.4829327620580215E-4</v>
      </c>
    </row>
    <row r="527" spans="2:10" outlineLevel="2" x14ac:dyDescent="0.35"/>
    <row r="528" spans="2:10" outlineLevel="2" x14ac:dyDescent="0.35"/>
    <row r="529" spans="2:9" ht="46" outlineLevel="2" x14ac:dyDescent="0.35">
      <c r="B529" s="522" t="s">
        <v>1939</v>
      </c>
    </row>
    <row r="530" spans="2:9" outlineLevel="2" x14ac:dyDescent="0.35"/>
    <row r="531" spans="2:9" outlineLevel="2" x14ac:dyDescent="0.35">
      <c r="B531" s="74" t="s">
        <v>1205</v>
      </c>
      <c r="C531" s="168">
        <f xml:space="preserve"> \parameter_limitLoss_RP</f>
        <v>4710.4771689213394</v>
      </c>
      <c r="E531" s="74" t="s">
        <v>1940</v>
      </c>
      <c r="F531" s="171">
        <f xml:space="preserve"> MAX(C534, C535) * calc_fxrate</f>
        <v>250000</v>
      </c>
      <c r="H531" s="74" t="s">
        <v>1941</v>
      </c>
      <c r="I531" s="74" t="b">
        <f xml:space="preserve"> F531 = C535</f>
        <v>1</v>
      </c>
    </row>
    <row r="532" spans="2:9" outlineLevel="2" x14ac:dyDescent="0.35">
      <c r="B532" s="74" t="s">
        <v>1942</v>
      </c>
      <c r="C532" s="524">
        <f xml:space="preserve"> Parameter!B50</f>
        <v>1.5</v>
      </c>
      <c r="E532" s="74" t="s">
        <v>1943</v>
      </c>
      <c r="F532" s="171">
        <f ca="1" xml:space="preserve"> C538 * (F531 / C533) ^C532</f>
        <v>1665.4051743843447</v>
      </c>
      <c r="H532" s="74" t="s">
        <v>1944</v>
      </c>
      <c r="I532" s="171">
        <f xml:space="preserve"> F531 - C535</f>
        <v>0</v>
      </c>
    </row>
    <row r="533" spans="2:9" outlineLevel="2" x14ac:dyDescent="0.35">
      <c r="B533" s="74" t="s">
        <v>1945</v>
      </c>
      <c r="C533" s="168">
        <f xml:space="preserve"> MAX(calc_limit_transportationtype_EUR)</f>
        <v>500000</v>
      </c>
      <c r="E533" s="74" t="s">
        <v>1946</v>
      </c>
      <c r="F533" s="171">
        <f xml:space="preserve"> F531 / (C532-1) * (1-(1+(C533 - F531) / F531) ^ (1-C532)) + F531</f>
        <v>396446.60940672626</v>
      </c>
      <c r="H533" s="74" t="s">
        <v>1947</v>
      </c>
      <c r="I533" s="168">
        <f xml:space="preserve"> F533 + I532</f>
        <v>396446.60940672626</v>
      </c>
    </row>
    <row r="534" spans="2:9" outlineLevel="2" x14ac:dyDescent="0.35">
      <c r="B534" s="74" t="s">
        <v>1948</v>
      </c>
      <c r="C534" s="171">
        <f xml:space="preserve"> C533 * Parameter!B49</f>
        <v>10000</v>
      </c>
      <c r="E534" s="74" t="s">
        <v>1949</v>
      </c>
      <c r="F534" s="524">
        <f ca="1" xml:space="preserve"> F533 / F532</f>
        <v>238.04814318130232</v>
      </c>
      <c r="H534" s="74" t="s">
        <v>1950</v>
      </c>
      <c r="I534" s="168">
        <f ca="1" xml:space="preserve"> I533 / F532</f>
        <v>238.04814318130232</v>
      </c>
    </row>
    <row r="535" spans="2:9" outlineLevel="2" x14ac:dyDescent="0.35">
      <c r="B535" s="74" t="s">
        <v>1951</v>
      </c>
      <c r="C535" s="168">
        <f xml:space="preserve"> \parameter_llthreshold1_transport</f>
        <v>250000</v>
      </c>
    </row>
    <row r="536" spans="2:9" outlineLevel="2" x14ac:dyDescent="0.35">
      <c r="B536" s="74" t="s">
        <v>1806</v>
      </c>
      <c r="C536" s="74" t="b">
        <f ca="1" xml:space="preserve"> calc_exposure_transport_total_EUR &gt; 100000000</f>
        <v>0</v>
      </c>
    </row>
    <row r="537" spans="2:9" outlineLevel="2" x14ac:dyDescent="0.35">
      <c r="B537" s="74" t="s">
        <v>1952</v>
      </c>
      <c r="C537" s="74">
        <f ca="1" xml:space="preserve"> IF(C536, EXP(calc_exposure_transport_total_EUR / 100000000 - 1) * Parameter!B52 + 1, 1)</f>
        <v>1</v>
      </c>
      <c r="G537" s="76" t="s">
        <v>1953</v>
      </c>
      <c r="H537" s="114">
        <f ca="1" xml:space="preserve"> MAX( IF(I531, I534, F534), 0 )</f>
        <v>238.04814318130232</v>
      </c>
      <c r="I537" s="46">
        <f ca="1">IF(calc_exposure_transport_total_EUR=0,"",H537/calc_exposure_transport_total_EUR)</f>
        <v>1.4682810164451367E-5</v>
      </c>
    </row>
    <row r="538" spans="2:9" outlineLevel="2" x14ac:dyDescent="0.35">
      <c r="B538" s="74" t="s">
        <v>1954</v>
      </c>
      <c r="C538" s="171">
        <f ca="1" xml:space="preserve"> C531 / C537</f>
        <v>4710.4771689213394</v>
      </c>
    </row>
    <row r="539" spans="2:9" outlineLevel="2" x14ac:dyDescent="0.35"/>
    <row r="540" spans="2:9" outlineLevel="2" x14ac:dyDescent="0.35"/>
    <row r="541" spans="2:9" outlineLevel="2" x14ac:dyDescent="0.35"/>
    <row r="542" spans="2:9" outlineLevel="2" x14ac:dyDescent="0.35"/>
    <row r="543" spans="2:9" outlineLevel="2" x14ac:dyDescent="0.35"/>
    <row r="544" spans="2:9" outlineLevel="2" x14ac:dyDescent="0.35"/>
    <row r="545" spans="2:16" outlineLevel="1" x14ac:dyDescent="0.35"/>
    <row r="546" spans="2:16" outlineLevel="1" x14ac:dyDescent="0.35">
      <c r="B546" s="15" t="s">
        <v>1955</v>
      </c>
      <c r="C546" s="15"/>
      <c r="D546" s="15"/>
      <c r="E546" s="15"/>
      <c r="F546" s="15"/>
      <c r="G546" s="15"/>
      <c r="H546" s="15"/>
      <c r="I546" s="15"/>
      <c r="J546" s="15"/>
      <c r="K546" s="15"/>
      <c r="L546" s="15"/>
      <c r="M546" s="15"/>
      <c r="N546" s="15"/>
      <c r="O546" s="15"/>
      <c r="P546" s="15"/>
    </row>
    <row r="547" spans="2:16" outlineLevel="2" x14ac:dyDescent="0.35"/>
    <row r="548" spans="2:16" outlineLevel="2" x14ac:dyDescent="0.35">
      <c r="B548" s="120" t="s">
        <v>1956</v>
      </c>
    </row>
    <row r="549" spans="2:16" outlineLevel="2" x14ac:dyDescent="0.35"/>
    <row r="550" spans="2:16" outlineLevel="2" x14ac:dyDescent="0.35">
      <c r="B550" s="76" t="s">
        <v>1957</v>
      </c>
      <c r="C550" s="82">
        <f>\parameter_llthreshold1_transport</f>
        <v>250000</v>
      </c>
      <c r="F550" s="76" t="s">
        <v>1958</v>
      </c>
      <c r="G550" s="83">
        <f ca="1">calc_loss_base+calc_llloss_base</f>
        <v>7021.4907589158738</v>
      </c>
    </row>
    <row r="551" spans="2:16" outlineLevel="2" x14ac:dyDescent="0.35">
      <c r="F551" s="76" t="s">
        <v>1959</v>
      </c>
      <c r="G551" s="83">
        <f ca="1">calc_loss_modelled+calc_llloss_modelled</f>
        <v>8078.4805595768439</v>
      </c>
    </row>
    <row r="552" spans="2:16" outlineLevel="2" x14ac:dyDescent="0.35"/>
    <row r="553" spans="2:16" outlineLevel="2" x14ac:dyDescent="0.35">
      <c r="B553" s="120" t="s">
        <v>1853</v>
      </c>
    </row>
    <row r="554" spans="2:16" outlineLevel="2" x14ac:dyDescent="0.35">
      <c r="B554" s="174" t="s">
        <v>1960</v>
      </c>
    </row>
    <row r="555" spans="2:16" outlineLevel="2" x14ac:dyDescent="0.35"/>
    <row r="556" spans="2:16" outlineLevel="2" x14ac:dyDescent="0.35">
      <c r="B556" s="120" t="s">
        <v>1867</v>
      </c>
    </row>
    <row r="557" spans="2:16" outlineLevel="2" x14ac:dyDescent="0.35">
      <c r="B557" s="174" t="s">
        <v>1960</v>
      </c>
    </row>
    <row r="558" spans="2:16" outlineLevel="2" x14ac:dyDescent="0.35"/>
    <row r="559" spans="2:16" outlineLevel="2" x14ac:dyDescent="0.35">
      <c r="B559" s="120" t="s">
        <v>1899</v>
      </c>
    </row>
    <row r="560" spans="2:16" outlineLevel="2" x14ac:dyDescent="0.35"/>
    <row r="561" spans="2:10" ht="15" customHeight="1" outlineLevel="2" x14ac:dyDescent="0.35">
      <c r="C561" s="76" t="s">
        <v>1900</v>
      </c>
      <c r="D561" s="76" t="s">
        <v>1901</v>
      </c>
      <c r="E561" s="76" t="s">
        <v>1902</v>
      </c>
      <c r="H561" s="76" t="s">
        <v>1900</v>
      </c>
      <c r="I561" s="76" t="s">
        <v>1901</v>
      </c>
      <c r="J561" s="76" t="s">
        <v>1902</v>
      </c>
    </row>
    <row r="562" spans="2:10" ht="15" customHeight="1" outlineLevel="2" x14ac:dyDescent="0.35">
      <c r="B562" s="76" t="s">
        <v>1903</v>
      </c>
      <c r="C562" s="142">
        <f ca="1">calc_totalloss_prep_base</f>
        <v>7021.4907589158738</v>
      </c>
      <c r="D562" s="175">
        <f ca="1">IF(calc_exposure_transport_total_EUR=0,"",calc_totalloss_base/calc_exposure_transport_total_EUR)</f>
        <v>4.3308557045157003E-4</v>
      </c>
      <c r="G562" s="76" t="s">
        <v>1903</v>
      </c>
      <c r="H562" s="83">
        <f ca="1">calc_totalloss_prep_base</f>
        <v>7021.4907589158738</v>
      </c>
      <c r="I562" s="143">
        <f ca="1">IF(calc_exposure_transport_total_EUR=0,"",calc_loss_base/calc_exposure_transport_total_EUR)</f>
        <v>3.0059974863842922E-5</v>
      </c>
    </row>
    <row r="563" spans="2:10" ht="15" customHeight="1" outlineLevel="2" x14ac:dyDescent="0.35">
      <c r="B563" s="76" t="s">
        <v>1847</v>
      </c>
      <c r="C563" s="82">
        <f t="shared" ref="C563:C571" ca="1" si="26">C353+C513</f>
        <v>7021.4907589158738</v>
      </c>
      <c r="D563" s="144">
        <f t="shared" ref="D563:D565" ca="1" si="27">IF(calc_exposure_transport_total_EUR=0,"",C563/calc_exposure_transport_total_EUR)</f>
        <v>4.3308557045157003E-4</v>
      </c>
      <c r="E563" s="176">
        <f ca="1">IF(calc_totalloss_base=0,"",C563/calc_totalloss_base)</f>
        <v>1</v>
      </c>
      <c r="G563" s="76" t="s">
        <v>1904</v>
      </c>
      <c r="H563" s="146">
        <f ca="1" xml:space="preserve"> H513 + H354</f>
        <v>8803.8117244965906</v>
      </c>
      <c r="I563" s="46">
        <f t="shared" ref="I563:I564" ca="1" si="28">IF(calc_exposure_transport_total_EUR=0,"",H563/calc_exposure_transport_total_EUR)</f>
        <v>5.4301913279745278E-4</v>
      </c>
      <c r="J563" s="47">
        <f ca="1">IF(H562=0,"",H563/H562)</f>
        <v>1.2538379707069371</v>
      </c>
    </row>
    <row r="564" spans="2:10" ht="15" customHeight="1" outlineLevel="2" x14ac:dyDescent="0.35">
      <c r="B564" s="76" t="s">
        <v>1848</v>
      </c>
      <c r="C564" s="82">
        <f t="shared" ca="1" si="26"/>
        <v>7021.4907589158738</v>
      </c>
      <c r="D564" s="144">
        <f t="shared" ca="1" si="27"/>
        <v>4.3308557045157003E-4</v>
      </c>
      <c r="E564" s="176">
        <f ca="1">IF(C563=0,"",C564/C563)</f>
        <v>1</v>
      </c>
      <c r="G564" s="76" t="s">
        <v>1905</v>
      </c>
      <c r="H564" s="146">
        <f ca="1" xml:space="preserve"> H514 + H355</f>
        <v>8803.8117244965906</v>
      </c>
      <c r="I564" s="46">
        <f t="shared" ca="1" si="28"/>
        <v>5.4301913279745278E-4</v>
      </c>
      <c r="J564" s="47">
        <f ca="1">IF(H563=0,"",H564/H563)</f>
        <v>1</v>
      </c>
    </row>
    <row r="565" spans="2:10" ht="15" customHeight="1" outlineLevel="2" x14ac:dyDescent="0.35">
      <c r="B565" s="76" t="s">
        <v>1849</v>
      </c>
      <c r="C565" s="82">
        <f t="shared" ca="1" si="26"/>
        <v>8078.4805595768439</v>
      </c>
      <c r="D565" s="144">
        <f t="shared" ca="1" si="27"/>
        <v>4.9828070443354896E-4</v>
      </c>
      <c r="E565" s="176">
        <f t="shared" ref="E565" ca="1" si="29">IF(C564=0,"",C565/C564)</f>
        <v>1.1505363799445021</v>
      </c>
      <c r="G565" s="76" t="s">
        <v>1907</v>
      </c>
      <c r="H565" s="146">
        <f ca="1" xml:space="preserve"> H515 + H356</f>
        <v>4087.9391505027038</v>
      </c>
      <c r="I565" s="46">
        <f ca="1">IF(calc_exposure_transport_total_EUR=0,"",H565/calc_exposure_transport_total_EUR)</f>
        <v>2.5214409870420821E-4</v>
      </c>
      <c r="J565" s="47">
        <f ca="1">IF(H564=0,"",H565/H564)</f>
        <v>0.46433741184264771</v>
      </c>
    </row>
    <row r="566" spans="2:10" ht="15" customHeight="1" outlineLevel="2" x14ac:dyDescent="0.35">
      <c r="B566" s="76" t="s">
        <v>1906</v>
      </c>
      <c r="C566" s="146">
        <f t="shared" ca="1" si="26"/>
        <v>5336.4686240230985</v>
      </c>
      <c r="D566" s="46">
        <f t="shared" ref="D566:D572" ca="1" si="30">IF(calc_exposure_transport_total_EUR=0,"",C566/calc_exposure_transport_total_EUR)</f>
        <v>3.291534002657852E-4</v>
      </c>
      <c r="E566" s="177">
        <f t="shared" ref="E566:E572" ca="1" si="31">IF(C565=0,"",C566/C565)</f>
        <v>0.66057825907581635</v>
      </c>
      <c r="G566" s="76" t="s">
        <v>1878</v>
      </c>
      <c r="H566" s="146">
        <f ca="1" xml:space="preserve"> MAX(H516 + H357, H565-calc_severity_aad_AAD)</f>
        <v>4033.6460288009216</v>
      </c>
      <c r="I566" s="46">
        <f ca="1">IF(calc_exposure_transport_total_EUR=0,"",H566/calc_exposure_transport_total_EUR)</f>
        <v>2.4879529879957894E-4</v>
      </c>
      <c r="J566" s="47">
        <f ca="1">IF(H565=0,"",H566/H565)</f>
        <v>0.98671870600248401</v>
      </c>
    </row>
    <row r="567" spans="2:10" ht="15" customHeight="1" outlineLevel="2" x14ac:dyDescent="0.35">
      <c r="B567" s="76" t="s">
        <v>1904</v>
      </c>
      <c r="C567" s="146">
        <f t="shared" ca="1" si="26"/>
        <v>5336.4686240230985</v>
      </c>
      <c r="D567" s="46">
        <f t="shared" ca="1" si="30"/>
        <v>3.291534002657852E-4</v>
      </c>
      <c r="E567" s="177">
        <f t="shared" ca="1" si="31"/>
        <v>1</v>
      </c>
    </row>
    <row r="568" spans="2:10" ht="15" customHeight="1" outlineLevel="2" x14ac:dyDescent="0.35">
      <c r="B568" s="76" t="s">
        <v>1862</v>
      </c>
      <c r="C568" s="146">
        <f t="shared" ca="1" si="26"/>
        <v>5336.4686240230985</v>
      </c>
      <c r="D568" s="46">
        <f t="shared" ca="1" si="30"/>
        <v>3.291534002657852E-4</v>
      </c>
      <c r="E568" s="177">
        <f t="shared" ca="1" si="31"/>
        <v>1</v>
      </c>
    </row>
    <row r="569" spans="2:10" ht="15" customHeight="1" outlineLevel="2" x14ac:dyDescent="0.35">
      <c r="B569" s="76" t="s">
        <v>1905</v>
      </c>
      <c r="C569" s="146">
        <f t="shared" ca="1" si="26"/>
        <v>0</v>
      </c>
      <c r="D569" s="46">
        <f t="shared" ca="1" si="30"/>
        <v>0</v>
      </c>
      <c r="E569" s="177">
        <f t="shared" ca="1" si="31"/>
        <v>0</v>
      </c>
    </row>
    <row r="570" spans="2:10" ht="15" customHeight="1" outlineLevel="2" x14ac:dyDescent="0.35">
      <c r="B570" s="76" t="s">
        <v>1866</v>
      </c>
      <c r="C570" s="146">
        <f t="shared" ca="1" si="26"/>
        <v>0</v>
      </c>
      <c r="D570" s="46">
        <f t="shared" ca="1" si="30"/>
        <v>0</v>
      </c>
      <c r="E570" s="177" t="str">
        <f t="shared" ca="1" si="31"/>
        <v/>
      </c>
    </row>
    <row r="571" spans="2:10" ht="15" customHeight="1" outlineLevel="2" x14ac:dyDescent="0.35">
      <c r="B571" s="76" t="s">
        <v>1907</v>
      </c>
      <c r="C571" s="146">
        <f t="shared" ca="1" si="26"/>
        <v>0</v>
      </c>
      <c r="D571" s="46">
        <f t="shared" ca="1" si="30"/>
        <v>0</v>
      </c>
      <c r="E571" s="177" t="str">
        <f t="shared" ca="1" si="31"/>
        <v/>
      </c>
    </row>
    <row r="572" spans="2:10" ht="15" customHeight="1" outlineLevel="2" x14ac:dyDescent="0.35">
      <c r="B572" s="76" t="s">
        <v>1878</v>
      </c>
      <c r="C572" s="146">
        <f ca="1">MAX(C363+C522, C571-calc_severity_aad_AAD)</f>
        <v>0</v>
      </c>
      <c r="D572" s="46">
        <f t="shared" ca="1" si="30"/>
        <v>0</v>
      </c>
      <c r="E572" s="177" t="str">
        <f t="shared" ca="1" si="31"/>
        <v/>
      </c>
      <c r="G572" s="76" t="s">
        <v>1909</v>
      </c>
      <c r="H572" s="114">
        <f ca="1" xml:space="preserve"> H566</f>
        <v>4033.6460288009216</v>
      </c>
      <c r="I572" s="46">
        <f ca="1">IF(calc_exposure_transport_total_EUR=0,"",H572/calc_exposure_transport_total_EUR)</f>
        <v>2.4879529879957894E-4</v>
      </c>
    </row>
    <row r="573" spans="2:10" ht="15" customHeight="1" outlineLevel="2" x14ac:dyDescent="0.35">
      <c r="C573" s="39"/>
      <c r="E573" s="124"/>
    </row>
    <row r="574" spans="2:10" ht="15" customHeight="1" outlineLevel="2" x14ac:dyDescent="0.35">
      <c r="B574" s="76" t="s">
        <v>1910</v>
      </c>
      <c r="C574" s="83">
        <f ca="1">calc_totalloss_prep_modelled</f>
        <v>8078.4805595768439</v>
      </c>
      <c r="D574" s="144">
        <f ca="1">IF(calc_exposure_transport_total_EUR=0,"",calc_totalloss_modelled/calc_exposure_transport_total_EUR)</f>
        <v>4.9828070443354896E-4</v>
      </c>
      <c r="E574" s="124"/>
    </row>
    <row r="575" spans="2:10" ht="15" customHeight="1" outlineLevel="2" x14ac:dyDescent="0.35">
      <c r="E575" s="124"/>
    </row>
    <row r="576" spans="2:10" ht="15.75" customHeight="1" outlineLevel="2" x14ac:dyDescent="0.35">
      <c r="B576" s="76" t="s">
        <v>1938</v>
      </c>
      <c r="C576" s="114">
        <f ca="1">C572</f>
        <v>0</v>
      </c>
      <c r="D576" s="178">
        <f ca="1">IF(calc_exposure_transport_total_EUR=0,"",calc_totalloss/calc_exposure_transport_total_EUR)</f>
        <v>1.1518483275822815E-4</v>
      </c>
      <c r="E576" s="124"/>
      <c r="G576" s="76" t="s">
        <v>1912</v>
      </c>
      <c r="H576" s="114">
        <f ca="1" xml:space="preserve"> IF(calc_midmarket, H572, C576) + IF(\parameter_useBCLLL, H537 - H526, 0)</f>
        <v>1867.4582899076531</v>
      </c>
      <c r="I576" s="46">
        <f ca="1">IF(calc_exposure_transport_total_EUR=0,"",H576/calc_exposure_transport_total_EUR)</f>
        <v>1.1518483275822815E-4</v>
      </c>
    </row>
    <row r="577" spans="2:16" ht="15" customHeight="1" outlineLevel="1" x14ac:dyDescent="0.35">
      <c r="G577" s="76" t="s">
        <v>4788</v>
      </c>
      <c r="H577" s="114">
        <f ca="1" xml:space="preserve"> calc_totalloss - calc_loss</f>
        <v>238.04814318130229</v>
      </c>
      <c r="I577" s="46">
        <f ca="1">IF(calc_exposure_transport_total_EUR=0,"",H577/calc_exposure_transport_total_EUR)</f>
        <v>1.4682810164451366E-5</v>
      </c>
    </row>
    <row r="578" spans="2:16" outlineLevel="1" x14ac:dyDescent="0.35"/>
    <row r="579" spans="2:16" outlineLevel="1" x14ac:dyDescent="0.35"/>
    <row r="580" spans="2:16" outlineLevel="1" x14ac:dyDescent="0.35"/>
    <row r="581" spans="2:16" outlineLevel="1" x14ac:dyDescent="0.35">
      <c r="B581" s="15" t="s">
        <v>4538</v>
      </c>
      <c r="C581" s="15"/>
      <c r="D581" s="15"/>
      <c r="E581" s="15"/>
      <c r="F581" s="15"/>
      <c r="G581" s="15"/>
      <c r="H581" s="15"/>
      <c r="I581" s="15"/>
      <c r="J581" s="15"/>
      <c r="K581" s="15"/>
      <c r="L581" s="15"/>
      <c r="M581" s="15"/>
      <c r="N581" s="15"/>
      <c r="O581" s="15"/>
      <c r="P581" s="15"/>
    </row>
    <row r="582" spans="2:16" outlineLevel="1" x14ac:dyDescent="0.35"/>
    <row r="583" spans="2:16" outlineLevel="1" x14ac:dyDescent="0.35">
      <c r="B583" s="120" t="s">
        <v>1853</v>
      </c>
    </row>
    <row r="584" spans="2:16" outlineLevel="1" x14ac:dyDescent="0.35">
      <c r="C584" s="119" t="s">
        <v>1854</v>
      </c>
      <c r="D584" s="119" t="s">
        <v>1812</v>
      </c>
      <c r="E584" s="119" t="s">
        <v>1961</v>
      </c>
    </row>
    <row r="585" spans="2:16" outlineLevel="1" x14ac:dyDescent="0.35">
      <c r="B585" s="125" t="s">
        <v>1855</v>
      </c>
      <c r="C585" s="461" cm="1">
        <f t="array" ref="C585" xml:space="preserve"> IF( TRUE, 1, IFERROR( VLOOKUP(calc_goods_code, \parameter_goods, 9, FALSE), 0) )</f>
        <v>1</v>
      </c>
      <c r="D585" s="126" cm="1">
        <f t="array" aca="1" ref="D585:D587" ca="1" xml:space="preserve"> IF( calc_goods_theft = "yes", VLOOKUP(calc_goods_code, \parameter_goods, 11, FALSE), 1 )</f>
        <v>1</v>
      </c>
      <c r="E585" s="126" cm="1">
        <f t="array" aca="1" ref="E585:E587" ca="1" xml:space="preserve"> IF( calc_goods_temperature = "yes", VLOOKUP(calc_goods_code, \parameter_goods, 10, FALSE), 1 )</f>
        <v>1</v>
      </c>
      <c r="G585" s="76" t="s">
        <v>1856</v>
      </c>
      <c r="H585" s="122">
        <f xml:space="preserve"> IF( calc_midmarket, 1, SUMPRODUCT(calc_uwadjustment_adjgoods_singlegoods, calc_goods_code_perc, calc_uwadjustment_adjgoods_singlegoods_theft, calc_uwadjustment_adjgoods_singlegoods_temperature) )</f>
        <v>1</v>
      </c>
    </row>
    <row r="586" spans="2:16" outlineLevel="1" x14ac:dyDescent="0.35">
      <c r="B586" s="108" t="s">
        <v>1857</v>
      </c>
      <c r="C586" s="462">
        <v>1</v>
      </c>
      <c r="D586" s="127">
        <f ca="1"/>
        <v>1</v>
      </c>
      <c r="E586" s="127">
        <f ca="1"/>
        <v>1</v>
      </c>
    </row>
    <row r="587" spans="2:16" outlineLevel="1" x14ac:dyDescent="0.35">
      <c r="B587" s="111" t="s">
        <v>1858</v>
      </c>
      <c r="C587" s="463">
        <v>1</v>
      </c>
      <c r="D587" s="128">
        <f ca="1"/>
        <v>1</v>
      </c>
      <c r="E587" s="128">
        <f ca="1"/>
        <v>1</v>
      </c>
    </row>
    <row r="588" spans="2:16" outlineLevel="1" x14ac:dyDescent="0.35"/>
    <row r="589" spans="2:16" outlineLevel="1" x14ac:dyDescent="0.35">
      <c r="B589" s="153" t="str" cm="1">
        <f t="array" ref="B589:B592">calc_transportationtype</f>
        <v>Land</v>
      </c>
      <c r="C589" s="461" cm="1">
        <f t="array" ref="C589">IF( TRUE, 1, INDEX(\parameter_transportationtype,MATCH(calc_transportationtype,INDEX(\parameter_transportationtype,,1),0),6))</f>
        <v>1</v>
      </c>
      <c r="G589" s="76" t="s">
        <v>1904</v>
      </c>
      <c r="H589" s="77">
        <f>SUMPRODUCT(IF(calc_midmarket, E43:E46,calc_transportationtype_perc),calc_transportationtype_adjuwadjustment)</f>
        <v>1</v>
      </c>
    </row>
    <row r="590" spans="2:16" outlineLevel="1" x14ac:dyDescent="0.35">
      <c r="B590" s="130" t="str">
        <v>Rail</v>
      </c>
      <c r="C590" s="462">
        <v>1</v>
      </c>
    </row>
    <row r="591" spans="2:16" outlineLevel="1" x14ac:dyDescent="0.35">
      <c r="B591" s="865" t="str">
        <v>Sea</v>
      </c>
      <c r="C591" s="880">
        <v>1</v>
      </c>
    </row>
    <row r="592" spans="2:16" outlineLevel="1" x14ac:dyDescent="0.35">
      <c r="B592" s="132" t="str">
        <v>Air</v>
      </c>
      <c r="C592" s="463">
        <v>1</v>
      </c>
    </row>
    <row r="593" spans="2:8" outlineLevel="1" x14ac:dyDescent="0.35"/>
    <row r="594" spans="2:8" outlineLevel="1" x14ac:dyDescent="0.35">
      <c r="B594" s="224" t="e" cm="1">
        <f t="array" ref="B594">calc_packagingtype</f>
        <v>#NAME?</v>
      </c>
      <c r="C594" s="225" t="e" cm="1">
        <f t="array" ref="C594">INDEX(\parameter_packagingtype,MATCH(calc_packagingtype,INDEX(\parameter_packagingtype,,1),0),4)</f>
        <v>#NAME?</v>
      </c>
      <c r="G594" s="76" t="s">
        <v>1862</v>
      </c>
      <c r="H594" s="118">
        <f>IFERROR( SUMPRODUCT(calc_packagingtype_perc,calc_packagingtype_adjlllosscount), 1)</f>
        <v>1</v>
      </c>
    </row>
    <row r="595" spans="2:8" outlineLevel="1" x14ac:dyDescent="0.35"/>
    <row r="596" spans="2:8" outlineLevel="1" x14ac:dyDescent="0.35">
      <c r="B596" s="125" t="str">
        <f xml:space="preserve"> calc_geoscope_int_nat</f>
        <v>National</v>
      </c>
      <c r="C596" s="470">
        <f>IF( TRUE, 1, VLOOKUP(calc_riskcountry_code, \parameter_riskcountry, 8, FALSE) )</f>
        <v>1</v>
      </c>
      <c r="G596" s="76" t="s">
        <v>1905</v>
      </c>
      <c r="H596" s="470">
        <f>IF(calc_midmarket, 1, calc_geoscope_int_nat_perc*calc_riskcountry_adjuwadjustment+SUMPRODUCT(_xlfn.ANCHORARRAY(calc_geoscope_int_int_perc_hashtag),_xlfn.ANCHORARRAY( calc_geoscope_int_int_charges_hashtag)))</f>
        <v>1</v>
      </c>
    </row>
    <row r="597" spans="2:8" outlineLevel="1" x14ac:dyDescent="0.35"/>
    <row r="598" spans="2:8" outlineLevel="1" x14ac:dyDescent="0.35">
      <c r="C598" s="119" t="s">
        <v>1962</v>
      </c>
      <c r="D598" s="119" t="s">
        <v>1963</v>
      </c>
    </row>
    <row r="599" spans="2:8" outlineLevel="1" x14ac:dyDescent="0.35">
      <c r="B599" s="125" t="e" cm="1">
        <f t="array" aca="1" ref="B599" ca="1" xml:space="preserve"> _xlfn._xlws.FILTER( OFFSET(\selected_country1_Krieg, 0, 0, ROW(\selected_additional_limit_IP) - ROW(\selected_country1_Krieg) ), OFFSET(\selected_country1_Krieg, 0, 0, ROW(\selected_additional_limit_IP) - ROW(\selected_country1_Krieg) ) &lt;&gt; 0, "")</f>
        <v>#NAME?</v>
      </c>
      <c r="C599" s="417" t="e" cm="1">
        <f t="array" aca="1" ref="C599" ca="1">VLOOKUP(_xlfn.ANCHORARRAY(calc_war_countries_hastag), \parameter_war_strike, 2, FALSE)</f>
        <v>#NAME?</v>
      </c>
      <c r="D599" s="417" t="e" cm="1">
        <f t="array" aca="1" ref="D599" ca="1">VLOOKUP(_xlfn.ANCHORARRAY(calc_war_countries_hastag), \parameter_war_strike, 4, FALSE)</f>
        <v>#NAME?</v>
      </c>
      <c r="G599" s="76" t="s">
        <v>1964</v>
      </c>
      <c r="H599" s="518" t="e">
        <f ca="1" xml:space="preserve"> SUM($D$43:$D$44) * SUM(_xlfn.ANCHORARRAY(calc_war_landsea_uwadjustment_hashtag)) + $D$46 *  SUM(_xlfn.ANCHORARRAY(calc_war_air_uwadjustment_hashtag))</f>
        <v>#NAME?</v>
      </c>
    </row>
    <row r="600" spans="2:8" outlineLevel="1" x14ac:dyDescent="0.35">
      <c r="B600" s="108"/>
      <c r="C600" s="418"/>
      <c r="D600" s="418"/>
    </row>
    <row r="601" spans="2:8" outlineLevel="1" x14ac:dyDescent="0.35">
      <c r="B601" s="108"/>
      <c r="C601" s="418"/>
      <c r="D601" s="418"/>
    </row>
    <row r="602" spans="2:8" outlineLevel="1" x14ac:dyDescent="0.35">
      <c r="B602" s="108"/>
      <c r="C602" s="418"/>
      <c r="D602" s="418"/>
    </row>
    <row r="603" spans="2:8" outlineLevel="1" x14ac:dyDescent="0.35">
      <c r="B603" s="108"/>
      <c r="C603" s="418"/>
      <c r="D603" s="418"/>
    </row>
    <row r="604" spans="2:8" outlineLevel="1" x14ac:dyDescent="0.35">
      <c r="B604" s="108"/>
      <c r="C604" s="418"/>
      <c r="D604" s="418"/>
    </row>
    <row r="605" spans="2:8" outlineLevel="1" x14ac:dyDescent="0.35">
      <c r="B605" s="108"/>
      <c r="C605" s="127"/>
      <c r="D605" s="127"/>
    </row>
    <row r="606" spans="2:8" outlineLevel="1" x14ac:dyDescent="0.35">
      <c r="B606" s="108"/>
      <c r="C606" s="127"/>
      <c r="D606" s="127"/>
    </row>
    <row r="607" spans="2:8" outlineLevel="1" x14ac:dyDescent="0.35">
      <c r="B607" s="108"/>
      <c r="C607" s="127"/>
      <c r="D607" s="127"/>
    </row>
    <row r="608" spans="2:8" outlineLevel="1" x14ac:dyDescent="0.35">
      <c r="B608" s="108"/>
      <c r="C608" s="127"/>
      <c r="D608" s="127"/>
    </row>
    <row r="609" spans="2:8" outlineLevel="1" x14ac:dyDescent="0.35">
      <c r="B609" s="108"/>
      <c r="C609" s="127"/>
      <c r="D609" s="127"/>
    </row>
    <row r="610" spans="2:8" outlineLevel="1" x14ac:dyDescent="0.35">
      <c r="B610" s="108"/>
      <c r="C610" s="127"/>
      <c r="D610" s="127"/>
    </row>
    <row r="611" spans="2:8" outlineLevel="1" x14ac:dyDescent="0.35">
      <c r="B611" s="108"/>
      <c r="C611" s="127"/>
      <c r="D611" s="127"/>
    </row>
    <row r="612" spans="2:8" outlineLevel="1" x14ac:dyDescent="0.35">
      <c r="B612" s="108"/>
      <c r="C612" s="127"/>
      <c r="D612" s="127"/>
    </row>
    <row r="613" spans="2:8" outlineLevel="1" x14ac:dyDescent="0.35">
      <c r="B613" s="108"/>
      <c r="C613" s="127"/>
      <c r="D613" s="127"/>
    </row>
    <row r="614" spans="2:8" outlineLevel="1" x14ac:dyDescent="0.35">
      <c r="B614" s="108"/>
      <c r="C614" s="127"/>
      <c r="D614" s="127"/>
    </row>
    <row r="615" spans="2:8" outlineLevel="1" x14ac:dyDescent="0.35">
      <c r="B615" s="108"/>
      <c r="C615" s="127"/>
      <c r="D615" s="127"/>
    </row>
    <row r="616" spans="2:8" outlineLevel="1" x14ac:dyDescent="0.35">
      <c r="B616" s="108"/>
      <c r="C616" s="127"/>
      <c r="D616" s="127"/>
    </row>
    <row r="617" spans="2:8" outlineLevel="1" x14ac:dyDescent="0.35">
      <c r="B617" s="108"/>
      <c r="C617" s="127"/>
      <c r="D617" s="127"/>
    </row>
    <row r="618" spans="2:8" outlineLevel="1" x14ac:dyDescent="0.35">
      <c r="B618" s="111"/>
      <c r="C618" s="128"/>
      <c r="D618" s="128"/>
    </row>
    <row r="619" spans="2:8" outlineLevel="1" x14ac:dyDescent="0.35"/>
    <row r="620" spans="2:8" outlineLevel="1" x14ac:dyDescent="0.35">
      <c r="C620" s="119" t="s">
        <v>1965</v>
      </c>
      <c r="D620" s="119" t="s">
        <v>1966</v>
      </c>
    </row>
    <row r="621" spans="2:8" outlineLevel="1" x14ac:dyDescent="0.35">
      <c r="B621" s="125" t="e" cm="1">
        <f t="array" aca="1" ref="B621" ca="1" xml:space="preserve"> _xlfn._xlws.FILTER( OFFSET(\selected_country1_Krieg, 0, 0, ROW(\selected_additional_limit_IP) - ROW(\selected_country1_Krieg) ), OFFSET(\selected_country1_Krieg, 0, 0, ROW(\selected_additional_limit_IP) - ROW(\selected_country1_Krieg) ) &lt;&gt; 0, "")</f>
        <v>#NAME?</v>
      </c>
      <c r="C621" s="417" t="e" cm="1">
        <f t="array" aca="1" ref="C621" ca="1">VLOOKUP(_xlfn.ANCHORARRAY(calc_strike_countries_hastag), \parameter_war_strike, 3, FALSE)</f>
        <v>#NAME?</v>
      </c>
      <c r="D621" s="417" t="e" cm="1">
        <f t="array" aca="1" ref="D621" ca="1">VLOOKUP(_xlfn.ANCHORARRAY(calc_strike_countries_hastag), \parameter_war_strike, 4, FALSE)</f>
        <v>#NAME?</v>
      </c>
      <c r="G621" s="76" t="s">
        <v>1967</v>
      </c>
      <c r="H621" s="518" t="e">
        <f ca="1" xml:space="preserve"> SUM($D$43:$D$44) * SUM(_xlfn.ANCHORARRAY(calc_strike_landsea_uwadjustment_hashtag)) + $D$46 *  SUM(_xlfn.ANCHORARRAY(calc_strike_air_uwadjustment_hashtag))</f>
        <v>#NAME?</v>
      </c>
    </row>
    <row r="622" spans="2:8" outlineLevel="1" x14ac:dyDescent="0.35">
      <c r="B622" s="108"/>
      <c r="C622" s="418"/>
      <c r="D622" s="418"/>
    </row>
    <row r="623" spans="2:8" outlineLevel="1" x14ac:dyDescent="0.35">
      <c r="B623" s="108"/>
      <c r="C623" s="418"/>
      <c r="D623" s="418"/>
    </row>
    <row r="624" spans="2:8" outlineLevel="1" x14ac:dyDescent="0.35">
      <c r="B624" s="108"/>
      <c r="C624" s="418"/>
      <c r="D624" s="418"/>
    </row>
    <row r="625" spans="2:4" outlineLevel="1" x14ac:dyDescent="0.35">
      <c r="B625" s="108"/>
      <c r="C625" s="418"/>
      <c r="D625" s="418"/>
    </row>
    <row r="626" spans="2:4" outlineLevel="1" x14ac:dyDescent="0.35">
      <c r="B626" s="108"/>
      <c r="C626" s="418"/>
      <c r="D626" s="418"/>
    </row>
    <row r="627" spans="2:4" outlineLevel="1" x14ac:dyDescent="0.35">
      <c r="B627" s="108"/>
      <c r="C627" s="127"/>
      <c r="D627" s="127"/>
    </row>
    <row r="628" spans="2:4" outlineLevel="1" x14ac:dyDescent="0.35">
      <c r="B628" s="108"/>
      <c r="C628" s="127"/>
      <c r="D628" s="127"/>
    </row>
    <row r="629" spans="2:4" outlineLevel="1" x14ac:dyDescent="0.35">
      <c r="B629" s="108"/>
      <c r="C629" s="127"/>
      <c r="D629" s="127"/>
    </row>
    <row r="630" spans="2:4" outlineLevel="1" x14ac:dyDescent="0.35">
      <c r="B630" s="108"/>
      <c r="C630" s="127"/>
      <c r="D630" s="127"/>
    </row>
    <row r="631" spans="2:4" outlineLevel="1" x14ac:dyDescent="0.35">
      <c r="B631" s="108"/>
      <c r="C631" s="127"/>
      <c r="D631" s="127"/>
    </row>
    <row r="632" spans="2:4" outlineLevel="1" x14ac:dyDescent="0.35">
      <c r="B632" s="108"/>
      <c r="C632" s="127"/>
      <c r="D632" s="127"/>
    </row>
    <row r="633" spans="2:4" outlineLevel="1" x14ac:dyDescent="0.35">
      <c r="B633" s="108"/>
      <c r="C633" s="127"/>
      <c r="D633" s="127"/>
    </row>
    <row r="634" spans="2:4" outlineLevel="1" x14ac:dyDescent="0.35">
      <c r="B634" s="108"/>
      <c r="C634" s="127"/>
      <c r="D634" s="127"/>
    </row>
    <row r="635" spans="2:4" outlineLevel="1" x14ac:dyDescent="0.35">
      <c r="B635" s="108"/>
      <c r="C635" s="127"/>
      <c r="D635" s="127"/>
    </row>
    <row r="636" spans="2:4" outlineLevel="1" x14ac:dyDescent="0.35">
      <c r="B636" s="108"/>
      <c r="C636" s="127"/>
      <c r="D636" s="127"/>
    </row>
    <row r="637" spans="2:4" outlineLevel="1" x14ac:dyDescent="0.35">
      <c r="B637" s="108"/>
      <c r="C637" s="127"/>
      <c r="D637" s="127"/>
    </row>
    <row r="638" spans="2:4" outlineLevel="1" x14ac:dyDescent="0.35">
      <c r="B638" s="108"/>
      <c r="C638" s="127"/>
      <c r="D638" s="127"/>
    </row>
    <row r="639" spans="2:4" outlineLevel="1" x14ac:dyDescent="0.35">
      <c r="B639" s="108"/>
      <c r="C639" s="127"/>
      <c r="D639" s="127"/>
    </row>
    <row r="640" spans="2:4" outlineLevel="1" x14ac:dyDescent="0.35">
      <c r="B640" s="111"/>
      <c r="C640" s="128"/>
      <c r="D640" s="128"/>
    </row>
    <row r="641" spans="2:16" outlineLevel="1" x14ac:dyDescent="0.35"/>
    <row r="642" spans="2:16" outlineLevel="1" x14ac:dyDescent="0.35"/>
    <row r="643" spans="2:16" outlineLevel="1" x14ac:dyDescent="0.35"/>
    <row r="644" spans="2:16" outlineLevel="1" x14ac:dyDescent="0.35"/>
    <row r="645" spans="2:16" outlineLevel="1" x14ac:dyDescent="0.35"/>
    <row r="646" spans="2:16" outlineLevel="1" x14ac:dyDescent="0.35">
      <c r="B646" s="120" t="s">
        <v>1899</v>
      </c>
      <c r="C646" s="390"/>
    </row>
    <row r="647" spans="2:16" outlineLevel="1" x14ac:dyDescent="0.35">
      <c r="B647" s="389"/>
      <c r="C647" s="390"/>
    </row>
    <row r="648" spans="2:16" outlineLevel="1" x14ac:dyDescent="0.35">
      <c r="C648" s="76" t="s">
        <v>1900</v>
      </c>
      <c r="D648" s="76" t="s">
        <v>1901</v>
      </c>
      <c r="E648" s="76" t="s">
        <v>1902</v>
      </c>
    </row>
    <row r="649" spans="2:16" outlineLevel="1" x14ac:dyDescent="0.35">
      <c r="B649" s="76" t="s">
        <v>1968</v>
      </c>
      <c r="C649" s="142">
        <f ca="1">calc_totalloss</f>
        <v>1867.4582899076531</v>
      </c>
      <c r="D649" s="175">
        <f ca="1">IF(calc_exposure_transport_total_EUR=0,"",calc_totalloss_base/calc_exposure_transport_total_EUR)</f>
        <v>4.3308557045157003E-4</v>
      </c>
    </row>
    <row r="650" spans="2:16" outlineLevel="1" x14ac:dyDescent="0.35">
      <c r="B650" s="76" t="s">
        <v>1906</v>
      </c>
      <c r="C650" s="82">
        <f ca="1" xml:space="preserve"> C649 * E650</f>
        <v>1867.4582899076531</v>
      </c>
      <c r="D650" s="144">
        <f ca="1">IF(calc_exposure_transport_total_EUR=0,"",C650/calc_exposure_transport_total_EUR)</f>
        <v>1.1518483275822815E-4</v>
      </c>
      <c r="E650" s="176">
        <f xml:space="preserve"> H585</f>
        <v>1</v>
      </c>
    </row>
    <row r="651" spans="2:16" outlineLevel="1" x14ac:dyDescent="0.35">
      <c r="B651" s="76" t="s">
        <v>1904</v>
      </c>
      <c r="C651" s="82">
        <f ca="1" xml:space="preserve"> E651 * C650</f>
        <v>1867.4582899076531</v>
      </c>
      <c r="D651" s="144">
        <f ca="1">IF(calc_exposure_transport_total_EUR=0,"",C651/calc_exposure_transport_total_EUR)</f>
        <v>1.1518483275822815E-4</v>
      </c>
      <c r="E651" s="176">
        <f>H589</f>
        <v>1</v>
      </c>
    </row>
    <row r="652" spans="2:16" outlineLevel="1" x14ac:dyDescent="0.35">
      <c r="B652" s="76" t="s">
        <v>1905</v>
      </c>
      <c r="C652" s="82">
        <f ca="1" xml:space="preserve"> E652 * C651</f>
        <v>1867.4582899076531</v>
      </c>
      <c r="D652" s="144">
        <f ca="1">IF(calc_exposure_transport_total_EUR=0,"",C652/calc_exposure_transport_total_EUR)</f>
        <v>1.1518483275822815E-4</v>
      </c>
      <c r="E652" s="176">
        <f>H596</f>
        <v>1</v>
      </c>
    </row>
    <row r="653" spans="2:16" outlineLevel="1" x14ac:dyDescent="0.35">
      <c r="B653" s="76" t="s">
        <v>1969</v>
      </c>
      <c r="C653" s="82">
        <f ca="1">C652*E653</f>
        <v>1867.4582899076531</v>
      </c>
      <c r="D653" s="144">
        <f ca="1" xml:space="preserve"> D652 + IF( TRUE, 0, IFERROR(H621, 0) + IFERROR(H599, 0) )</f>
        <v>1.1518483275822815E-4</v>
      </c>
      <c r="E653" s="176">
        <f ca="1" xml:space="preserve"> IFERROR(D653/D652, 1)</f>
        <v>1</v>
      </c>
    </row>
    <row r="654" spans="2:16" outlineLevel="1" x14ac:dyDescent="0.35">
      <c r="B654" s="76" t="s">
        <v>4657</v>
      </c>
      <c r="C654" s="82">
        <f ca="1">C653 * E654</f>
        <v>1867.4582899076531</v>
      </c>
      <c r="D654" s="144"/>
      <c r="E654" s="176" cm="1">
        <f t="array" aca="1" ref="E654" ca="1" xml:space="preserve"> MAX(0, PRODUCT( 1 + OFFSET(helper_technicalAdjustmentFirstAdjustment, 0, 0, ROW(helper_technicalAdjustmentStopper) - ROW(helper_technicalAdjustmentFirstAdjustment)) ) )</f>
        <v>1</v>
      </c>
    </row>
    <row r="656" spans="2:16" ht="15.5" x14ac:dyDescent="0.35">
      <c r="B656" s="7" t="s">
        <v>1970</v>
      </c>
      <c r="C656" s="7"/>
      <c r="D656" s="7"/>
      <c r="E656" s="7"/>
      <c r="F656" s="7"/>
      <c r="G656" s="7"/>
      <c r="H656" s="7"/>
      <c r="I656" s="7"/>
      <c r="J656" s="7"/>
      <c r="K656" s="7"/>
      <c r="L656" s="7"/>
      <c r="M656" s="7"/>
      <c r="N656" s="7"/>
      <c r="O656" s="7"/>
      <c r="P656" s="7"/>
    </row>
    <row r="657" spans="2:16" outlineLevel="1" x14ac:dyDescent="0.35"/>
    <row r="658" spans="2:16" outlineLevel="1" x14ac:dyDescent="0.35">
      <c r="B658" s="76" t="s">
        <v>1802</v>
      </c>
      <c r="C658" s="179" t="e">
        <f>IF(\selected_coverage_storage="Yes",TRUE,FALSE)</f>
        <v>#NAME?</v>
      </c>
    </row>
    <row r="659" spans="2:16" outlineLevel="1" x14ac:dyDescent="0.35">
      <c r="B659" s="80"/>
    </row>
    <row r="660" spans="2:16" outlineLevel="1" x14ac:dyDescent="0.35">
      <c r="B660" s="15" t="s">
        <v>1803</v>
      </c>
      <c r="C660" s="15"/>
      <c r="D660" s="15"/>
      <c r="E660" s="15"/>
      <c r="F660" s="15"/>
      <c r="G660" s="15"/>
      <c r="H660" s="15"/>
      <c r="I660" s="15"/>
      <c r="J660" s="15"/>
      <c r="K660" s="15"/>
      <c r="L660" s="15"/>
      <c r="M660" s="15"/>
      <c r="N660" s="15"/>
      <c r="O660" s="15"/>
      <c r="P660" s="15"/>
    </row>
    <row r="661" spans="2:16" outlineLevel="1" x14ac:dyDescent="0.35"/>
    <row r="662" spans="2:16" outlineLevel="1" x14ac:dyDescent="0.35"/>
    <row r="663" spans="2:16" outlineLevel="1" x14ac:dyDescent="0.35">
      <c r="B663" s="15" t="s">
        <v>1807</v>
      </c>
      <c r="C663" s="15"/>
      <c r="D663" s="15"/>
      <c r="E663" s="15"/>
      <c r="F663" s="15"/>
      <c r="G663" s="15"/>
      <c r="H663" s="15"/>
      <c r="I663" s="15"/>
      <c r="J663" s="15"/>
      <c r="K663" s="15"/>
      <c r="L663" s="15"/>
      <c r="M663" s="15"/>
      <c r="N663" s="15"/>
      <c r="O663" s="15"/>
      <c r="P663" s="15"/>
    </row>
    <row r="664" spans="2:16" outlineLevel="1" x14ac:dyDescent="0.35"/>
    <row r="665" spans="2:16" outlineLevel="1" x14ac:dyDescent="0.35"/>
    <row r="666" spans="2:16" outlineLevel="1" x14ac:dyDescent="0.35">
      <c r="B666" s="15" t="s">
        <v>41</v>
      </c>
      <c r="C666" s="15"/>
      <c r="D666" s="15"/>
      <c r="E666" s="15"/>
      <c r="F666" s="15"/>
      <c r="G666" s="15"/>
      <c r="H666" s="15"/>
      <c r="I666" s="15"/>
      <c r="J666" s="15"/>
      <c r="K666" s="15"/>
      <c r="L666" s="15"/>
      <c r="M666" s="15"/>
      <c r="N666" s="15"/>
      <c r="O666" s="15"/>
      <c r="P666" s="15"/>
    </row>
    <row r="667" spans="2:16" outlineLevel="1" x14ac:dyDescent="0.35"/>
    <row r="668" spans="2:16" outlineLevel="1" x14ac:dyDescent="0.35"/>
    <row r="669" spans="2:16" outlineLevel="1" x14ac:dyDescent="0.35">
      <c r="B669" s="15" t="s">
        <v>1835</v>
      </c>
      <c r="C669" s="15"/>
      <c r="D669" s="15"/>
      <c r="E669" s="15"/>
      <c r="F669" s="15"/>
      <c r="G669" s="15"/>
      <c r="H669" s="15"/>
      <c r="I669" s="15"/>
      <c r="J669" s="15"/>
      <c r="K669" s="15"/>
      <c r="L669" s="15"/>
      <c r="M669" s="15"/>
      <c r="N669" s="15"/>
      <c r="O669" s="15"/>
      <c r="P669" s="15"/>
    </row>
    <row r="670" spans="2:16" outlineLevel="1" x14ac:dyDescent="0.35"/>
    <row r="671" spans="2:16" outlineLevel="1" x14ac:dyDescent="0.35"/>
    <row r="672" spans="2:16" outlineLevel="1" x14ac:dyDescent="0.35">
      <c r="B672" s="15" t="s">
        <v>1913</v>
      </c>
      <c r="C672" s="15"/>
      <c r="D672" s="15"/>
      <c r="E672" s="15"/>
      <c r="F672" s="15"/>
      <c r="G672" s="15"/>
      <c r="H672" s="15"/>
      <c r="I672" s="15"/>
      <c r="J672" s="15"/>
      <c r="K672" s="15"/>
      <c r="L672" s="15"/>
      <c r="M672" s="15"/>
      <c r="N672" s="15"/>
      <c r="O672" s="15"/>
      <c r="P672" s="15"/>
    </row>
    <row r="673" spans="2:16" outlineLevel="1" x14ac:dyDescent="0.35"/>
    <row r="674" spans="2:16" outlineLevel="1" x14ac:dyDescent="0.35"/>
    <row r="675" spans="2:16" outlineLevel="1" x14ac:dyDescent="0.35">
      <c r="B675" s="15" t="s">
        <v>1955</v>
      </c>
      <c r="C675" s="15"/>
      <c r="D675" s="15"/>
      <c r="E675" s="15"/>
      <c r="F675" s="15"/>
      <c r="G675" s="15"/>
      <c r="H675" s="15"/>
      <c r="I675" s="15"/>
      <c r="J675" s="15"/>
      <c r="K675" s="15"/>
      <c r="L675" s="15"/>
      <c r="M675" s="15"/>
      <c r="N675" s="15"/>
      <c r="O675" s="15"/>
      <c r="P675" s="15"/>
    </row>
    <row r="676" spans="2:16" outlineLevel="1" x14ac:dyDescent="0.35"/>
    <row r="678" spans="2:16" ht="15.5" x14ac:dyDescent="0.35">
      <c r="B678" s="7" t="s">
        <v>59</v>
      </c>
      <c r="C678" s="7"/>
      <c r="D678" s="7"/>
      <c r="E678" s="7"/>
      <c r="F678" s="7"/>
      <c r="G678" s="7"/>
      <c r="H678" s="7"/>
      <c r="I678" s="7"/>
      <c r="J678" s="7"/>
      <c r="K678" s="7"/>
      <c r="L678" s="7"/>
      <c r="M678" s="7"/>
      <c r="N678" s="7"/>
      <c r="O678" s="7"/>
      <c r="P678" s="7"/>
    </row>
    <row r="679" spans="2:16" outlineLevel="1" x14ac:dyDescent="0.35"/>
    <row r="680" spans="2:16" outlineLevel="1" x14ac:dyDescent="0.35">
      <c r="B680" s="76" t="s">
        <v>1802</v>
      </c>
      <c r="C680" s="180"/>
    </row>
    <row r="681" spans="2:16" outlineLevel="1" x14ac:dyDescent="0.35">
      <c r="B681" s="80"/>
    </row>
    <row r="682" spans="2:16" outlineLevel="1" x14ac:dyDescent="0.35">
      <c r="B682" s="15" t="s">
        <v>1803</v>
      </c>
      <c r="C682" s="15"/>
      <c r="D682" s="15"/>
      <c r="E682" s="15"/>
      <c r="F682" s="15"/>
      <c r="G682" s="15"/>
      <c r="H682" s="15"/>
      <c r="I682" s="15"/>
      <c r="J682" s="15"/>
      <c r="K682" s="15"/>
      <c r="L682" s="15"/>
      <c r="M682" s="15"/>
      <c r="N682" s="15"/>
      <c r="O682" s="15"/>
      <c r="P682" s="15"/>
    </row>
    <row r="683" spans="2:16" outlineLevel="1" x14ac:dyDescent="0.35">
      <c r="B683" s="174" t="s">
        <v>1971</v>
      </c>
    </row>
    <row r="684" spans="2:16" outlineLevel="1" x14ac:dyDescent="0.35"/>
    <row r="685" spans="2:16" outlineLevel="1" x14ac:dyDescent="0.35">
      <c r="B685" s="15" t="s">
        <v>1807</v>
      </c>
      <c r="C685" s="15"/>
      <c r="D685" s="15"/>
      <c r="E685" s="15"/>
      <c r="F685" s="15"/>
      <c r="G685" s="15"/>
      <c r="H685" s="15"/>
      <c r="I685" s="15"/>
      <c r="J685" s="15"/>
      <c r="K685" s="15"/>
      <c r="L685" s="15"/>
      <c r="M685" s="15"/>
      <c r="N685" s="15"/>
      <c r="O685" s="15"/>
      <c r="P685" s="15"/>
    </row>
    <row r="686" spans="2:16" outlineLevel="1" x14ac:dyDescent="0.35"/>
    <row r="687" spans="2:16" outlineLevel="1" x14ac:dyDescent="0.35"/>
    <row r="688" spans="2:16" outlineLevel="1" x14ac:dyDescent="0.35">
      <c r="B688" s="15" t="s">
        <v>41</v>
      </c>
      <c r="C688" s="15"/>
      <c r="D688" s="15"/>
      <c r="E688" s="15"/>
      <c r="F688" s="15"/>
      <c r="G688" s="15"/>
      <c r="H688" s="15"/>
      <c r="I688" s="15"/>
      <c r="J688" s="15"/>
      <c r="K688" s="15"/>
      <c r="L688" s="15"/>
      <c r="M688" s="15"/>
      <c r="N688" s="15"/>
      <c r="O688" s="15"/>
      <c r="P688" s="15"/>
    </row>
    <row r="689" spans="2:16" outlineLevel="1" x14ac:dyDescent="0.35"/>
    <row r="690" spans="2:16" outlineLevel="1" x14ac:dyDescent="0.35"/>
    <row r="691" spans="2:16" outlineLevel="1" x14ac:dyDescent="0.35">
      <c r="B691" s="15" t="s">
        <v>1835</v>
      </c>
      <c r="C691" s="15"/>
      <c r="D691" s="15"/>
      <c r="E691" s="15"/>
      <c r="F691" s="15"/>
      <c r="G691" s="15"/>
      <c r="H691" s="15"/>
      <c r="I691" s="15"/>
      <c r="J691" s="15"/>
      <c r="K691" s="15"/>
      <c r="L691" s="15"/>
      <c r="M691" s="15"/>
      <c r="N691" s="15"/>
      <c r="O691" s="15"/>
      <c r="P691" s="15"/>
    </row>
    <row r="692" spans="2:16" outlineLevel="1" x14ac:dyDescent="0.35">
      <c r="B692" s="174" t="s">
        <v>1972</v>
      </c>
    </row>
    <row r="693" spans="2:16" outlineLevel="1" x14ac:dyDescent="0.35"/>
    <row r="694" spans="2:16" outlineLevel="1" x14ac:dyDescent="0.35">
      <c r="B694" s="15" t="s">
        <v>1913</v>
      </c>
      <c r="C694" s="15"/>
      <c r="D694" s="15"/>
      <c r="E694" s="15"/>
      <c r="F694" s="15"/>
      <c r="G694" s="15"/>
      <c r="H694" s="15"/>
      <c r="I694" s="15"/>
      <c r="J694" s="15"/>
      <c r="K694" s="15"/>
      <c r="L694" s="15"/>
      <c r="M694" s="15"/>
      <c r="N694" s="15"/>
      <c r="O694" s="15"/>
      <c r="P694" s="15"/>
    </row>
    <row r="695" spans="2:16" outlineLevel="1" x14ac:dyDescent="0.35">
      <c r="B695" s="174" t="s">
        <v>1972</v>
      </c>
    </row>
    <row r="696" spans="2:16" outlineLevel="1" x14ac:dyDescent="0.35"/>
    <row r="697" spans="2:16" outlineLevel="1" x14ac:dyDescent="0.35">
      <c r="B697" s="15" t="s">
        <v>1955</v>
      </c>
      <c r="C697" s="15"/>
      <c r="D697" s="15"/>
      <c r="E697" s="15"/>
      <c r="F697" s="15"/>
      <c r="G697" s="15"/>
      <c r="H697" s="15"/>
      <c r="I697" s="15"/>
      <c r="J697" s="15"/>
      <c r="K697" s="15"/>
      <c r="L697" s="15"/>
      <c r="M697" s="15"/>
      <c r="N697" s="15"/>
      <c r="O697" s="15"/>
      <c r="P697" s="15"/>
    </row>
    <row r="698" spans="2:16" outlineLevel="1" x14ac:dyDescent="0.35"/>
    <row r="699" spans="2:16" outlineLevel="1" x14ac:dyDescent="0.35"/>
    <row r="700" spans="2:16" outlineLevel="1" x14ac:dyDescent="0.35"/>
    <row r="701" spans="2:16" outlineLevel="1" x14ac:dyDescent="0.35"/>
    <row r="702" spans="2:16" outlineLevel="1" x14ac:dyDescent="0.35"/>
    <row r="703" spans="2:16" outlineLevel="1" x14ac:dyDescent="0.35"/>
    <row r="704" spans="2:16" outlineLevel="1" x14ac:dyDescent="0.35"/>
    <row r="705" spans="2:16" outlineLevel="1" x14ac:dyDescent="0.35"/>
    <row r="706" spans="2:16" outlineLevel="1" x14ac:dyDescent="0.35"/>
    <row r="707" spans="2:16" outlineLevel="1" x14ac:dyDescent="0.35"/>
    <row r="709" spans="2:16" ht="15.5" x14ac:dyDescent="0.35">
      <c r="B709" s="7" t="s">
        <v>1973</v>
      </c>
      <c r="C709" s="7"/>
      <c r="D709" s="7"/>
      <c r="E709" s="7"/>
      <c r="F709" s="7"/>
      <c r="G709" s="7"/>
      <c r="H709" s="7"/>
      <c r="I709" s="7"/>
      <c r="J709" s="7"/>
      <c r="K709" s="7"/>
      <c r="L709" s="7"/>
      <c r="M709" s="7"/>
      <c r="N709" s="7"/>
      <c r="O709" s="7"/>
      <c r="P709" s="7"/>
    </row>
    <row r="710" spans="2:16" outlineLevel="1" x14ac:dyDescent="0.35">
      <c r="B710" s="181" t="s">
        <v>1974</v>
      </c>
    </row>
    <row r="711" spans="2:16" ht="29" outlineLevel="1" x14ac:dyDescent="0.35">
      <c r="B711" s="63"/>
      <c r="C711" s="76" t="s">
        <v>1975</v>
      </c>
      <c r="F711" s="76" t="s">
        <v>1976</v>
      </c>
    </row>
    <row r="712" spans="2:16" ht="58" outlineLevel="1" x14ac:dyDescent="0.35">
      <c r="B712" s="76" t="s">
        <v>1977</v>
      </c>
      <c r="C712" s="430">
        <f xml:space="preserve"> IFERROR( IF(SUM(calc_decentral_expenses_ELC) &lt;&gt; 0, SUM(calc_decentral_expenses_ELC), \parameter_decentral_expenses ), \parameter_decentral_expenses)</f>
        <v>0.14284250641691154</v>
      </c>
      <c r="E712" s="76" t="s">
        <v>1978</v>
      </c>
      <c r="F712" s="46">
        <v>0.11005145060965411</v>
      </c>
    </row>
    <row r="713" spans="2:16" ht="43.5" outlineLevel="1" x14ac:dyDescent="0.35">
      <c r="B713" s="76" t="s">
        <v>1979</v>
      </c>
      <c r="C713" s="431">
        <f xml:space="preserve"> IFERROR( IF(SUM(calc_central_expenses_ELC) &lt;&gt; 0, SUM(calc_central_expenses_ELC), \parameter_central_expenses ), \parameter_central_expenses)</f>
        <v>4.5481504534190052E-2</v>
      </c>
      <c r="E713" s="76" t="s">
        <v>1980</v>
      </c>
      <c r="F713" s="46">
        <v>3.2791055807257434E-2</v>
      </c>
    </row>
    <row r="714" spans="2:16" ht="58" outlineLevel="1" x14ac:dyDescent="0.35">
      <c r="B714" s="76" t="s">
        <v>1140</v>
      </c>
      <c r="C714" s="431" t="e">
        <f>\parameter_RI_expenses</f>
        <v>#REF!</v>
      </c>
      <c r="E714" s="76" t="s">
        <v>1981</v>
      </c>
      <c r="F714" s="46">
        <v>3.4894752443526966E-2</v>
      </c>
    </row>
    <row r="715" spans="2:16" ht="43.5" outlineLevel="1" x14ac:dyDescent="0.35">
      <c r="B715" s="76" t="s">
        <v>1982</v>
      </c>
      <c r="C715" s="431">
        <f>\parameter_coc_ivc_ri</f>
        <v>6.3743079999999994E-2</v>
      </c>
      <c r="E715" s="76" t="s">
        <v>1983</v>
      </c>
      <c r="F715" s="46">
        <v>1.0586752090663086E-2</v>
      </c>
    </row>
    <row r="716" spans="2:16" outlineLevel="1" x14ac:dyDescent="0.35">
      <c r="B716" s="76" t="s">
        <v>61</v>
      </c>
      <c r="C716" s="46">
        <v>0</v>
      </c>
      <c r="E716" s="76" t="s">
        <v>61</v>
      </c>
      <c r="F716" s="432" t="e">
        <f>IF( \selected_additionalcostsflag = "percentage", \selected_additionalcostsvalue / 100, \selected_additionalcostsvalue )</f>
        <v>#NAME?</v>
      </c>
      <c r="G716" s="74" t="e">
        <f>IF( \selected_additionalcostsflag = "percentage", "Input as %", "Input as Value")</f>
        <v>#NAME?</v>
      </c>
    </row>
    <row r="717" spans="2:16" outlineLevel="1" x14ac:dyDescent="0.35">
      <c r="B717" s="76" t="s">
        <v>62</v>
      </c>
      <c r="C717" s="46">
        <v>0</v>
      </c>
      <c r="E717" s="76" t="s">
        <v>62</v>
      </c>
      <c r="F717" s="432" t="e">
        <f>IF( \selected_leadingfeeflag = "percentage", \selected_leadingfeevalue / 100, \selected_leadingfeevalue )</f>
        <v>#NAME?</v>
      </c>
      <c r="G717" s="74" t="e">
        <f>IF( \selected_leadingfeeflag = "percentage", "Input as %", "Input as Value")</f>
        <v>#NAME?</v>
      </c>
    </row>
    <row r="718" spans="2:16" outlineLevel="1" x14ac:dyDescent="0.35">
      <c r="D718" s="436"/>
    </row>
    <row r="719" spans="2:16" outlineLevel="1" x14ac:dyDescent="0.35">
      <c r="B719" s="437" t="s">
        <v>1984</v>
      </c>
      <c r="C719" s="438"/>
    </row>
    <row r="720" spans="2:16" outlineLevel="1" x14ac:dyDescent="0.35">
      <c r="D720" s="436"/>
    </row>
    <row r="721" spans="2:16" outlineLevel="1" x14ac:dyDescent="0.35">
      <c r="B721" s="76" t="s">
        <v>60</v>
      </c>
      <c r="C721" s="46">
        <v>0</v>
      </c>
      <c r="E721" s="76" t="s">
        <v>60</v>
      </c>
      <c r="F721" s="432" t="e">
        <f>IF( \selected_brokerageflag = "percentage", \selected_brokeragevalue / 100, \selected_brokeragevalue )</f>
        <v>#NAME?</v>
      </c>
      <c r="G721" s="74" t="e">
        <f>IF( \selected_brokerageflag = "percentage", "Input as %", "Input as Value")</f>
        <v>#NAME?</v>
      </c>
    </row>
    <row r="722" spans="2:16" outlineLevel="1" x14ac:dyDescent="0.35"/>
    <row r="724" spans="2:16" ht="15.5" x14ac:dyDescent="0.35">
      <c r="B724" s="7" t="s">
        <v>1985</v>
      </c>
      <c r="C724" s="7"/>
      <c r="D724" s="7"/>
      <c r="E724" s="7"/>
      <c r="F724" s="7"/>
      <c r="G724" s="7"/>
      <c r="H724" s="7"/>
      <c r="I724" s="7"/>
      <c r="J724" s="7"/>
      <c r="K724" s="7"/>
      <c r="L724" s="7"/>
      <c r="M724" s="7"/>
      <c r="N724" s="7"/>
      <c r="O724" s="7"/>
      <c r="P724" s="7"/>
    </row>
    <row r="725" spans="2:16" outlineLevel="1" x14ac:dyDescent="0.35">
      <c r="B725" s="181"/>
    </row>
    <row r="726" spans="2:16" outlineLevel="1" x14ac:dyDescent="0.35"/>
    <row r="727" spans="2:16" outlineLevel="1" x14ac:dyDescent="0.35">
      <c r="B727" s="15" t="s">
        <v>98</v>
      </c>
      <c r="C727" s="15"/>
      <c r="D727" s="15"/>
      <c r="E727" s="15"/>
      <c r="F727" s="15"/>
      <c r="G727" s="15"/>
      <c r="H727" s="15"/>
      <c r="I727" s="15"/>
      <c r="J727" s="15"/>
      <c r="K727" s="15"/>
      <c r="L727" s="15"/>
      <c r="M727" s="15"/>
      <c r="N727" s="15"/>
      <c r="O727" s="15"/>
      <c r="P727" s="15"/>
    </row>
    <row r="728" spans="2:16" outlineLevel="1" x14ac:dyDescent="0.35"/>
    <row r="729" spans="2:16" ht="29" outlineLevel="1" x14ac:dyDescent="0.35">
      <c r="B729" s="76" t="s">
        <v>1986</v>
      </c>
      <c r="C729" s="182">
        <f>calc_llthreshold1_transport*calc_fxrate</f>
        <v>250000</v>
      </c>
    </row>
    <row r="730" spans="2:16" outlineLevel="1" x14ac:dyDescent="0.35"/>
    <row r="731" spans="2:16" outlineLevel="1" x14ac:dyDescent="0.35">
      <c r="B731" s="120" t="s">
        <v>1900</v>
      </c>
      <c r="C731" s="76" t="s">
        <v>100</v>
      </c>
      <c r="D731" s="76" t="s">
        <v>101</v>
      </c>
      <c r="E731" s="76" t="s">
        <v>102</v>
      </c>
      <c r="F731" s="183" t="str">
        <f ca="1">IF(ROUND(E734-D734-C734,5)=0,"","CHECK")</f>
        <v/>
      </c>
      <c r="J731" s="120" t="s">
        <v>110</v>
      </c>
      <c r="K731" s="76" t="s">
        <v>100</v>
      </c>
      <c r="L731" s="76" t="s">
        <v>101</v>
      </c>
      <c r="M731" s="76" t="s">
        <v>102</v>
      </c>
    </row>
    <row r="732" spans="2:16" ht="15" outlineLevel="1" thickBot="1" x14ac:dyDescent="0.4">
      <c r="B732" s="76" t="s">
        <v>103</v>
      </c>
      <c r="C732" s="184">
        <f ca="1">calc_loss * PRODUCT(calc_uwadjustments)</f>
        <v>1629.4101467263508</v>
      </c>
      <c r="D732" s="185">
        <f ca="1">H577 * PRODUCT(calc_uwadjustments)</f>
        <v>238.04814318130229</v>
      </c>
      <c r="E732" s="185">
        <f ca="1">calc_totalloss * PRODUCT(calc_uwadjustments)</f>
        <v>1867.4582899076531</v>
      </c>
      <c r="F732" s="48" t="str">
        <f ca="1">IF(ROUND(E732-D732-C732,5)=0,"","CHECK")</f>
        <v/>
      </c>
      <c r="J732" s="76" t="s">
        <v>103</v>
      </c>
      <c r="K732" s="186">
        <f ca="1">calc_loss*calc_fxrate * PRODUCT(calc_uwadjustments)</f>
        <v>1629.4101467263508</v>
      </c>
      <c r="L732" s="187">
        <f ca="1">calc_llloss*calc_fxrate * PRODUCT(calc_uwadjustments)</f>
        <v>0</v>
      </c>
      <c r="M732" s="187">
        <f ca="1">calc_totalloss*calc_fxrate * PRODUCT(calc_uwadjustments)</f>
        <v>1867.4582899076531</v>
      </c>
    </row>
    <row r="733" spans="2:16" ht="15" outlineLevel="1" thickTop="1" x14ac:dyDescent="0.35">
      <c r="B733" s="85" t="s">
        <v>104</v>
      </c>
      <c r="C733" s="188"/>
      <c r="D733" s="189"/>
      <c r="E733" s="190" cm="1">
        <f t="array" aca="1" ref="E733:E735" ca="1" xml:space="preserve"> M733:M735 / calc_fxrate</f>
        <v>0</v>
      </c>
      <c r="F733" s="191" t="str">
        <f t="shared" ref="F733:F736" ca="1" si="32">IF(ROUND(E733-D733-C733,5)=0,"","CHECK")</f>
        <v/>
      </c>
      <c r="J733" s="85" t="s">
        <v>104</v>
      </c>
      <c r="K733" s="192" cm="1">
        <f t="array" aca="1" ref="K733:M733" ca="1" xml:space="preserve"> K734:M734 + K735:M735</f>
        <v>0</v>
      </c>
      <c r="L733" s="193">
        <f ca="1"/>
        <v>0</v>
      </c>
      <c r="M733" s="194">
        <f ca="1"/>
        <v>0</v>
      </c>
    </row>
    <row r="734" spans="2:16" outlineLevel="1" x14ac:dyDescent="0.35">
      <c r="B734" s="195" t="s">
        <v>105</v>
      </c>
      <c r="C734" s="196"/>
      <c r="D734" s="197"/>
      <c r="E734" s="198">
        <f ca="1"/>
        <v>0</v>
      </c>
      <c r="F734" s="191" t="str">
        <f t="shared" ca="1" si="32"/>
        <v/>
      </c>
      <c r="J734" s="195" t="s">
        <v>105</v>
      </c>
      <c r="K734" s="199"/>
      <c r="L734" s="200"/>
      <c r="M734" s="201">
        <f ca="1" xml:space="preserve"> Storage_Algorithm!AS2</f>
        <v>0</v>
      </c>
    </row>
    <row r="735" spans="2:16" outlineLevel="1" x14ac:dyDescent="0.35">
      <c r="B735" s="195" t="s">
        <v>106</v>
      </c>
      <c r="C735" s="196"/>
      <c r="D735" s="197"/>
      <c r="E735" s="198">
        <f ca="1"/>
        <v>0</v>
      </c>
      <c r="F735" s="191" t="str">
        <f t="shared" ca="1" si="32"/>
        <v/>
      </c>
      <c r="J735" s="195" t="s">
        <v>106</v>
      </c>
      <c r="K735" s="199"/>
      <c r="L735" s="200"/>
      <c r="M735" s="201">
        <f xml:space="preserve"> Storage_Algorithm!AT2</f>
        <v>0</v>
      </c>
    </row>
    <row r="736" spans="2:16" ht="15" outlineLevel="1" thickBot="1" x14ac:dyDescent="0.4">
      <c r="B736" s="85" t="s">
        <v>107</v>
      </c>
      <c r="C736" s="202"/>
      <c r="D736" s="203"/>
      <c r="E736" s="204"/>
      <c r="F736" s="191" t="str">
        <f t="shared" si="32"/>
        <v/>
      </c>
      <c r="J736" s="85" t="s">
        <v>107</v>
      </c>
      <c r="K736" s="205"/>
      <c r="L736" s="206"/>
      <c r="M736" s="207"/>
    </row>
    <row r="737" spans="2:16" ht="15" outlineLevel="1" thickTop="1" x14ac:dyDescent="0.35">
      <c r="B737" s="208" t="s">
        <v>108</v>
      </c>
      <c r="C737" s="209">
        <f ca="1">C732+C733+C736</f>
        <v>1629.4101467263508</v>
      </c>
      <c r="D737" s="210">
        <f ca="1">D732+D733+D736</f>
        <v>238.04814318130229</v>
      </c>
      <c r="E737" s="210">
        <f ca="1">E732+E733+E736</f>
        <v>1867.4582899076531</v>
      </c>
      <c r="F737" s="49" t="str">
        <f ca="1">IF(ROUND(E737-D737-C737,5)=0,"","CHECK")</f>
        <v/>
      </c>
      <c r="J737" s="208" t="s">
        <v>108</v>
      </c>
      <c r="K737" s="211">
        <f ca="1">K732+K733+K736</f>
        <v>1629.4101467263508</v>
      </c>
      <c r="L737" s="212">
        <f ca="1">L732+L733+L736</f>
        <v>0</v>
      </c>
      <c r="M737" s="212">
        <f ca="1">M732+M733+M736</f>
        <v>1867.4582899076531</v>
      </c>
    </row>
    <row r="738" spans="2:16" outlineLevel="1" x14ac:dyDescent="0.35"/>
    <row r="739" spans="2:16" outlineLevel="1" x14ac:dyDescent="0.35">
      <c r="J739" s="74" t="str">
        <f ca="1" xml:space="preserve"> IF( G23 &gt; 0, "The Total expected loss corresponds to " &amp; FIXED(result_expectedloss_total / G23 * 1000, 2) &amp; "‰ of the turnover.", "")</f>
        <v>The Total expected loss corresponds to 0,12‰ of the turnover.</v>
      </c>
    </row>
    <row r="740" spans="2:16" outlineLevel="1" x14ac:dyDescent="0.35"/>
    <row r="741" spans="2:16" outlineLevel="1" x14ac:dyDescent="0.35">
      <c r="B741" s="15" t="s">
        <v>109</v>
      </c>
      <c r="C741" s="15"/>
      <c r="D741" s="15"/>
      <c r="E741" s="15"/>
      <c r="F741" s="15"/>
      <c r="G741" s="15"/>
      <c r="H741" s="15"/>
      <c r="I741" s="15"/>
      <c r="J741" s="15"/>
      <c r="K741" s="15"/>
      <c r="L741" s="15"/>
      <c r="M741" s="15"/>
      <c r="N741" s="15"/>
      <c r="O741" s="15"/>
      <c r="P741" s="15"/>
    </row>
    <row r="742" spans="2:16" outlineLevel="1" x14ac:dyDescent="0.35"/>
    <row r="743" spans="2:16" ht="15.5" outlineLevel="1" x14ac:dyDescent="0.35">
      <c r="B743" s="435" t="s">
        <v>1987</v>
      </c>
      <c r="C743" s="74" t="s">
        <v>1988</v>
      </c>
      <c r="D743" s="74" t="s">
        <v>1989</v>
      </c>
      <c r="F743" s="435" t="s">
        <v>56</v>
      </c>
      <c r="G743" s="74" t="s">
        <v>1988</v>
      </c>
      <c r="H743" s="74" t="s">
        <v>1989</v>
      </c>
      <c r="J743" s="435" t="s">
        <v>102</v>
      </c>
      <c r="K743" s="74" t="s">
        <v>1988</v>
      </c>
      <c r="L743" s="74" t="s">
        <v>1989</v>
      </c>
    </row>
    <row r="744" spans="2:16" outlineLevel="1" x14ac:dyDescent="0.35">
      <c r="B744" s="74" t="s">
        <v>1938</v>
      </c>
      <c r="C744" s="171">
        <f ca="1">E732</f>
        <v>1867.4582899076531</v>
      </c>
      <c r="D744" s="171">
        <f ca="1">E732</f>
        <v>1867.4582899076531</v>
      </c>
      <c r="F744" s="74" t="s">
        <v>1938</v>
      </c>
      <c r="G744" s="147">
        <f ca="1">E733</f>
        <v>0</v>
      </c>
      <c r="H744" s="147">
        <f ca="1">E733</f>
        <v>0</v>
      </c>
      <c r="J744" s="74" t="s">
        <v>1938</v>
      </c>
      <c r="K744" s="171">
        <f ca="1">E737</f>
        <v>1867.4582899076531</v>
      </c>
      <c r="L744" s="171">
        <f ca="1">E737</f>
        <v>1867.4582899076531</v>
      </c>
    </row>
    <row r="745" spans="2:16" outlineLevel="1" x14ac:dyDescent="0.35">
      <c r="B745" s="74" t="s">
        <v>1990</v>
      </c>
      <c r="D745" s="171" t="e">
        <f ca="1">D750 * calc_coc_ivc_ri</f>
        <v>#REF!</v>
      </c>
      <c r="F745" s="74" t="s">
        <v>1990</v>
      </c>
      <c r="H745" s="171" t="e">
        <f ca="1">H750 * calc_coc_ivc_ri</f>
        <v>#REF!</v>
      </c>
      <c r="J745" s="74" t="s">
        <v>1990</v>
      </c>
      <c r="L745" s="171" t="e">
        <f ca="1">L750 * calc_coc_ivc_ri</f>
        <v>#REF!</v>
      </c>
    </row>
    <row r="746" spans="2:16" outlineLevel="1" x14ac:dyDescent="0.35">
      <c r="B746" s="74" t="s">
        <v>1991</v>
      </c>
      <c r="D746" s="171" t="e">
        <f ca="1">D750-D748</f>
        <v>#REF!</v>
      </c>
      <c r="F746" s="74" t="s">
        <v>1991</v>
      </c>
      <c r="H746" s="171" t="e">
        <f ca="1">H750-H748</f>
        <v>#REF!</v>
      </c>
      <c r="J746" s="74" t="s">
        <v>1991</v>
      </c>
      <c r="L746" s="171" t="e">
        <f ca="1">L750-L748</f>
        <v>#REF!</v>
      </c>
    </row>
    <row r="747" spans="2:16" outlineLevel="1" x14ac:dyDescent="0.35"/>
    <row r="748" spans="2:16" outlineLevel="1" x14ac:dyDescent="0.35">
      <c r="B748" s="74" t="s">
        <v>1992</v>
      </c>
      <c r="D748" s="168" t="e">
        <f ca="1" xml:space="preserve"> D750 * SUM($C712:$C714, $C716:$C717)</f>
        <v>#REF!</v>
      </c>
      <c r="F748" s="74" t="s">
        <v>1992</v>
      </c>
      <c r="H748" s="168" t="e">
        <f ca="1" xml:space="preserve"> H750 * SUM($C712:$C714, $C716:$C717)</f>
        <v>#REF!</v>
      </c>
      <c r="J748" s="74" t="s">
        <v>1992</v>
      </c>
      <c r="L748" s="168" t="e">
        <f ca="1" xml:space="preserve"> L750 * SUM($C712:$C714, $C716:$C717)</f>
        <v>#REF!</v>
      </c>
    </row>
    <row r="749" spans="2:16" outlineLevel="1" x14ac:dyDescent="0.35">
      <c r="L749" s="171"/>
    </row>
    <row r="750" spans="2:16" outlineLevel="1" x14ac:dyDescent="0.35">
      <c r="B750" s="74" t="s">
        <v>1993</v>
      </c>
      <c r="D750" s="168" t="e">
        <f ca="1">D744 / (1 - SUM($C712:$C714, $C716:$C717, calc_coc_ivc_ri) )</f>
        <v>#REF!</v>
      </c>
      <c r="F750" s="74" t="s">
        <v>1993</v>
      </c>
      <c r="H750" s="168" t="e">
        <f ca="1">H744 / (1 - SUM($C712:$C714, $C716:$C717, calc_coc_ivc_ri) )</f>
        <v>#REF!</v>
      </c>
      <c r="J750" s="74" t="s">
        <v>1993</v>
      </c>
      <c r="L750" s="168" t="e">
        <f ca="1">L744 / (1 - SUM($C712:$C714, $C716:$C717, calc_coc_ivc_ri) )</f>
        <v>#REF!</v>
      </c>
    </row>
    <row r="751" spans="2:16" outlineLevel="1" x14ac:dyDescent="0.35"/>
    <row r="752" spans="2:16" outlineLevel="1" x14ac:dyDescent="0.35">
      <c r="J752" s="74" t="s">
        <v>1994</v>
      </c>
      <c r="L752" s="74" t="e">
        <f>IF( \selected_commercialadjustmentflag = "percentage", 0, \selected_commercialadjustmentvalue)</f>
        <v>#NAME?</v>
      </c>
    </row>
    <row r="753" spans="2:14" outlineLevel="1" x14ac:dyDescent="0.35">
      <c r="J753" s="74" t="s">
        <v>1995</v>
      </c>
      <c r="L753" s="74" t="e">
        <f>IF( \selected_commercialadjustmentflag = "fixed value", 0, \selected_commercialadjustmentvalue / 100)</f>
        <v>#NAME?</v>
      </c>
    </row>
    <row r="754" spans="2:14" outlineLevel="1" x14ac:dyDescent="0.35"/>
    <row r="755" spans="2:14" outlineLevel="1" x14ac:dyDescent="0.35"/>
    <row r="756" spans="2:14" outlineLevel="1" x14ac:dyDescent="0.35"/>
    <row r="757" spans="2:14" outlineLevel="1" x14ac:dyDescent="0.35"/>
    <row r="758" spans="2:14" outlineLevel="1" x14ac:dyDescent="0.35"/>
    <row r="759" spans="2:14" ht="29.5" outlineLevel="1" thickBot="1" x14ac:dyDescent="0.4">
      <c r="B759" s="213" t="s">
        <v>1900</v>
      </c>
      <c r="C759" s="101" t="s">
        <v>103</v>
      </c>
      <c r="D759" s="101" t="s">
        <v>104</v>
      </c>
      <c r="E759" s="101" t="s">
        <v>111</v>
      </c>
      <c r="F759" s="101" t="s">
        <v>102</v>
      </c>
      <c r="J759" s="213" t="s">
        <v>110</v>
      </c>
      <c r="K759" s="101" t="s">
        <v>103</v>
      </c>
      <c r="L759" s="101" t="s">
        <v>104</v>
      </c>
      <c r="M759" s="101" t="s">
        <v>111</v>
      </c>
      <c r="N759" s="101" t="s">
        <v>102</v>
      </c>
    </row>
    <row r="760" spans="2:14" ht="15" outlineLevel="1" thickTop="1" x14ac:dyDescent="0.35">
      <c r="B760" s="85" t="s">
        <v>112</v>
      </c>
      <c r="C760" s="214">
        <f ca="1">E732</f>
        <v>1867.4582899076531</v>
      </c>
      <c r="D760" s="215">
        <f ca="1">E733</f>
        <v>0</v>
      </c>
      <c r="E760" s="215">
        <f>E736</f>
        <v>0</v>
      </c>
      <c r="F760" s="190">
        <f ca="1">E737</f>
        <v>1867.4582899076531</v>
      </c>
      <c r="J760" s="85" t="s">
        <v>112</v>
      </c>
      <c r="K760" s="214">
        <f ca="1">C760 * calc_fxrate</f>
        <v>1867.4582899076531</v>
      </c>
      <c r="L760" s="215">
        <f ca="1">D760 * calc_fxrate</f>
        <v>0</v>
      </c>
      <c r="M760" s="215">
        <f>E760 * calc_fxrate</f>
        <v>0</v>
      </c>
      <c r="N760" s="190">
        <f ca="1">F760 * calc_fxrate</f>
        <v>1867.4582899076531</v>
      </c>
    </row>
    <row r="761" spans="2:14" outlineLevel="1" x14ac:dyDescent="0.35">
      <c r="B761" s="85" t="s">
        <v>113</v>
      </c>
      <c r="C761" s="398">
        <f ca="1">IF(calc_exposure_transport_total_EUR=0,"",C760/calc_exposure_transport_total_EUR)</f>
        <v>1.1518483275822815E-4</v>
      </c>
      <c r="D761" s="399">
        <f ca="1">IF(calc_exposure_transport_total_EUR=0,"",D760/calc_exposure_transport_total_EUR)</f>
        <v>0</v>
      </c>
      <c r="E761" s="399">
        <f ca="1">IF(calc_exposure_transport_total_EUR=0,"",E760/calc_exposure_transport_total_EUR)</f>
        <v>0</v>
      </c>
      <c r="F761" s="400">
        <f ca="1">IF(calc_exposure_transport_total_EUR=0,"",F760/calc_exposure_transport_total_EUR)</f>
        <v>1.1518483275822815E-4</v>
      </c>
      <c r="J761" s="85" t="s">
        <v>113</v>
      </c>
      <c r="K761" s="398">
        <f ca="1">IF(calc_exposure_transport_total_EUR=0,"",K760/calc_exposure_transport_total_EUR)</f>
        <v>1.1518483275822815E-4</v>
      </c>
      <c r="L761" s="399">
        <f ca="1">IF(calc_exposure_transport_total_EUR=0,"",L760/calc_exposure_transport_total_EUR)</f>
        <v>0</v>
      </c>
      <c r="M761" s="399">
        <f ca="1">IF(calc_exposure_transport_total_EUR=0,"",M760/calc_exposure_transport_total_EUR)</f>
        <v>0</v>
      </c>
      <c r="N761" s="400">
        <f ca="1">IF(calc_exposure_transport_total_EUR=0,"",N760/calc_exposure_transport_total_EUR)</f>
        <v>1.1518483275822815E-4</v>
      </c>
    </row>
    <row r="762" spans="2:14" outlineLevel="1" x14ac:dyDescent="0.35">
      <c r="B762" s="85"/>
      <c r="C762" s="395"/>
      <c r="D762" s="396"/>
      <c r="E762" s="396"/>
      <c r="F762" s="397"/>
      <c r="J762" s="85"/>
      <c r="K762" s="395"/>
      <c r="L762" s="396"/>
      <c r="M762" s="396"/>
      <c r="N762" s="397"/>
    </row>
    <row r="763" spans="2:14" outlineLevel="1" x14ac:dyDescent="0.35">
      <c r="B763" s="85" t="s">
        <v>114</v>
      </c>
      <c r="C763" s="216" cm="1">
        <f t="array" aca="1" ref="C763:E764" ca="1" xml:space="preserve"> F763:F764 * (C760:E760 / calc_expectedloss_EUR)</f>
        <v>5236.1087046184266</v>
      </c>
      <c r="D763" s="217">
        <f ca="1"/>
        <v>0</v>
      </c>
      <c r="E763" s="217">
        <f ca="1"/>
        <v>0</v>
      </c>
      <c r="F763" s="218">
        <f ca="1" xml:space="preserve"> calc_riskpremium_EUR - calc_expectedloss_EUR</f>
        <v>5236.1087046184266</v>
      </c>
      <c r="J763" s="85" t="s">
        <v>114</v>
      </c>
      <c r="K763" s="216">
        <f t="shared" ref="K763:M764" ca="1" si="33">C763 * calc_fxrate</f>
        <v>5236.1087046184266</v>
      </c>
      <c r="L763" s="217">
        <f t="shared" ca="1" si="33"/>
        <v>0</v>
      </c>
      <c r="M763" s="217">
        <f t="shared" ca="1" si="33"/>
        <v>0</v>
      </c>
      <c r="N763" s="218">
        <v>5236.1087046184266</v>
      </c>
    </row>
    <row r="764" spans="2:14" outlineLevel="1" x14ac:dyDescent="0.35">
      <c r="B764" s="85" t="s">
        <v>115</v>
      </c>
      <c r="C764" s="216">
        <f ca="1"/>
        <v>7103.5669945260797</v>
      </c>
      <c r="D764" s="217">
        <f ca="1"/>
        <v>0</v>
      </c>
      <c r="E764" s="217">
        <f ca="1"/>
        <v>0</v>
      </c>
      <c r="F764" s="71">
        <f ca="1" xml:space="preserve"> calc_riskpremium_polCur / calc_fxrate</f>
        <v>7103.5669945260797</v>
      </c>
      <c r="J764" s="85" t="s">
        <v>115</v>
      </c>
      <c r="K764" s="216">
        <f t="shared" ca="1" si="33"/>
        <v>7103.5669945260797</v>
      </c>
      <c r="L764" s="217">
        <f t="shared" ca="1" si="33"/>
        <v>0</v>
      </c>
      <c r="M764" s="217">
        <f t="shared" ca="1" si="33"/>
        <v>0</v>
      </c>
      <c r="N764" s="71">
        <f ca="1" xml:space="preserve"> calc_volatilityloading_polCur + N760</f>
        <v>7103.5669945260797</v>
      </c>
    </row>
    <row r="765" spans="2:14" outlineLevel="1" x14ac:dyDescent="0.35">
      <c r="B765" s="85" t="s">
        <v>116</v>
      </c>
      <c r="C765" s="398">
        <f ca="1">IF(calc_exposure_transport_total_EUR=0,"",C764/calc_exposure_transport_total_EUR)</f>
        <v>4.3814803290295577E-4</v>
      </c>
      <c r="D765" s="399">
        <f ca="1">IF(calc_exposure_transport_total_EUR=0,"",D764/calc_exposure_transport_total_EUR)</f>
        <v>0</v>
      </c>
      <c r="E765" s="399">
        <f ca="1">IF(calc_exposure_transport_total_EUR=0,"",E764/calc_exposure_transport_total_EUR)</f>
        <v>0</v>
      </c>
      <c r="F765" s="400">
        <f ca="1">IF(calc_exposure_transport_total_EUR=0,"",F764/calc_exposure_transport_total_EUR)</f>
        <v>4.3814803290295577E-4</v>
      </c>
      <c r="J765" s="85" t="s">
        <v>116</v>
      </c>
      <c r="K765" s="398">
        <f ca="1">IF(calc_exposure_transport_total_EUR=0,"",K764/calc_exposure_transport_total_EUR)</f>
        <v>4.3814803290295577E-4</v>
      </c>
      <c r="L765" s="399">
        <f ca="1">IF(calc_exposure_transport_total_EUR=0,"",L764/calc_exposure_transport_total_EUR)</f>
        <v>0</v>
      </c>
      <c r="M765" s="399">
        <f ca="1">IF(calc_exposure_transport_total_EUR=0,"",M764/calc_exposure_transport_total_EUR)</f>
        <v>0</v>
      </c>
      <c r="N765" s="400">
        <f ca="1">IF(calc_exposure_transport_total_EUR=0,"",N764/calc_exposure_transport_total_EUR)</f>
        <v>4.3814803290295577E-4</v>
      </c>
    </row>
    <row r="766" spans="2:14" outlineLevel="1" x14ac:dyDescent="0.35">
      <c r="B766" s="85"/>
      <c r="C766" s="216"/>
      <c r="D766" s="217"/>
      <c r="E766" s="217"/>
      <c r="F766" s="71"/>
      <c r="J766" s="85"/>
      <c r="K766" s="216"/>
      <c r="L766" s="217"/>
      <c r="M766" s="217"/>
      <c r="N766" s="71"/>
    </row>
    <row r="767" spans="2:14" outlineLevel="1" x14ac:dyDescent="0.35">
      <c r="B767" s="85" t="s">
        <v>117</v>
      </c>
      <c r="C767" s="216" cm="1">
        <f t="array" aca="1" ref="C767:E770" ca="1">_xlfn.ANCHORARRAY( F767) * (C760:E760 / calc_expectedloss_EUR)</f>
        <v>107439.80986889552</v>
      </c>
      <c r="D767" s="217">
        <f ca="1"/>
        <v>0</v>
      </c>
      <c r="E767" s="217">
        <f ca="1"/>
        <v>0</v>
      </c>
      <c r="F767" s="71" cm="1">
        <f t="array" aca="1" ref="F767:F770" ca="1" xml:space="preserve"> N767:N770 / calc_fxrate</f>
        <v>107439.80986889552</v>
      </c>
      <c r="J767" s="85" t="s">
        <v>117</v>
      </c>
      <c r="K767" s="216">
        <f t="shared" ref="K767:M770" ca="1" si="34">C767 * calc_fxrate</f>
        <v>107439.80986889552</v>
      </c>
      <c r="L767" s="217">
        <f t="shared" ca="1" si="34"/>
        <v>0</v>
      </c>
      <c r="M767" s="217">
        <f t="shared" ca="1" si="34"/>
        <v>0</v>
      </c>
      <c r="N767" s="71">
        <f ca="1" xml:space="preserve"> N768 - calc_riskpremium_polCur</f>
        <v>107439.80986889552</v>
      </c>
    </row>
    <row r="768" spans="2:14" outlineLevel="1" x14ac:dyDescent="0.35">
      <c r="B768" s="85" t="s">
        <v>118</v>
      </c>
      <c r="C768" s="216">
        <f ca="1"/>
        <v>114543.3768634216</v>
      </c>
      <c r="D768" s="217">
        <f ca="1"/>
        <v>0</v>
      </c>
      <c r="E768" s="217">
        <f ca="1"/>
        <v>0</v>
      </c>
      <c r="F768" s="71">
        <f ca="1"/>
        <v>114543.3768634216</v>
      </c>
      <c r="J768" s="85" t="s">
        <v>118</v>
      </c>
      <c r="K768" s="216">
        <f t="shared" ca="1" si="34"/>
        <v>114543.3768634216</v>
      </c>
      <c r="L768" s="217">
        <f t="shared" ca="1" si="34"/>
        <v>0</v>
      </c>
      <c r="M768" s="217">
        <f t="shared" ca="1" si="34"/>
        <v>0</v>
      </c>
      <c r="N768" s="71">
        <f xml:space="preserve"> calc_technicalpremium_polCur - N769</f>
        <v>114543.3768634216</v>
      </c>
    </row>
    <row r="769" spans="2:15" outlineLevel="1" x14ac:dyDescent="0.35">
      <c r="B769" s="85" t="s">
        <v>119</v>
      </c>
      <c r="C769" s="216">
        <f ca="1"/>
        <v>0</v>
      </c>
      <c r="D769" s="217">
        <f ca="1"/>
        <v>0</v>
      </c>
      <c r="E769" s="217">
        <f ca="1"/>
        <v>0</v>
      </c>
      <c r="F769" s="71">
        <f ca="1"/>
        <v>0</v>
      </c>
      <c r="J769" s="85" t="s">
        <v>119</v>
      </c>
      <c r="K769" s="216">
        <f t="shared" ca="1" si="34"/>
        <v>0</v>
      </c>
      <c r="L769" s="217">
        <f t="shared" ca="1" si="34"/>
        <v>0</v>
      </c>
      <c r="M769" s="217">
        <f t="shared" ca="1" si="34"/>
        <v>0</v>
      </c>
      <c r="N769" s="71">
        <f xml:space="preserve"> calc_technicalpremium_polCur * calc_brokerage</f>
        <v>0</v>
      </c>
    </row>
    <row r="770" spans="2:15" outlineLevel="1" x14ac:dyDescent="0.35">
      <c r="B770" s="85" t="s">
        <v>120</v>
      </c>
      <c r="C770" s="216">
        <f ca="1"/>
        <v>114543.3768634216</v>
      </c>
      <c r="D770" s="217">
        <f ca="1"/>
        <v>0</v>
      </c>
      <c r="E770" s="217">
        <f ca="1"/>
        <v>0</v>
      </c>
      <c r="F770" s="71">
        <f ca="1"/>
        <v>114543.3768634216</v>
      </c>
      <c r="J770" s="85" t="s">
        <v>120</v>
      </c>
      <c r="K770" s="216">
        <f t="shared" ca="1" si="34"/>
        <v>114543.3768634216</v>
      </c>
      <c r="L770" s="217">
        <f t="shared" ca="1" si="34"/>
        <v>0</v>
      </c>
      <c r="M770" s="217">
        <f t="shared" ca="1" si="34"/>
        <v>0</v>
      </c>
      <c r="N770" s="71">
        <f xml:space="preserve"> calc_technicalpremium_polCur_from_ELC + \parameter_premiumPerLocalPolicy_EUR * IF( AND( calc_midmarket, \selected_ipflag = "Yes" ), \selected_ip_numberLocalPolicies, 0 )</f>
        <v>114543.3768634216</v>
      </c>
      <c r="O770" s="74">
        <v>114543.3768634216</v>
      </c>
    </row>
    <row r="771" spans="2:15" outlineLevel="1" x14ac:dyDescent="0.35">
      <c r="B771" s="85" t="s">
        <v>121</v>
      </c>
      <c r="C771" s="398">
        <f ca="1">IF(calc_exposure_transport_total_EUR=0,"",C770/calc_exposure_transport_total_EUR)</f>
        <v>7.0650358184055351E-3</v>
      </c>
      <c r="D771" s="399">
        <f ca="1">IF(calc_exposure_transport_total_EUR=0,"",D770/calc_exposure_transport_total_EUR)</f>
        <v>0</v>
      </c>
      <c r="E771" s="399">
        <f ca="1">IF(calc_exposure_transport_total_EUR=0,"",E770/calc_exposure_transport_total_EUR)</f>
        <v>0</v>
      </c>
      <c r="F771" s="400">
        <f ca="1">IF(calc_exposure_transport_total_EUR=0,"",F770/calc_exposure_transport_total_EUR)</f>
        <v>7.0650358184055351E-3</v>
      </c>
      <c r="J771" s="85" t="s">
        <v>121</v>
      </c>
      <c r="K771" s="398">
        <f ca="1">IF(calc_exposure_transport_total_EUR=0,"",K770/calc_exposure_transport_total_EUR)</f>
        <v>7.0650358184055351E-3</v>
      </c>
      <c r="L771" s="399">
        <f ca="1">IF(calc_exposure_transport_total_EUR=0,"",L770/calc_exposure_transport_total_EUR)</f>
        <v>0</v>
      </c>
      <c r="M771" s="399">
        <f ca="1">IF(calc_exposure_transport_total_EUR=0,"",M770/calc_exposure_transport_total_EUR)</f>
        <v>0</v>
      </c>
      <c r="N771" s="400">
        <f ca="1">IF(calc_exposure_transport_total_EUR=0,"",N770/calc_exposure_transport_total_EUR)</f>
        <v>7.0650358184055351E-3</v>
      </c>
    </row>
    <row r="772" spans="2:15" outlineLevel="1" x14ac:dyDescent="0.35">
      <c r="B772" s="85"/>
      <c r="C772" s="219"/>
      <c r="D772" s="220"/>
      <c r="E772" s="220"/>
      <c r="F772" s="72"/>
      <c r="J772" s="85"/>
      <c r="K772" s="219"/>
      <c r="L772" s="220"/>
      <c r="M772" s="220"/>
      <c r="N772" s="72"/>
    </row>
    <row r="773" spans="2:15" outlineLevel="1" x14ac:dyDescent="0.35">
      <c r="B773" s="85" t="s">
        <v>1996</v>
      </c>
      <c r="C773" s="216"/>
      <c r="D773" s="217"/>
      <c r="E773" s="217"/>
      <c r="F773" s="12" t="e">
        <f ca="1">F770 * L753 + L752</f>
        <v>#NAME?</v>
      </c>
      <c r="J773" s="85" t="s">
        <v>1996</v>
      </c>
      <c r="K773" s="216"/>
      <c r="L773" s="217"/>
      <c r="M773" s="217"/>
      <c r="N773" s="12" t="e">
        <f ca="1">F773 * calc_fxrate</f>
        <v>#NAME?</v>
      </c>
    </row>
    <row r="774" spans="2:15" outlineLevel="1" x14ac:dyDescent="0.35">
      <c r="B774" s="85" t="s">
        <v>123</v>
      </c>
      <c r="C774" s="216"/>
      <c r="D774" s="217"/>
      <c r="E774" s="217"/>
      <c r="F774" s="218" t="e">
        <f ca="1">F773+F770</f>
        <v>#NAME?</v>
      </c>
      <c r="J774" s="85" t="s">
        <v>123</v>
      </c>
      <c r="K774" s="216"/>
      <c r="L774" s="217"/>
      <c r="M774" s="217"/>
      <c r="N774" s="218" t="e">
        <f ca="1">F774 * calc_fxrate</f>
        <v>#NAME?</v>
      </c>
    </row>
    <row r="775" spans="2:15" outlineLevel="1" x14ac:dyDescent="0.35">
      <c r="B775" s="85" t="s">
        <v>124</v>
      </c>
      <c r="C775" s="398"/>
      <c r="D775" s="399"/>
      <c r="E775" s="399"/>
      <c r="F775" s="400" t="e">
        <f ca="1">IF(calc_exposure_transport_total_EUR=0,"",F774/calc_exposure_transport_total_EUR)</f>
        <v>#NAME?</v>
      </c>
      <c r="J775" s="85" t="s">
        <v>124</v>
      </c>
      <c r="K775" s="398"/>
      <c r="L775" s="399"/>
      <c r="M775" s="399"/>
      <c r="N775" s="400" t="e">
        <f ca="1">IF(calc_exposure_transport_total_EUR=0,"",N774/calc_exposure_transport_total_EUR)</f>
        <v>#NAME?</v>
      </c>
    </row>
    <row r="776" spans="2:15" outlineLevel="1" x14ac:dyDescent="0.35">
      <c r="B776" s="85"/>
      <c r="C776" s="219"/>
      <c r="D776" s="220"/>
      <c r="E776" s="220"/>
      <c r="F776" s="221"/>
      <c r="J776" s="85"/>
      <c r="K776" s="219"/>
      <c r="L776" s="220"/>
      <c r="M776" s="220"/>
      <c r="N776" s="221"/>
    </row>
    <row r="777" spans="2:15" outlineLevel="1" x14ac:dyDescent="0.35">
      <c r="B777" s="85" t="s">
        <v>125</v>
      </c>
      <c r="C777" s="219"/>
      <c r="D777" s="220"/>
      <c r="E777" s="220"/>
      <c r="F777" s="221"/>
      <c r="J777" s="85" t="s">
        <v>125</v>
      </c>
      <c r="K777" s="219"/>
      <c r="L777" s="220"/>
      <c r="M777" s="220"/>
      <c r="N777" s="519">
        <f xml:space="preserve"> N770 * \parameter_ambition_margin</f>
        <v>16008.215881202876</v>
      </c>
    </row>
    <row r="778" spans="2:15" outlineLevel="1" x14ac:dyDescent="0.35">
      <c r="B778" s="85" t="s">
        <v>126</v>
      </c>
      <c r="C778" s="219"/>
      <c r="D778" s="220"/>
      <c r="E778" s="220"/>
      <c r="F778" s="221"/>
      <c r="J778" s="85" t="s">
        <v>126</v>
      </c>
      <c r="K778" s="219"/>
      <c r="L778" s="220"/>
      <c r="M778" s="220"/>
      <c r="N778" s="519">
        <f xml:space="preserve"> N777 + N770</f>
        <v>130551.59274462448</v>
      </c>
    </row>
    <row r="779" spans="2:15" outlineLevel="1" x14ac:dyDescent="0.35">
      <c r="B779" s="85" t="s">
        <v>127</v>
      </c>
      <c r="C779" s="219"/>
      <c r="D779" s="220"/>
      <c r="E779" s="220"/>
      <c r="F779" s="221"/>
      <c r="J779" s="85" t="s">
        <v>127</v>
      </c>
      <c r="K779" s="219"/>
      <c r="L779" s="220"/>
      <c r="M779" s="220"/>
      <c r="N779" s="520">
        <f ca="1" xml:space="preserve"> N778 / calc_exposure_transport_total_EUR</f>
        <v>8.0524226205627852E-3</v>
      </c>
    </row>
    <row r="780" spans="2:15" outlineLevel="1" x14ac:dyDescent="0.35">
      <c r="B780" s="85"/>
      <c r="C780" s="219"/>
      <c r="D780" s="220"/>
      <c r="E780" s="220"/>
      <c r="F780" s="221"/>
      <c r="J780" s="85"/>
      <c r="K780" s="219"/>
      <c r="L780" s="220"/>
      <c r="M780" s="220"/>
      <c r="N780" s="221"/>
    </row>
    <row r="781" spans="2:15" ht="29" outlineLevel="1" x14ac:dyDescent="0.35">
      <c r="B781" s="85" t="s">
        <v>128</v>
      </c>
      <c r="C781" s="219"/>
      <c r="D781" s="220"/>
      <c r="E781" s="220"/>
      <c r="F781" s="221"/>
      <c r="J781" s="85" t="s">
        <v>128</v>
      </c>
      <c r="K781" s="219"/>
      <c r="L781" s="220"/>
      <c r="M781" s="220"/>
      <c r="N781" s="519" t="e">
        <f xml:space="preserve"> N778 * \selected_commercialadjustmentvalue / 100</f>
        <v>#NAME?</v>
      </c>
    </row>
    <row r="782" spans="2:15" outlineLevel="1" x14ac:dyDescent="0.35">
      <c r="B782" s="85" t="s">
        <v>129</v>
      </c>
      <c r="C782" s="219"/>
      <c r="D782" s="220"/>
      <c r="E782" s="220"/>
      <c r="F782" s="221"/>
      <c r="J782" s="85" t="s">
        <v>129</v>
      </c>
      <c r="K782" s="219"/>
      <c r="L782" s="220"/>
      <c r="M782" s="220"/>
      <c r="N782" s="519" t="e">
        <f xml:space="preserve"> N781 + N778</f>
        <v>#NAME?</v>
      </c>
    </row>
    <row r="783" spans="2:15" outlineLevel="1" x14ac:dyDescent="0.35">
      <c r="B783" s="85" t="s">
        <v>130</v>
      </c>
      <c r="C783" s="219"/>
      <c r="D783" s="220"/>
      <c r="E783" s="220"/>
      <c r="F783" s="221"/>
      <c r="J783" s="85" t="s">
        <v>130</v>
      </c>
      <c r="K783" s="219"/>
      <c r="L783" s="220"/>
      <c r="M783" s="220"/>
      <c r="N783" s="520" t="e">
        <f ca="1" xml:space="preserve"> N782 / calc_exposure_transport_total_EUR</f>
        <v>#NAME?</v>
      </c>
    </row>
    <row r="784" spans="2:15" outlineLevel="1" x14ac:dyDescent="0.35">
      <c r="B784" s="85"/>
      <c r="C784" s="219"/>
      <c r="D784" s="220"/>
      <c r="E784" s="220"/>
      <c r="F784" s="221"/>
      <c r="J784" s="85"/>
      <c r="K784" s="219"/>
      <c r="L784" s="220"/>
      <c r="M784" s="220"/>
      <c r="N784" s="221"/>
    </row>
    <row r="785" spans="2:16" outlineLevel="1" x14ac:dyDescent="0.35">
      <c r="B785" s="85" t="s">
        <v>131</v>
      </c>
      <c r="C785" s="216"/>
      <c r="D785" s="217"/>
      <c r="E785" s="217"/>
      <c r="F785" s="71" t="e">
        <f>N785 / calc_fxrate</f>
        <v>#NAME?</v>
      </c>
      <c r="J785" s="85" t="s">
        <v>131</v>
      </c>
      <c r="K785" s="216"/>
      <c r="L785" s="217"/>
      <c r="M785" s="217"/>
      <c r="N785" s="71" t="e">
        <f xml:space="preserve"> \selected_achievedpremiumvalue</f>
        <v>#NAME?</v>
      </c>
    </row>
    <row r="786" spans="2:16" outlineLevel="1" x14ac:dyDescent="0.35">
      <c r="B786" s="85" t="s">
        <v>132</v>
      </c>
      <c r="C786" s="398"/>
      <c r="D786" s="399"/>
      <c r="E786" s="399"/>
      <c r="F786" s="400" t="e">
        <f ca="1">IF(calc_exposure_transport_total_EUR=0,"",F785/calc_exposure_transport_total_EUR)</f>
        <v>#NAME?</v>
      </c>
      <c r="J786" s="85" t="s">
        <v>132</v>
      </c>
      <c r="K786" s="398"/>
      <c r="L786" s="399"/>
      <c r="M786" s="399"/>
      <c r="N786" s="400" t="e">
        <f ca="1">IF(calc_exposure_transport_total_EUR=0,"",N785/calc_exposure_transport_total_EUR)</f>
        <v>#NAME?</v>
      </c>
    </row>
    <row r="787" spans="2:16" ht="15" outlineLevel="1" thickBot="1" x14ac:dyDescent="0.4">
      <c r="B787" s="85" t="s">
        <v>133</v>
      </c>
      <c r="C787" s="222"/>
      <c r="D787" s="223"/>
      <c r="E787" s="223"/>
      <c r="F787" s="73" t="e">
        <f ca="1">IF(F770=0,"",F785/F770)</f>
        <v>#NAME?</v>
      </c>
      <c r="J787" s="85" t="s">
        <v>133</v>
      </c>
      <c r="K787" s="222"/>
      <c r="L787" s="223"/>
      <c r="M787" s="223"/>
      <c r="N787" s="73" t="e">
        <f>IF(N770=0,"",N785/N770)</f>
        <v>#NAME?</v>
      </c>
    </row>
    <row r="788" spans="2:16" ht="15" thickTop="1" x14ac:dyDescent="0.35"/>
    <row r="791" spans="2:16" x14ac:dyDescent="0.35">
      <c r="B791" s="15" t="s">
        <v>4612</v>
      </c>
      <c r="C791" s="15"/>
      <c r="D791" s="15"/>
      <c r="E791" s="15"/>
      <c r="F791" s="15"/>
      <c r="G791" s="15"/>
      <c r="H791" s="15"/>
      <c r="I791" s="15"/>
      <c r="J791" s="15"/>
      <c r="K791" s="15"/>
      <c r="L791" s="15"/>
      <c r="M791" s="15"/>
      <c r="N791" s="15"/>
      <c r="O791" s="15"/>
      <c r="P791" s="15"/>
    </row>
    <row r="793" spans="2:16" ht="15" thickBot="1" x14ac:dyDescent="0.4">
      <c r="B793" s="950" t="s">
        <v>4623</v>
      </c>
      <c r="C793" s="950"/>
      <c r="E793" s="950" t="s">
        <v>4624</v>
      </c>
      <c r="F793" s="950"/>
    </row>
    <row r="794" spans="2:16" x14ac:dyDescent="0.35">
      <c r="B794" s="85" t="s">
        <v>4613</v>
      </c>
      <c r="C794" s="847">
        <f ca="1" xml:space="preserve"> calc_expected_loss_polCur</f>
        <v>1867.4582899076531</v>
      </c>
    </row>
    <row r="795" spans="2:16" x14ac:dyDescent="0.35">
      <c r="B795" s="85" t="s">
        <v>4614</v>
      </c>
      <c r="C795" s="848">
        <f xml:space="preserve"> \selected_lossratio</f>
        <v>0</v>
      </c>
      <c r="F795" s="168"/>
    </row>
    <row r="796" spans="2:16" x14ac:dyDescent="0.35">
      <c r="B796" s="85" t="s">
        <v>4615</v>
      </c>
      <c r="C796" s="848">
        <f xml:space="preserve"> C795 / 3</f>
        <v>0</v>
      </c>
    </row>
    <row r="797" spans="2:16" x14ac:dyDescent="0.35">
      <c r="B797" s="85" t="s">
        <v>4650</v>
      </c>
      <c r="C797" s="848">
        <f xml:space="preserve"> C796 * (1 + \parameter_inflation)^2</f>
        <v>0</v>
      </c>
    </row>
    <row r="798" spans="2:16" x14ac:dyDescent="0.35">
      <c r="B798" s="85" t="s">
        <v>4616</v>
      </c>
      <c r="C798" s="848">
        <f ca="1" xml:space="preserve"> MAX( IFERROR(C794, 0), IFERROR(C797, 0) )</f>
        <v>1867.4582899076531</v>
      </c>
    </row>
    <row r="799" spans="2:16" x14ac:dyDescent="0.35">
      <c r="B799" s="85"/>
      <c r="C799" s="849"/>
    </row>
    <row r="800" spans="2:16" x14ac:dyDescent="0.35">
      <c r="B800" s="85" t="s">
        <v>4619</v>
      </c>
      <c r="C800" s="849" t="str">
        <f xml:space="preserve"> Output!D61</f>
        <v>percentage</v>
      </c>
    </row>
    <row r="801" spans="2:6" ht="15" thickBot="1" x14ac:dyDescent="0.4">
      <c r="B801" s="85" t="s">
        <v>4620</v>
      </c>
      <c r="C801" s="850">
        <f xml:space="preserve"> Output!C61</f>
        <v>21</v>
      </c>
    </row>
    <row r="803" spans="2:6" ht="15" thickBot="1" x14ac:dyDescent="0.4">
      <c r="B803" s="815" t="s">
        <v>4647</v>
      </c>
      <c r="E803" s="815" t="s">
        <v>4617</v>
      </c>
    </row>
    <row r="804" spans="2:6" x14ac:dyDescent="0.35">
      <c r="B804" s="85" t="s">
        <v>112</v>
      </c>
      <c r="C804" s="847">
        <f ca="1" xml:space="preserve"> C798</f>
        <v>1867.4582899076531</v>
      </c>
      <c r="E804" s="85" t="s">
        <v>112</v>
      </c>
      <c r="F804" s="847">
        <f ca="1" xml:space="preserve"> F808 - F807</f>
        <v>1867.4582899076531</v>
      </c>
    </row>
    <row r="805" spans="2:6" ht="29" x14ac:dyDescent="0.35">
      <c r="B805" s="85" t="s">
        <v>113</v>
      </c>
      <c r="C805" s="851">
        <f ca="1">C804 / $G$23</f>
        <v>1.1518483275822815E-4</v>
      </c>
      <c r="E805" s="85" t="s">
        <v>113</v>
      </c>
      <c r="F805" s="851">
        <f ca="1">F804 / $G$23</f>
        <v>1.1518483275822815E-4</v>
      </c>
    </row>
    <row r="806" spans="2:6" x14ac:dyDescent="0.35">
      <c r="B806" s="85"/>
      <c r="C806" s="852"/>
      <c r="E806" s="85"/>
      <c r="F806" s="852"/>
    </row>
    <row r="807" spans="2:6" x14ac:dyDescent="0.35">
      <c r="B807" s="85" t="s">
        <v>114</v>
      </c>
      <c r="C807" s="848">
        <f ca="1" xml:space="preserve"> C812 * \parameter_coc_ivc_ri</f>
        <v>172.79791057698969</v>
      </c>
      <c r="E807" s="85" t="s">
        <v>114</v>
      </c>
      <c r="F807" s="848">
        <f ca="1" xml:space="preserve"> calc_alr_vola / C812 * F812</f>
        <v>172.79791057698969</v>
      </c>
    </row>
    <row r="808" spans="2:6" x14ac:dyDescent="0.35">
      <c r="B808" s="85" t="s">
        <v>115</v>
      </c>
      <c r="C808" s="848">
        <f ca="1" xml:space="preserve"> C804 + calc_alr_vola</f>
        <v>2040.2562004846427</v>
      </c>
      <c r="E808" s="85" t="s">
        <v>115</v>
      </c>
      <c r="F808" s="848">
        <f ca="1" xml:space="preserve"> F812 - F811</f>
        <v>2040.2562004846429</v>
      </c>
    </row>
    <row r="809" spans="2:6" ht="29" x14ac:dyDescent="0.35">
      <c r="B809" s="85" t="s">
        <v>116</v>
      </c>
      <c r="C809" s="851">
        <f ca="1">C808 / $G$23</f>
        <v>1.2584300838568277E-4</v>
      </c>
      <c r="E809" s="85" t="s">
        <v>116</v>
      </c>
      <c r="F809" s="851">
        <f ca="1">F808 / $G$23</f>
        <v>1.2584300838568277E-4</v>
      </c>
    </row>
    <row r="810" spans="2:6" x14ac:dyDescent="0.35">
      <c r="B810" s="85"/>
      <c r="C810" s="852"/>
      <c r="E810" s="85"/>
      <c r="F810" s="852"/>
    </row>
    <row r="811" spans="2:6" x14ac:dyDescent="0.35">
      <c r="B811" s="85" t="s">
        <v>117</v>
      </c>
      <c r="C811" s="848">
        <f ca="1" xml:space="preserve"> C812 * (\parameter_decentral_expenses * Parameter!B42 + \parameter_central_expenses)</f>
        <v>670.59351962599044</v>
      </c>
      <c r="E811" s="85" t="s">
        <v>117</v>
      </c>
      <c r="F811" s="848">
        <f ca="1" xml:space="preserve"> calc_alr_expenses / C812 * F812</f>
        <v>670.59351962599044</v>
      </c>
    </row>
    <row r="812" spans="2:6" ht="29.5" thickBot="1" x14ac:dyDescent="0.4">
      <c r="B812" s="816" t="s">
        <v>118</v>
      </c>
      <c r="C812" s="853">
        <f ca="1" xml:space="preserve"> C804 / (1 - \parameter_decentral_expenses * Parameter!B42 - \parameter_central_expenses - \parameter_coc_ivc_ri)</f>
        <v>2710.8497201106334</v>
      </c>
      <c r="E812" s="85" t="s">
        <v>118</v>
      </c>
      <c r="F812" s="848">
        <f ca="1" xml:space="preserve"> C812</f>
        <v>2710.8497201106334</v>
      </c>
    </row>
    <row r="813" spans="2:6" x14ac:dyDescent="0.35">
      <c r="B813" s="812"/>
      <c r="C813" s="817"/>
      <c r="E813" s="85" t="s">
        <v>119</v>
      </c>
      <c r="F813" s="848">
        <f ca="1">F814 - F812</f>
        <v>720.60562180156057</v>
      </c>
    </row>
    <row r="814" spans="2:6" ht="29" x14ac:dyDescent="0.35">
      <c r="B814" s="812"/>
      <c r="C814" s="817"/>
      <c r="E814" s="85" t="s">
        <v>120</v>
      </c>
      <c r="F814" s="848">
        <f ca="1" xml:space="preserve"> _xlfn.LET(_xlpm.value, IF(C800 = "percentage", F812 / (1 - C801 / 100), IF(C800 = "fixed value", F812 + C801, F812)), _xlpm.value + IF( AND(calc_midmarket, _xlpm.value &lt; \parameter_premiumPerLocalPolicy_EUR), \parameter_premiumPerLocalPolicy_EUR - _xlpm.value, 0)) +  \parameter_premiumPerLocalPolicy_EUR * IF( AND(calc_midmarket, \selected_ipflag = "Yes" ), \selected_ip_numberLocalPolicies, 0 )</f>
        <v>3431.4553419121939</v>
      </c>
    </row>
    <row r="815" spans="2:6" ht="29.5" thickBot="1" x14ac:dyDescent="0.4">
      <c r="B815" s="812"/>
      <c r="C815" s="818"/>
      <c r="E815" s="85" t="s">
        <v>121</v>
      </c>
      <c r="F815" s="854">
        <f ca="1">F814 / $G$23</f>
        <v>2.1165217547912681E-4</v>
      </c>
    </row>
    <row r="818" spans="2:8" ht="15" thickBot="1" x14ac:dyDescent="0.4">
      <c r="B818" s="815" t="s">
        <v>4648</v>
      </c>
      <c r="E818" s="815" t="s">
        <v>4648</v>
      </c>
    </row>
    <row r="819" spans="2:8" x14ac:dyDescent="0.35">
      <c r="B819" s="85" t="s">
        <v>112</v>
      </c>
      <c r="C819" s="847">
        <f ca="1" xml:space="preserve"> C794</f>
        <v>1867.4582899076531</v>
      </c>
      <c r="E819" s="85" t="s">
        <v>112</v>
      </c>
      <c r="F819" s="847">
        <f ca="1" xml:space="preserve"> F823 - F822</f>
        <v>1867.4582899076531</v>
      </c>
      <c r="H819" s="74" t="s">
        <v>4649</v>
      </c>
    </row>
    <row r="820" spans="2:8" ht="29" x14ac:dyDescent="0.35">
      <c r="B820" s="85" t="s">
        <v>113</v>
      </c>
      <c r="C820" s="851">
        <f ca="1">C819 / $G$23</f>
        <v>1.1518483275822815E-4</v>
      </c>
      <c r="E820" s="85" t="s">
        <v>113</v>
      </c>
      <c r="F820" s="851">
        <f ca="1">F819 / $G$23</f>
        <v>1.1518483275822815E-4</v>
      </c>
      <c r="H820" s="531">
        <f ca="1" xml:space="preserve"> C797 / F829</f>
        <v>0</v>
      </c>
    </row>
    <row r="821" spans="2:8" x14ac:dyDescent="0.35">
      <c r="B821" s="85"/>
      <c r="C821" s="852"/>
      <c r="E821" s="85"/>
      <c r="F821" s="852"/>
    </row>
    <row r="822" spans="2:8" x14ac:dyDescent="0.35">
      <c r="B822" s="85" t="s">
        <v>114</v>
      </c>
      <c r="C822" s="848">
        <f ca="1" xml:space="preserve"> C827 * \parameter_coc_ivc_ri</f>
        <v>172.79791057698969</v>
      </c>
      <c r="E822" s="85" t="s">
        <v>114</v>
      </c>
      <c r="F822" s="848">
        <f ca="1" xml:space="preserve"> C822 / C827 * F827</f>
        <v>172.79791057698969</v>
      </c>
    </row>
    <row r="823" spans="2:8" x14ac:dyDescent="0.35">
      <c r="B823" s="85" t="s">
        <v>115</v>
      </c>
      <c r="C823" s="848">
        <f ca="1" xml:space="preserve"> C819 + C822</f>
        <v>2040.2562004846427</v>
      </c>
      <c r="E823" s="85" t="s">
        <v>115</v>
      </c>
      <c r="F823" s="848">
        <f ca="1" xml:space="preserve"> F827 - F826</f>
        <v>2040.2562004846429</v>
      </c>
    </row>
    <row r="824" spans="2:8" ht="29" x14ac:dyDescent="0.35">
      <c r="B824" s="85" t="s">
        <v>116</v>
      </c>
      <c r="C824" s="851">
        <f ca="1">C823 / $G$23</f>
        <v>1.2584300838568277E-4</v>
      </c>
      <c r="E824" s="85" t="s">
        <v>116</v>
      </c>
      <c r="F824" s="851">
        <f ca="1">F823 / $G$23</f>
        <v>1.2584300838568277E-4</v>
      </c>
    </row>
    <row r="825" spans="2:8" x14ac:dyDescent="0.35">
      <c r="B825" s="85"/>
      <c r="C825" s="852"/>
      <c r="E825" s="85"/>
      <c r="F825" s="852"/>
    </row>
    <row r="826" spans="2:8" x14ac:dyDescent="0.35">
      <c r="B826" s="85" t="s">
        <v>117</v>
      </c>
      <c r="C826" s="848">
        <f ca="1" xml:space="preserve"> C827 * (\parameter_decentral_expenses * Parameter!B42 + \parameter_central_expenses)</f>
        <v>670.59351962599044</v>
      </c>
      <c r="E826" s="85" t="s">
        <v>117</v>
      </c>
      <c r="F826" s="848">
        <f ca="1" xml:space="preserve"> C826 / C827 * F827</f>
        <v>670.59351962599044</v>
      </c>
    </row>
    <row r="827" spans="2:8" ht="29.5" thickBot="1" x14ac:dyDescent="0.4">
      <c r="B827" s="816" t="s">
        <v>118</v>
      </c>
      <c r="C827" s="853">
        <f ca="1" xml:space="preserve"> C819 / (1 - \parameter_decentral_expenses * Parameter!B42 - \parameter_central_expenses - \parameter_coc_ivc_ri)</f>
        <v>2710.8497201106334</v>
      </c>
      <c r="E827" s="85" t="s">
        <v>118</v>
      </c>
      <c r="F827" s="848">
        <f ca="1" xml:space="preserve"> C827 +  \parameter_premiumPerLocalPolicy_EUR * IF( AND( calc_midmarket, \selected_ipflag = "Yes" ), \selected_ip_numberLocalPolicies, 0 )</f>
        <v>2710.8497201106334</v>
      </c>
    </row>
    <row r="828" spans="2:8" x14ac:dyDescent="0.35">
      <c r="E828" s="85" t="s">
        <v>119</v>
      </c>
      <c r="F828" s="848">
        <f ca="1">F829 - F827</f>
        <v>720.60562180156057</v>
      </c>
    </row>
    <row r="829" spans="2:8" ht="29" x14ac:dyDescent="0.35">
      <c r="E829" s="85" t="s">
        <v>120</v>
      </c>
      <c r="F829" s="848">
        <f ca="1" xml:space="preserve"> IF(C800 = "percentage", F827 / (1 - C801 / 100), IF(C800 = "fixed value", F827 + C801, F827))</f>
        <v>3431.4553419121939</v>
      </c>
    </row>
    <row r="830" spans="2:8" ht="29.5" thickBot="1" x14ac:dyDescent="0.4">
      <c r="E830" s="85" t="s">
        <v>121</v>
      </c>
      <c r="F830" s="854">
        <f ca="1">F829 / $G$23</f>
        <v>2.1165217547912681E-4</v>
      </c>
    </row>
  </sheetData>
  <mergeCells count="3">
    <mergeCell ref="A1:E1"/>
    <mergeCell ref="B793:C793"/>
    <mergeCell ref="E793:F793"/>
  </mergeCells>
  <conditionalFormatting sqref="M561:P576 N350:P368 A585:E596 A38:A42 A70:A72 E38:H42 A73:H121 E70:H72 J35:Q121 A599:A605 C599:C616 A606:C618 A620:A640 A723:D723 A716:A722 M749:P749 M747:P747 M751:P752 A749 I749 I747 A747 C156 B155:P155 A155:A156 A157:C159 D156:P159 D155:E159 A285:I286 K286:M286 P285:P286 L285:M285 A287:Q287 A345:P345 A346:H346 J346:P346 A350:E368 A347:P349 J290:P344 A288:A344 J288:Q289 A498:D503 E498:E502 K559:L576 A619:F619 E599:F618 E620:F640 G716:G717 H717:J723 G753:P776 G751:I752 A750:F776 G750:P750 A748:P748 F498:F503 F364:F368 K364:M368 D716:F716 E721:G721 A777:A783 A784:P788 C777:I783 K777:P783 A504:F530 A531:D534 E531:F531 A541:F584 E533:F534 D537:F540 F532 G351:J352 G354:J355 A535:F535 C536:F536 B537 A536:A540 A122:P142 A148:P154 P144 E144:M144 E145:P147 E143:P143 A143:D147 K711:N722 A711:C715 E711:F717 A37:H37 E35:H36 A34:C36 E34:Q34 A1:P6 A43:H69 A7:I9 L7:P9 A10:P20 A23:P33 A21:D22 F21:P22 B794:B801 K723:P746 A724:J746 A641:F710 A597:F598 K577:P710 A160:P284 A369:F497 K369:P560 G357:J716">
    <cfRule type="expression" dxfId="107" priority="69">
      <formula>ISERROR(A1)</formula>
    </cfRule>
  </conditionalFormatting>
  <conditionalFormatting sqref="F350:M350 F351:F363 K351:M363">
    <cfRule type="expression" dxfId="106" priority="56">
      <formula>ISERROR(F350)</formula>
    </cfRule>
  </conditionalFormatting>
  <conditionalFormatting sqref="B38:D38">
    <cfRule type="expression" dxfId="105" priority="53">
      <formula>ISERROR(B38)</formula>
    </cfRule>
  </conditionalFormatting>
  <conditionalFormatting sqref="B39:C41">
    <cfRule type="expression" dxfId="104" priority="52">
      <formula>ISERROR(B39)</formula>
    </cfRule>
  </conditionalFormatting>
  <conditionalFormatting sqref="D39:D41">
    <cfRule type="expression" dxfId="103" priority="51">
      <formula>ISERROR(D39)</formula>
    </cfRule>
  </conditionalFormatting>
  <conditionalFormatting sqref="I35:I121">
    <cfRule type="expression" dxfId="102" priority="50">
      <formula>ISERROR(I35)</formula>
    </cfRule>
  </conditionalFormatting>
  <conditionalFormatting sqref="B599:C605">
    <cfRule type="expression" dxfId="101" priority="49">
      <formula>ISERROR(B599)</formula>
    </cfRule>
  </conditionalFormatting>
  <conditionalFormatting sqref="B606:C611">
    <cfRule type="expression" dxfId="100" priority="48">
      <formula>ISERROR(B606)</formula>
    </cfRule>
  </conditionalFormatting>
  <conditionalFormatting sqref="B612:C617 C599:C616">
    <cfRule type="expression" dxfId="99" priority="47">
      <formula>ISERROR(B599)</formula>
    </cfRule>
  </conditionalFormatting>
  <conditionalFormatting sqref="D599:D618">
    <cfRule type="expression" dxfId="98" priority="45">
      <formula>ISERROR(D599)</formula>
    </cfRule>
  </conditionalFormatting>
  <conditionalFormatting sqref="D599:D605">
    <cfRule type="expression" dxfId="97" priority="44">
      <formula>ISERROR(D599)</formula>
    </cfRule>
  </conditionalFormatting>
  <conditionalFormatting sqref="D606:D611">
    <cfRule type="expression" dxfId="96" priority="43">
      <formula>ISERROR(D606)</formula>
    </cfRule>
  </conditionalFormatting>
  <conditionalFormatting sqref="D599:D617">
    <cfRule type="expression" dxfId="95" priority="42">
      <formula>ISERROR(D599)</formula>
    </cfRule>
  </conditionalFormatting>
  <conditionalFormatting sqref="D621:D639">
    <cfRule type="expression" dxfId="94" priority="34">
      <formula>ISERROR(D621)</formula>
    </cfRule>
  </conditionalFormatting>
  <conditionalFormatting sqref="B620:D620 C621:C640 B628:B640">
    <cfRule type="expression" dxfId="93" priority="41">
      <formula>ISERROR(B620)</formula>
    </cfRule>
  </conditionalFormatting>
  <conditionalFormatting sqref="B621:C627">
    <cfRule type="expression" dxfId="92" priority="40">
      <formula>ISERROR(B621)</formula>
    </cfRule>
  </conditionalFormatting>
  <conditionalFormatting sqref="B628:C633">
    <cfRule type="expression" dxfId="91" priority="39">
      <formula>ISERROR(B628)</formula>
    </cfRule>
  </conditionalFormatting>
  <conditionalFormatting sqref="B634:C639 C621:C633">
    <cfRule type="expression" dxfId="90" priority="38">
      <formula>ISERROR(B621)</formula>
    </cfRule>
  </conditionalFormatting>
  <conditionalFormatting sqref="D621:D640">
    <cfRule type="expression" dxfId="89" priority="37">
      <formula>ISERROR(D621)</formula>
    </cfRule>
  </conditionalFormatting>
  <conditionalFormatting sqref="D621:D627">
    <cfRule type="expression" dxfId="88" priority="36">
      <formula>ISERROR(D621)</formula>
    </cfRule>
  </conditionalFormatting>
  <conditionalFormatting sqref="D628:D633">
    <cfRule type="expression" dxfId="87" priority="35">
      <formula>ISERROR(D628)</formula>
    </cfRule>
  </conditionalFormatting>
  <conditionalFormatting sqref="B716:B717 B721">
    <cfRule type="expression" dxfId="86" priority="32">
      <formula>ISERROR(B716)</formula>
    </cfRule>
  </conditionalFormatting>
  <conditionalFormatting sqref="C716:C717">
    <cfRule type="expression" dxfId="85" priority="31">
      <formula>ISERROR(C716)</formula>
    </cfRule>
  </conditionalFormatting>
  <conditionalFormatting sqref="C721">
    <cfRule type="expression" dxfId="84" priority="30">
      <formula>ISERROR(C721)</formula>
    </cfRule>
  </conditionalFormatting>
  <conditionalFormatting sqref="C719">
    <cfRule type="expression" dxfId="83" priority="28">
      <formula>ISERROR(C719)</formula>
    </cfRule>
  </conditionalFormatting>
  <conditionalFormatting sqref="B719">
    <cfRule type="expression" dxfId="82" priority="29">
      <formula>ISERROR(B719)</formula>
    </cfRule>
  </conditionalFormatting>
  <conditionalFormatting sqref="L752">
    <cfRule type="expression" dxfId="81" priority="27">
      <formula>ISERROR(L752)</formula>
    </cfRule>
  </conditionalFormatting>
  <conditionalFormatting sqref="J285:K285">
    <cfRule type="expression" dxfId="80" priority="26">
      <formula>ISERROR(J285)</formula>
    </cfRule>
  </conditionalFormatting>
  <conditionalFormatting sqref="B288:I344">
    <cfRule type="expression" dxfId="79" priority="24">
      <formula>ISERROR(B288)</formula>
    </cfRule>
  </conditionalFormatting>
  <conditionalFormatting sqref="G356:J356">
    <cfRule type="expression" dxfId="78" priority="22">
      <formula>ISERROR(G356)</formula>
    </cfRule>
  </conditionalFormatting>
  <conditionalFormatting sqref="B791:P791">
    <cfRule type="expression" dxfId="77" priority="21">
      <formula>ISERROR(B791)</formula>
    </cfRule>
  </conditionalFormatting>
  <conditionalFormatting sqref="B804:B815">
    <cfRule type="expression" dxfId="76" priority="17">
      <formula>ISERROR(B804)</formula>
    </cfRule>
  </conditionalFormatting>
  <conditionalFormatting sqref="B777:B783">
    <cfRule type="expression" dxfId="75" priority="16">
      <formula>ISERROR(B777)</formula>
    </cfRule>
  </conditionalFormatting>
  <conditionalFormatting sqref="J777:J783">
    <cfRule type="expression" dxfId="74" priority="15">
      <formula>ISERROR(J777)</formula>
    </cfRule>
  </conditionalFormatting>
  <conditionalFormatting sqref="Q143:Q146">
    <cfRule type="expression" dxfId="73" priority="14">
      <formula>ISERROR(Q143)</formula>
    </cfRule>
  </conditionalFormatting>
  <conditionalFormatting sqref="R143:R146">
    <cfRule type="expression" dxfId="72" priority="13">
      <formula>ISERROR(R143)</formula>
    </cfRule>
  </conditionalFormatting>
  <conditionalFormatting sqref="Q152">
    <cfRule type="expression" dxfId="71" priority="12">
      <formula>ISERROR(Q152)</formula>
    </cfRule>
  </conditionalFormatting>
  <conditionalFormatting sqref="R152">
    <cfRule type="expression" dxfId="70" priority="11">
      <formula>ISERROR(R152)</formula>
    </cfRule>
  </conditionalFormatting>
  <conditionalFormatting sqref="Q161">
    <cfRule type="expression" dxfId="69" priority="10">
      <formula>ISERROR(Q161)</formula>
    </cfRule>
  </conditionalFormatting>
  <conditionalFormatting sqref="R161">
    <cfRule type="expression" dxfId="68" priority="9">
      <formula>ISERROR(R161)</formula>
    </cfRule>
  </conditionalFormatting>
  <conditionalFormatting sqref="Q168">
    <cfRule type="expression" dxfId="67" priority="8">
      <formula>ISERROR(Q168)</formula>
    </cfRule>
  </conditionalFormatting>
  <conditionalFormatting sqref="R168">
    <cfRule type="expression" dxfId="66" priority="7">
      <formula>ISERROR(R168)</formula>
    </cfRule>
  </conditionalFormatting>
  <conditionalFormatting sqref="G353">
    <cfRule type="expression" dxfId="65" priority="6">
      <formula>ISERROR(G353)</formula>
    </cfRule>
  </conditionalFormatting>
  <conditionalFormatting sqref="H353:J353">
    <cfRule type="expression" dxfId="64" priority="5">
      <formula>ISERROR(H353)</formula>
    </cfRule>
  </conditionalFormatting>
  <conditionalFormatting sqref="D34:D36">
    <cfRule type="expression" dxfId="63" priority="4">
      <formula>ISERROR(D34)</formula>
    </cfRule>
  </conditionalFormatting>
  <conditionalFormatting sqref="E804:E815">
    <cfRule type="expression" dxfId="62" priority="3">
      <formula>ISERROR(E804)</formula>
    </cfRule>
  </conditionalFormatting>
  <conditionalFormatting sqref="B819:B827">
    <cfRule type="expression" dxfId="61" priority="2">
      <formula>ISERROR(B819)</formula>
    </cfRule>
  </conditionalFormatting>
  <conditionalFormatting sqref="E819:E830">
    <cfRule type="expression" dxfId="60" priority="1">
      <formula>ISERROR(E819)</formula>
    </cfRule>
  </conditionalFormatting>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theme="2" tint="-0.249977111117893"/>
  </sheetPr>
  <dimension ref="A1:DT312"/>
  <sheetViews>
    <sheetView topLeftCell="DC1" zoomScale="85" zoomScaleNormal="130" workbookViewId="0">
      <pane ySplit="4" topLeftCell="A5" activePane="bottomLeft" state="frozen"/>
      <selection activeCell="A2" sqref="A2"/>
      <selection pane="bottomLeft" activeCell="DB17" sqref="DB17:DI23"/>
    </sheetView>
  </sheetViews>
  <sheetFormatPr baseColWidth="10" defaultColWidth="3.7265625" defaultRowHeight="14.5" x14ac:dyDescent="0.35"/>
  <cols>
    <col min="1" max="1" width="38.1796875" style="74" bestFit="1" customWidth="1"/>
    <col min="2" max="2" width="13.1796875" style="74" bestFit="1" customWidth="1"/>
    <col min="3" max="3" width="3.7265625" style="74"/>
    <col min="4" max="4" width="8.81640625" style="173" bestFit="1" customWidth="1"/>
    <col min="5" max="5" width="29" style="74" bestFit="1" customWidth="1"/>
    <col min="6" max="6" width="34.1796875" style="74" bestFit="1" customWidth="1"/>
    <col min="7" max="7" width="11.7265625" style="74" bestFit="1" customWidth="1"/>
    <col min="8" max="8" width="3.7265625" style="74"/>
    <col min="9" max="9" width="14.54296875" style="173" bestFit="1" customWidth="1"/>
    <col min="10" max="10" width="10.7265625" style="173" bestFit="1" customWidth="1"/>
    <col min="11" max="11" width="44" style="74" customWidth="1"/>
    <col min="12" max="12" width="25.81640625" style="74" customWidth="1"/>
    <col min="13" max="13" width="18.81640625" style="173" bestFit="1" customWidth="1"/>
    <col min="14" max="14" width="20.7265625" style="173" bestFit="1" customWidth="1"/>
    <col min="15" max="15" width="24.26953125" style="173" bestFit="1" customWidth="1"/>
    <col min="16" max="16" width="21.7265625" style="173" bestFit="1" customWidth="1"/>
    <col min="17" max="17" width="3.7265625" style="74"/>
    <col min="18" max="18" width="7.54296875" style="74" bestFit="1" customWidth="1"/>
    <col min="19" max="19" width="18.81640625" style="74" bestFit="1" customWidth="1"/>
    <col min="20" max="20" width="20.7265625" style="74" bestFit="1" customWidth="1"/>
    <col min="21" max="21" width="24.26953125" style="173" bestFit="1" customWidth="1"/>
    <col min="22" max="22" width="21.7265625" style="173" bestFit="1" customWidth="1"/>
    <col min="23" max="23" width="3.7265625" style="74"/>
    <col min="24" max="24" width="19.26953125" style="173" bestFit="1" customWidth="1"/>
    <col min="25" max="25" width="25.1796875" style="173" customWidth="1"/>
    <col min="26" max="26" width="38.453125" style="74" customWidth="1"/>
    <col min="27" max="27" width="13.81640625" style="74" customWidth="1"/>
    <col min="28" max="31" width="11.453125" style="173" bestFit="1" customWidth="1"/>
    <col min="32" max="32" width="13.453125" style="173" bestFit="1" customWidth="1"/>
    <col min="33" max="33" width="15" style="173" bestFit="1" customWidth="1"/>
    <col min="34" max="34" width="13.1796875" style="173" bestFit="1" customWidth="1"/>
    <col min="35" max="35" width="3.7265625" style="74"/>
    <col min="36" max="36" width="22.1796875" style="74" bestFit="1" customWidth="1"/>
    <col min="37" max="37" width="22.1796875" style="173" bestFit="1" customWidth="1"/>
    <col min="38" max="38" width="19.26953125" style="173" bestFit="1" customWidth="1"/>
    <col min="39" max="39" width="24.26953125" style="173" bestFit="1" customWidth="1"/>
    <col min="40" max="40" width="21.7265625" style="173" bestFit="1" customWidth="1"/>
    <col min="41" max="41" width="21.7265625" style="173" customWidth="1"/>
    <col min="42" max="45" width="24.453125" style="173" customWidth="1"/>
    <col min="46" max="46" width="3.7265625" style="74"/>
    <col min="47" max="47" width="17.453125" style="74" bestFit="1" customWidth="1"/>
    <col min="48" max="48" width="22.1796875" style="173" bestFit="1" customWidth="1"/>
    <col min="49" max="49" width="19.26953125" style="173" bestFit="1" customWidth="1"/>
    <col min="50" max="50" width="24.26953125" style="173" bestFit="1" customWidth="1"/>
    <col min="51" max="51" width="21.7265625" style="173" bestFit="1" customWidth="1"/>
    <col min="52" max="52" width="3.7265625" style="74"/>
    <col min="53" max="53" width="8.453125" style="173" bestFit="1" customWidth="1"/>
    <col min="54" max="54" width="49.453125" style="74" bestFit="1" customWidth="1"/>
    <col min="55" max="55" width="4.26953125" style="74" customWidth="1"/>
    <col min="56" max="56" width="22.1796875" style="173" bestFit="1" customWidth="1"/>
    <col min="57" max="57" width="19.26953125" style="173" bestFit="1" customWidth="1"/>
    <col min="58" max="58" width="24.26953125" style="173" bestFit="1" customWidth="1"/>
    <col min="59" max="59" width="21.7265625" style="173" bestFit="1" customWidth="1"/>
    <col min="60" max="60" width="25" style="173" bestFit="1" customWidth="1"/>
    <col min="61" max="61" width="3.7265625" style="74"/>
    <col min="62" max="62" width="29.54296875" style="74" bestFit="1" customWidth="1"/>
    <col min="63" max="64" width="29.54296875" style="74" customWidth="1"/>
    <col min="65" max="65" width="22.1796875" style="173" bestFit="1" customWidth="1"/>
    <col min="66" max="66" width="19.26953125" style="173" bestFit="1" customWidth="1"/>
    <col min="67" max="67" width="24.26953125" style="173" bestFit="1" customWidth="1"/>
    <col min="68" max="68" width="21.7265625" style="173" bestFit="1" customWidth="1"/>
    <col min="69" max="69" width="21.7265625" style="173" customWidth="1"/>
    <col min="70" max="70" width="25" style="173" bestFit="1" customWidth="1"/>
    <col min="71" max="71" width="5" style="74" bestFit="1" customWidth="1"/>
    <col min="72" max="72" width="28.54296875" style="74" customWidth="1"/>
    <col min="73" max="73" width="20.26953125" style="74" bestFit="1" customWidth="1"/>
    <col min="74" max="74" width="22.54296875" style="74" bestFit="1" customWidth="1"/>
    <col min="75" max="75" width="26.81640625" style="74" bestFit="1" customWidth="1"/>
    <col min="76" max="76" width="4.453125" style="74" customWidth="1"/>
    <col min="77" max="77" width="23.7265625" style="74" bestFit="1" customWidth="1"/>
    <col min="78" max="78" width="14.54296875" style="173" bestFit="1" customWidth="1"/>
    <col min="79" max="79" width="22.1796875" style="173" bestFit="1" customWidth="1"/>
    <col min="80" max="80" width="19.26953125" style="173" bestFit="1" customWidth="1"/>
    <col min="81" max="81" width="24.26953125" style="173" bestFit="1" customWidth="1"/>
    <col min="82" max="82" width="21.7265625" style="173" bestFit="1" customWidth="1"/>
    <col min="83" max="83" width="3.7265625" style="74"/>
    <col min="84" max="84" width="23.7265625" style="173" bestFit="1" customWidth="1"/>
    <col min="85" max="85" width="22.1796875" style="173" bestFit="1" customWidth="1"/>
    <col min="86" max="86" width="19.26953125" style="173" bestFit="1" customWidth="1"/>
    <col min="87" max="87" width="24.26953125" style="173" bestFit="1" customWidth="1"/>
    <col min="88" max="88" width="21.7265625" style="173" bestFit="1" customWidth="1"/>
    <col min="89" max="89" width="3.7265625" style="74"/>
    <col min="90" max="90" width="15.54296875" style="74" bestFit="1" customWidth="1"/>
    <col min="91" max="91" width="31" style="74" bestFit="1" customWidth="1"/>
    <col min="92" max="92" width="3.7265625" style="74"/>
    <col min="93" max="93" width="13.81640625" style="74" bestFit="1" customWidth="1"/>
    <col min="94" max="94" width="14.81640625" style="74" bestFit="1" customWidth="1"/>
    <col min="95" max="95" width="23.1796875" style="74" bestFit="1" customWidth="1"/>
    <col min="96" max="96" width="3.7265625" style="74"/>
    <col min="97" max="98" width="17.26953125" style="74" customWidth="1"/>
    <col min="99" max="99" width="14.26953125" style="74" bestFit="1" customWidth="1"/>
    <col min="100" max="100" width="3.7265625" style="74"/>
    <col min="101" max="101" width="14.453125" style="74" bestFit="1" customWidth="1"/>
    <col min="102" max="102" width="14.453125" style="74" customWidth="1"/>
    <col min="103" max="103" width="14.1796875" style="74" customWidth="1"/>
    <col min="104" max="104" width="11.453125" style="74" customWidth="1"/>
    <col min="105" max="105" width="3.7265625" style="74"/>
    <col min="106" max="106" width="48.453125" style="74" bestFit="1" customWidth="1"/>
    <col min="107" max="107" width="48.453125" style="74" customWidth="1"/>
    <col min="108" max="108" width="46" style="74" bestFit="1" customWidth="1"/>
    <col min="109" max="109" width="15.1796875" style="74" bestFit="1" customWidth="1"/>
    <col min="110" max="110" width="11.54296875" style="74" bestFit="1" customWidth="1"/>
    <col min="111" max="111" width="14.1796875" style="74" bestFit="1" customWidth="1"/>
    <col min="112" max="112" width="11.54296875" style="74" customWidth="1"/>
    <col min="113" max="113" width="12.26953125" style="74" bestFit="1" customWidth="1"/>
    <col min="114" max="114" width="3.7265625" style="74"/>
    <col min="115" max="115" width="19.54296875" style="74" customWidth="1"/>
    <col min="116" max="116" width="21.81640625" style="74" customWidth="1"/>
    <col min="117" max="117" width="22" style="74" customWidth="1"/>
    <col min="118" max="118" width="3.7265625" style="74"/>
    <col min="119" max="119" width="19.453125" style="74" bestFit="1" customWidth="1"/>
    <col min="120" max="120" width="22.54296875" style="74" bestFit="1" customWidth="1"/>
    <col min="121" max="121" width="3.7265625" style="74"/>
    <col min="122" max="123" width="27.1796875" style="74" customWidth="1"/>
    <col min="124" max="124" width="13.54296875" style="74" customWidth="1"/>
    <col min="125" max="16384" width="3.7265625" style="74"/>
  </cols>
  <sheetData>
    <row r="1" spans="1:124" ht="23.5" x14ac:dyDescent="0.35">
      <c r="A1" s="949" t="s">
        <v>801</v>
      </c>
      <c r="B1" s="951"/>
      <c r="C1" s="951"/>
      <c r="D1" s="951"/>
      <c r="E1" s="951"/>
      <c r="F1" s="314"/>
    </row>
    <row r="2" spans="1:124" x14ac:dyDescent="0.35">
      <c r="B2" s="531"/>
      <c r="BJ2" s="124"/>
      <c r="BK2" s="124"/>
      <c r="BL2" s="124"/>
    </row>
    <row r="3" spans="1:124" s="316" customFormat="1" ht="58" x14ac:dyDescent="0.35">
      <c r="A3" s="315" t="s">
        <v>802</v>
      </c>
      <c r="B3" s="315" t="s">
        <v>65</v>
      </c>
      <c r="D3" s="315" t="s">
        <v>136</v>
      </c>
      <c r="E3" s="315" t="s">
        <v>803</v>
      </c>
      <c r="F3" s="315" t="s">
        <v>804</v>
      </c>
      <c r="G3" s="315" t="s">
        <v>805</v>
      </c>
      <c r="I3" s="315" t="s">
        <v>806</v>
      </c>
      <c r="J3" s="315" t="s">
        <v>138</v>
      </c>
      <c r="K3" s="315" t="s">
        <v>64</v>
      </c>
      <c r="L3" s="317" t="s">
        <v>137</v>
      </c>
      <c r="M3" s="315" t="s">
        <v>807</v>
      </c>
      <c r="N3" s="315" t="s">
        <v>808</v>
      </c>
      <c r="O3" s="315" t="s">
        <v>809</v>
      </c>
      <c r="P3" s="315" t="s">
        <v>810</v>
      </c>
      <c r="R3" s="315" t="s">
        <v>811</v>
      </c>
      <c r="S3" s="315" t="s">
        <v>807</v>
      </c>
      <c r="T3" s="315" t="s">
        <v>808</v>
      </c>
      <c r="U3" s="315" t="s">
        <v>809</v>
      </c>
      <c r="V3" s="315" t="s">
        <v>810</v>
      </c>
      <c r="X3" s="315" t="s">
        <v>812</v>
      </c>
      <c r="Y3" s="315" t="s">
        <v>813</v>
      </c>
      <c r="Z3" s="315" t="s">
        <v>814</v>
      </c>
      <c r="AA3" s="315" t="s">
        <v>137</v>
      </c>
      <c r="AB3" s="317" t="s">
        <v>815</v>
      </c>
      <c r="AC3" s="315" t="s">
        <v>816</v>
      </c>
      <c r="AD3" s="315" t="s">
        <v>809</v>
      </c>
      <c r="AE3" s="315" t="s">
        <v>810</v>
      </c>
      <c r="AF3" s="315" t="s">
        <v>817</v>
      </c>
      <c r="AG3" s="315" t="s">
        <v>818</v>
      </c>
      <c r="AH3" s="315" t="s">
        <v>819</v>
      </c>
      <c r="AJ3" s="315" t="s">
        <v>30</v>
      </c>
      <c r="AK3" s="315" t="s">
        <v>815</v>
      </c>
      <c r="AL3" s="315" t="s">
        <v>816</v>
      </c>
      <c r="AM3" s="315" t="s">
        <v>809</v>
      </c>
      <c r="AN3" s="315" t="s">
        <v>810</v>
      </c>
      <c r="AO3" s="315" t="s">
        <v>820</v>
      </c>
      <c r="AP3" s="315" t="s">
        <v>4658</v>
      </c>
      <c r="AQ3" s="315" t="s">
        <v>842</v>
      </c>
      <c r="AR3" s="315" t="s">
        <v>843</v>
      </c>
      <c r="AS3" s="315" t="s">
        <v>844</v>
      </c>
      <c r="AU3" s="315" t="s">
        <v>821</v>
      </c>
      <c r="AV3" s="424" t="s">
        <v>820</v>
      </c>
      <c r="AW3" s="315" t="s">
        <v>816</v>
      </c>
      <c r="AX3" s="315" t="s">
        <v>809</v>
      </c>
      <c r="AY3" s="315" t="s">
        <v>810</v>
      </c>
      <c r="BA3" s="315" t="s">
        <v>822</v>
      </c>
      <c r="BB3" s="315" t="s">
        <v>64</v>
      </c>
      <c r="BC3" s="315" t="s">
        <v>137</v>
      </c>
      <c r="BD3" s="315" t="s">
        <v>815</v>
      </c>
      <c r="BE3" s="315" t="s">
        <v>816</v>
      </c>
      <c r="BF3" s="315" t="s">
        <v>809</v>
      </c>
      <c r="BG3" s="315" t="s">
        <v>810</v>
      </c>
      <c r="BH3" s="315" t="s">
        <v>820</v>
      </c>
      <c r="BJ3" s="315" t="s">
        <v>823</v>
      </c>
      <c r="BK3" s="315" t="s">
        <v>4661</v>
      </c>
      <c r="BL3" s="315" t="s">
        <v>4662</v>
      </c>
      <c r="BM3" s="315" t="s">
        <v>815</v>
      </c>
      <c r="BN3" s="315" t="s">
        <v>816</v>
      </c>
      <c r="BO3" s="315" t="s">
        <v>809</v>
      </c>
      <c r="BP3" s="315" t="s">
        <v>810</v>
      </c>
      <c r="BQ3" s="315" t="s">
        <v>824</v>
      </c>
      <c r="BR3" s="315" t="s">
        <v>820</v>
      </c>
      <c r="BT3" s="315" t="s">
        <v>822</v>
      </c>
      <c r="BU3" s="315" t="s">
        <v>825</v>
      </c>
      <c r="BV3" s="315" t="s">
        <v>826</v>
      </c>
      <c r="BW3" s="315" t="s">
        <v>827</v>
      </c>
      <c r="BY3" s="315" t="s">
        <v>38</v>
      </c>
      <c r="BZ3" s="315" t="s">
        <v>828</v>
      </c>
      <c r="CA3" s="315" t="s">
        <v>815</v>
      </c>
      <c r="CB3" s="315" t="s">
        <v>816</v>
      </c>
      <c r="CC3" s="315" t="s">
        <v>809</v>
      </c>
      <c r="CD3" s="315" t="s">
        <v>810</v>
      </c>
      <c r="CF3" s="315" t="s">
        <v>829</v>
      </c>
      <c r="CG3" s="315" t="s">
        <v>815</v>
      </c>
      <c r="CH3" s="315" t="s">
        <v>816</v>
      </c>
      <c r="CI3" s="315" t="s">
        <v>809</v>
      </c>
      <c r="CJ3" s="315" t="s">
        <v>810</v>
      </c>
      <c r="CL3" s="315" t="s">
        <v>830</v>
      </c>
      <c r="CM3" s="315" t="s">
        <v>831</v>
      </c>
      <c r="CO3" s="315" t="s">
        <v>832</v>
      </c>
      <c r="CP3" s="315" t="s">
        <v>833</v>
      </c>
      <c r="CQ3" s="315" t="s">
        <v>834</v>
      </c>
      <c r="CS3" s="315" t="s">
        <v>835</v>
      </c>
      <c r="CT3" s="315" t="s">
        <v>836</v>
      </c>
      <c r="CU3" s="315" t="s">
        <v>837</v>
      </c>
      <c r="CW3" s="315" t="s">
        <v>838</v>
      </c>
      <c r="CX3" s="315" t="s">
        <v>839</v>
      </c>
      <c r="CY3" s="315" t="s">
        <v>840</v>
      </c>
      <c r="CZ3" s="315" t="s">
        <v>841</v>
      </c>
      <c r="DB3" s="315" t="s">
        <v>838</v>
      </c>
      <c r="DC3" s="315" t="s">
        <v>4629</v>
      </c>
      <c r="DD3" s="315" t="str" cm="1">
        <f t="array" ref="DD3:DI3" xml:space="preserve"> TRANSPOSE( _xlfn._xlws.FILTER(\reference_covertype2_MidMarket, \reference_covertype2_MidMarket &lt;&gt; "other", ""))</f>
        <v>SüdVers</v>
      </c>
      <c r="DE3" s="315" t="str">
        <v>Büchner&amp;Barella</v>
      </c>
      <c r="DF3" s="315" t="str">
        <v>Willis</v>
      </c>
      <c r="DG3" s="315" t="str">
        <v>Dr. Hörtkorn</v>
      </c>
      <c r="DH3" s="315" t="str">
        <v>Leue&amp;Nill</v>
      </c>
      <c r="DI3" s="315" t="str">
        <v>HDI-Wording</v>
      </c>
      <c r="DO3" s="672" t="s">
        <v>4376</v>
      </c>
      <c r="DP3" s="672" t="s">
        <v>4377</v>
      </c>
      <c r="DR3" s="672" t="s">
        <v>1803</v>
      </c>
      <c r="DS3" s="672" t="s">
        <v>4594</v>
      </c>
      <c r="DT3" s="672" t="s">
        <v>4591</v>
      </c>
    </row>
    <row r="4" spans="1:124" s="319" customFormat="1" ht="15" thickBot="1" x14ac:dyDescent="0.4">
      <c r="A4" s="318"/>
      <c r="B4" s="318" t="s">
        <v>845</v>
      </c>
      <c r="D4" s="318" t="s">
        <v>846</v>
      </c>
      <c r="E4" s="318"/>
      <c r="F4" s="318"/>
      <c r="G4" s="318" t="s">
        <v>845</v>
      </c>
      <c r="I4" s="318"/>
      <c r="J4" s="318"/>
      <c r="K4" s="318"/>
      <c r="L4" s="320" t="s">
        <v>846</v>
      </c>
      <c r="M4" s="318" t="s">
        <v>845</v>
      </c>
      <c r="N4" s="318" t="s">
        <v>845</v>
      </c>
      <c r="O4" s="318" t="s">
        <v>845</v>
      </c>
      <c r="P4" s="318" t="s">
        <v>845</v>
      </c>
      <c r="R4" s="318" t="s">
        <v>846</v>
      </c>
      <c r="S4" s="318" t="s">
        <v>845</v>
      </c>
      <c r="T4" s="318" t="s">
        <v>845</v>
      </c>
      <c r="U4" s="318" t="s">
        <v>845</v>
      </c>
      <c r="V4" s="318" t="s">
        <v>845</v>
      </c>
      <c r="X4" s="318"/>
      <c r="Y4" s="318" t="s">
        <v>846</v>
      </c>
      <c r="Z4" s="318" t="s">
        <v>846</v>
      </c>
      <c r="AA4" s="318"/>
      <c r="AB4" s="320" t="s">
        <v>845</v>
      </c>
      <c r="AC4" s="318" t="s">
        <v>845</v>
      </c>
      <c r="AD4" s="318" t="s">
        <v>845</v>
      </c>
      <c r="AE4" s="318" t="s">
        <v>845</v>
      </c>
      <c r="AF4" s="318" t="s">
        <v>845</v>
      </c>
      <c r="AG4" s="318" t="s">
        <v>845</v>
      </c>
      <c r="AH4" s="318" t="s">
        <v>845</v>
      </c>
      <c r="AJ4" s="318" t="s">
        <v>846</v>
      </c>
      <c r="AK4" s="318" t="s">
        <v>845</v>
      </c>
      <c r="AL4" s="318" t="s">
        <v>845</v>
      </c>
      <c r="AM4" s="318" t="s">
        <v>845</v>
      </c>
      <c r="AN4" s="318" t="s">
        <v>845</v>
      </c>
      <c r="AO4" s="318" t="s">
        <v>845</v>
      </c>
      <c r="AP4" s="318" t="s">
        <v>845</v>
      </c>
      <c r="AQ4" s="318"/>
      <c r="AR4" s="318"/>
      <c r="AS4" s="318"/>
      <c r="AU4" s="318" t="s">
        <v>846</v>
      </c>
      <c r="AV4" s="318" t="s">
        <v>845</v>
      </c>
      <c r="AW4" s="318" t="s">
        <v>845</v>
      </c>
      <c r="AX4" s="318" t="s">
        <v>845</v>
      </c>
      <c r="AY4" s="318" t="s">
        <v>845</v>
      </c>
      <c r="BA4" s="318" t="s">
        <v>846</v>
      </c>
      <c r="BB4" s="318"/>
      <c r="BC4" s="318"/>
      <c r="BD4" s="318" t="s">
        <v>845</v>
      </c>
      <c r="BE4" s="318" t="s">
        <v>845</v>
      </c>
      <c r="BF4" s="318" t="s">
        <v>845</v>
      </c>
      <c r="BG4" s="318" t="s">
        <v>845</v>
      </c>
      <c r="BH4" s="318" t="s">
        <v>845</v>
      </c>
      <c r="BJ4" s="318" t="s">
        <v>846</v>
      </c>
      <c r="BK4" s="318"/>
      <c r="BL4" s="318"/>
      <c r="BM4" s="318" t="s">
        <v>845</v>
      </c>
      <c r="BN4" s="318" t="s">
        <v>845</v>
      </c>
      <c r="BO4" s="318" t="s">
        <v>845</v>
      </c>
      <c r="BP4" s="318" t="s">
        <v>845</v>
      </c>
      <c r="BQ4" s="318" t="s">
        <v>845</v>
      </c>
      <c r="BR4" s="318" t="s">
        <v>845</v>
      </c>
      <c r="BT4" s="318" t="s">
        <v>846</v>
      </c>
      <c r="BU4" s="318" t="s">
        <v>845</v>
      </c>
      <c r="BV4" s="318" t="s">
        <v>845</v>
      </c>
      <c r="BW4" s="318" t="s">
        <v>845</v>
      </c>
      <c r="BY4" s="318" t="s">
        <v>846</v>
      </c>
      <c r="BZ4" s="318"/>
      <c r="CA4" s="318" t="s">
        <v>845</v>
      </c>
      <c r="CB4" s="318" t="s">
        <v>845</v>
      </c>
      <c r="CC4" s="318" t="s">
        <v>845</v>
      </c>
      <c r="CD4" s="318" t="s">
        <v>845</v>
      </c>
      <c r="CF4" s="318" t="s">
        <v>846</v>
      </c>
      <c r="CG4" s="318" t="s">
        <v>845</v>
      </c>
      <c r="CH4" s="318" t="s">
        <v>845</v>
      </c>
      <c r="CI4" s="318" t="s">
        <v>845</v>
      </c>
      <c r="CJ4" s="318" t="s">
        <v>845</v>
      </c>
      <c r="CL4" s="318" t="s">
        <v>846</v>
      </c>
      <c r="CM4" s="318" t="s">
        <v>845</v>
      </c>
      <c r="CO4" s="318" t="s">
        <v>846</v>
      </c>
      <c r="CP4" s="318" t="s">
        <v>845</v>
      </c>
      <c r="CQ4" s="318" t="s">
        <v>845</v>
      </c>
      <c r="CS4" s="318" t="s">
        <v>846</v>
      </c>
      <c r="CT4" s="318" t="s">
        <v>846</v>
      </c>
      <c r="CU4" s="318" t="s">
        <v>845</v>
      </c>
      <c r="CW4" s="318"/>
      <c r="CX4" s="318"/>
      <c r="CY4" s="318"/>
      <c r="CZ4" s="318"/>
      <c r="DB4" s="318"/>
      <c r="DC4" s="318"/>
      <c r="DD4" s="318"/>
      <c r="DE4" s="318"/>
      <c r="DF4" s="318"/>
      <c r="DG4" s="318"/>
      <c r="DH4" s="318"/>
      <c r="DI4" s="318"/>
      <c r="DO4" s="673"/>
      <c r="DP4" s="673"/>
      <c r="DR4" s="673"/>
      <c r="DS4" s="673"/>
      <c r="DT4" s="673"/>
    </row>
    <row r="5" spans="1:124" ht="15" thickTop="1" x14ac:dyDescent="0.35">
      <c r="A5" s="321" t="s">
        <v>847</v>
      </c>
      <c r="B5" s="528">
        <f xml:space="preserve"> -15.0653875523455</f>
        <v>-15.0653875523455</v>
      </c>
      <c r="D5" s="322" t="s">
        <v>58</v>
      </c>
      <c r="E5" s="323" t="s">
        <v>848</v>
      </c>
      <c r="F5" s="323" t="s">
        <v>143</v>
      </c>
      <c r="G5" s="324">
        <v>1</v>
      </c>
      <c r="I5" s="325">
        <v>1</v>
      </c>
      <c r="J5" s="326" t="s">
        <v>144</v>
      </c>
      <c r="K5" s="327" t="s">
        <v>849</v>
      </c>
      <c r="L5" s="327" t="s">
        <v>145</v>
      </c>
      <c r="M5" s="328">
        <v>1</v>
      </c>
      <c r="N5" s="328">
        <v>1</v>
      </c>
      <c r="O5" s="329">
        <v>1</v>
      </c>
      <c r="P5" s="329">
        <v>1</v>
      </c>
      <c r="R5" s="330" t="b">
        <v>1</v>
      </c>
      <c r="S5" s="323">
        <v>1</v>
      </c>
      <c r="T5" s="323">
        <v>1</v>
      </c>
      <c r="U5" s="331">
        <v>1</v>
      </c>
      <c r="V5" s="332">
        <v>1</v>
      </c>
      <c r="X5" s="325">
        <v>1</v>
      </c>
      <c r="Y5" s="333" t="s">
        <v>850</v>
      </c>
      <c r="Z5" s="327"/>
      <c r="AA5" s="334" t="str">
        <f>CONCATENATE(Y5," - ",Z5)</f>
        <v xml:space="preserve">1. Allgemeine Gebrauchsgüter - </v>
      </c>
      <c r="AB5" s="329">
        <v>0.81275965640268855</v>
      </c>
      <c r="AC5" s="329">
        <v>0.81275965640268855</v>
      </c>
      <c r="AD5" s="458">
        <v>0.81275965640268855</v>
      </c>
      <c r="AE5" s="335">
        <v>0.81275965640268855</v>
      </c>
      <c r="AF5" s="329" cm="1">
        <f t="array" ref="AF5:AF57" xml:space="preserve"> AB5:AB57 * AC5:AC57</f>
        <v>0.66057825907581635</v>
      </c>
      <c r="AG5" s="329">
        <v>1</v>
      </c>
      <c r="AH5" s="335">
        <v>1.2</v>
      </c>
      <c r="AJ5" s="336" t="s">
        <v>851</v>
      </c>
      <c r="AK5" s="329">
        <v>1</v>
      </c>
      <c r="AL5" s="329">
        <v>1</v>
      </c>
      <c r="AM5" s="458">
        <v>1</v>
      </c>
      <c r="AN5" s="335">
        <v>1</v>
      </c>
      <c r="AO5" s="335">
        <v>1</v>
      </c>
      <c r="AP5" s="857">
        <v>0.1</v>
      </c>
      <c r="AQ5" s="380" t="s">
        <v>851</v>
      </c>
      <c r="AR5" s="509">
        <v>0.9</v>
      </c>
      <c r="AS5" s="509">
        <v>0.1</v>
      </c>
      <c r="AU5" s="330" t="s">
        <v>852</v>
      </c>
      <c r="AV5" s="331">
        <v>1</v>
      </c>
      <c r="AW5" s="331">
        <v>1</v>
      </c>
      <c r="AX5" s="331">
        <v>1</v>
      </c>
      <c r="AY5" s="332">
        <v>1</v>
      </c>
      <c r="BA5" s="322" t="s">
        <v>853</v>
      </c>
      <c r="BB5" s="323" t="s">
        <v>146</v>
      </c>
      <c r="BC5" s="323" t="s">
        <v>854</v>
      </c>
      <c r="BD5" s="337">
        <v>1</v>
      </c>
      <c r="BE5" s="337">
        <v>1</v>
      </c>
      <c r="BF5" s="337">
        <v>1</v>
      </c>
      <c r="BG5" s="337">
        <v>1</v>
      </c>
      <c r="BH5" s="338">
        <v>10</v>
      </c>
      <c r="BI5" s="173" t="s">
        <v>855</v>
      </c>
      <c r="BJ5" s="380" t="str" cm="1">
        <f t="array" ref="BJ5:BJ230" xml:space="preserve"> BK5:BK230 &amp; " - " &amp; BL5:BL230</f>
        <v>North Africa - North Africa</v>
      </c>
      <c r="BK5" s="327" t="s">
        <v>950</v>
      </c>
      <c r="BL5" s="327" t="s">
        <v>950</v>
      </c>
      <c r="BM5" s="429">
        <v>1.205517386837202</v>
      </c>
      <c r="BN5" s="429">
        <v>1.205517386837202</v>
      </c>
      <c r="BO5" s="459">
        <v>1.205517386837202</v>
      </c>
      <c r="BP5" s="460">
        <v>1.205517386837202</v>
      </c>
      <c r="BQ5" s="467"/>
      <c r="BR5" s="876" cm="1">
        <f t="array" ref="BR5:BR230" xml:space="preserve"> BM5:BM230 *BN5:BN230</f>
        <v>1.4532721699667961</v>
      </c>
      <c r="BS5" s="74">
        <f t="shared" ref="BS5:BS68" si="0">VLOOKUP(RIGHT(BJ5, LEN(BJ5) - FIND(" - ", BJ5) - 2) &amp; " - " &amp; LEFT(BJ5, FIND(" - ", BJ5) -1), \parameter_geoscope_int_int, 7, FALSE)</f>
        <v>1.205517386837202</v>
      </c>
      <c r="BT5" s="322" t="s">
        <v>147</v>
      </c>
      <c r="BU5" s="412">
        <v>5.0000000000000001E-4</v>
      </c>
      <c r="BV5" s="412">
        <v>0</v>
      </c>
      <c r="BW5" s="413">
        <v>5.0000000000000001E-4</v>
      </c>
      <c r="BY5" s="330" t="s">
        <v>39</v>
      </c>
      <c r="BZ5" s="339">
        <v>0</v>
      </c>
      <c r="CA5" s="337">
        <v>1</v>
      </c>
      <c r="CB5" s="337">
        <v>1</v>
      </c>
      <c r="CC5" s="337">
        <v>1</v>
      </c>
      <c r="CD5" s="340">
        <v>1</v>
      </c>
      <c r="CF5" s="322">
        <v>0</v>
      </c>
      <c r="CG5" s="331">
        <v>0</v>
      </c>
      <c r="CH5" s="341">
        <v>1</v>
      </c>
      <c r="CI5" s="331">
        <v>0</v>
      </c>
      <c r="CJ5" s="342">
        <v>1</v>
      </c>
      <c r="CL5" s="380" t="s">
        <v>231</v>
      </c>
      <c r="CM5" s="381" t="s">
        <v>856</v>
      </c>
      <c r="CO5" s="380" t="s">
        <v>372</v>
      </c>
      <c r="CP5" s="482">
        <v>0</v>
      </c>
      <c r="CQ5" s="482">
        <v>0</v>
      </c>
      <c r="CS5" s="380" t="s">
        <v>857</v>
      </c>
      <c r="CT5" s="484" t="s">
        <v>285</v>
      </c>
      <c r="CU5" s="482" t="s">
        <v>858</v>
      </c>
      <c r="CW5" s="380" t="s">
        <v>63</v>
      </c>
      <c r="CX5" s="484" t="s">
        <v>95</v>
      </c>
      <c r="CY5" s="510">
        <v>-10</v>
      </c>
      <c r="CZ5" s="509">
        <v>9.9999999999999997E+98</v>
      </c>
      <c r="DB5" s="513" t="s">
        <v>859</v>
      </c>
      <c r="DC5" s="823" t="s">
        <v>64</v>
      </c>
      <c r="DD5" s="511"/>
      <c r="DE5" s="511"/>
      <c r="DF5" s="511"/>
      <c r="DG5" s="511"/>
      <c r="DH5" s="511"/>
      <c r="DI5" s="511">
        <v>5000000</v>
      </c>
      <c r="DO5" s="380" t="str" cm="1">
        <f t="array" ref="DO5:DO35" xml:space="preserve"> \reference_branch</f>
        <v>Germany: North-East</v>
      </c>
      <c r="DP5" s="675" t="s">
        <v>4378</v>
      </c>
      <c r="DR5" s="674" t="s">
        <v>15</v>
      </c>
      <c r="DS5" s="805" t="s">
        <v>4595</v>
      </c>
      <c r="DT5" s="510">
        <v>3</v>
      </c>
    </row>
    <row r="6" spans="1:124" x14ac:dyDescent="0.35">
      <c r="A6" s="428" t="s">
        <v>860</v>
      </c>
      <c r="B6" s="529">
        <f xml:space="preserve"> 0.388426777995365</f>
        <v>0.38842677799536501</v>
      </c>
      <c r="D6" s="345" t="s">
        <v>150</v>
      </c>
      <c r="E6" s="346" t="s">
        <v>861</v>
      </c>
      <c r="F6" s="346" t="s">
        <v>151</v>
      </c>
      <c r="G6" s="347">
        <v>1.10673</v>
      </c>
      <c r="I6" s="325">
        <v>2</v>
      </c>
      <c r="J6" s="326" t="s">
        <v>144</v>
      </c>
      <c r="K6" s="327" t="s">
        <v>862</v>
      </c>
      <c r="L6" s="327" t="s">
        <v>152</v>
      </c>
      <c r="M6" s="328">
        <v>1</v>
      </c>
      <c r="N6" s="328">
        <v>1</v>
      </c>
      <c r="O6" s="329">
        <v>1</v>
      </c>
      <c r="P6" s="329">
        <v>1</v>
      </c>
      <c r="R6" s="348" t="b">
        <v>0</v>
      </c>
      <c r="S6" s="349">
        <v>1</v>
      </c>
      <c r="T6" s="349">
        <v>1</v>
      </c>
      <c r="U6" s="350">
        <v>1</v>
      </c>
      <c r="V6" s="351">
        <v>1</v>
      </c>
      <c r="X6" s="325">
        <v>2</v>
      </c>
      <c r="Y6" s="333" t="s">
        <v>863</v>
      </c>
      <c r="Z6" s="327"/>
      <c r="AA6" s="70" t="str">
        <f t="shared" ref="AA6:AA57" si="1">CONCATENATE(Y6," - ",Z6)</f>
        <v xml:space="preserve">2. Andere vegetabile Güter - </v>
      </c>
      <c r="AB6" s="329">
        <v>0.81275965640268855</v>
      </c>
      <c r="AC6" s="329">
        <v>0.81275965640268855</v>
      </c>
      <c r="AD6" s="458">
        <v>0.81275965640268855</v>
      </c>
      <c r="AE6" s="335">
        <v>0.81275965640268855</v>
      </c>
      <c r="AF6" s="329">
        <v>0.66057825907581635</v>
      </c>
      <c r="AG6" s="820">
        <v>1</v>
      </c>
      <c r="AH6" s="335">
        <v>1.2</v>
      </c>
      <c r="AJ6" s="336" t="s">
        <v>4659</v>
      </c>
      <c r="AK6" s="329">
        <v>1</v>
      </c>
      <c r="AL6" s="329">
        <v>1</v>
      </c>
      <c r="AM6" s="458">
        <v>1</v>
      </c>
      <c r="AN6" s="335">
        <v>1</v>
      </c>
      <c r="AO6" s="335">
        <v>1</v>
      </c>
      <c r="AP6" s="857">
        <v>0.1</v>
      </c>
      <c r="AQ6" s="380" t="s">
        <v>4659</v>
      </c>
      <c r="AR6" s="509">
        <v>0</v>
      </c>
      <c r="AS6" s="509">
        <v>0</v>
      </c>
      <c r="AU6" s="352" t="s">
        <v>865</v>
      </c>
      <c r="AV6" s="353">
        <v>1</v>
      </c>
      <c r="AW6" s="353">
        <v>1</v>
      </c>
      <c r="AX6" s="353">
        <v>1</v>
      </c>
      <c r="AY6" s="354">
        <v>1</v>
      </c>
      <c r="BA6" s="345" t="s">
        <v>866</v>
      </c>
      <c r="BB6" s="346" t="s">
        <v>153</v>
      </c>
      <c r="BC6" s="346" t="s">
        <v>867</v>
      </c>
      <c r="BD6" s="355">
        <v>1</v>
      </c>
      <c r="BE6" s="355">
        <v>1</v>
      </c>
      <c r="BF6" s="355">
        <v>1</v>
      </c>
      <c r="BG6" s="355">
        <v>1</v>
      </c>
      <c r="BH6" s="356">
        <v>1.8</v>
      </c>
      <c r="BJ6" s="352" t="str">
        <v>North Africa - East Africa</v>
      </c>
      <c r="BK6" s="327" t="s">
        <v>950</v>
      </c>
      <c r="BL6" s="327" t="s">
        <v>960</v>
      </c>
      <c r="BM6" s="429">
        <v>1.3600070313833992</v>
      </c>
      <c r="BN6" s="429">
        <v>1.3600070313833992</v>
      </c>
      <c r="BO6" s="459">
        <v>1.3600070313833992</v>
      </c>
      <c r="BP6" s="460">
        <v>1.3600070313833992</v>
      </c>
      <c r="BQ6" s="468"/>
      <c r="BR6" s="877">
        <v>1.849619125412286</v>
      </c>
      <c r="BS6" s="74">
        <f t="shared" si="0"/>
        <v>1.3600070313833992</v>
      </c>
      <c r="BT6" s="345" t="s">
        <v>154</v>
      </c>
      <c r="BU6" s="412">
        <v>0</v>
      </c>
      <c r="BV6" s="412">
        <v>0</v>
      </c>
      <c r="BW6" s="414">
        <v>0</v>
      </c>
      <c r="BY6" s="352" t="s">
        <v>868</v>
      </c>
      <c r="BZ6" s="357">
        <v>0</v>
      </c>
      <c r="CA6" s="355">
        <v>1</v>
      </c>
      <c r="CB6" s="355">
        <v>1</v>
      </c>
      <c r="CC6" s="355">
        <v>1</v>
      </c>
      <c r="CD6" s="358">
        <v>1</v>
      </c>
      <c r="CF6" s="345">
        <v>1</v>
      </c>
      <c r="CG6" s="353">
        <v>1.6666666666666666E-2</v>
      </c>
      <c r="CH6" s="359">
        <v>1</v>
      </c>
      <c r="CI6" s="353">
        <v>1.6666666666666666E-2</v>
      </c>
      <c r="CJ6" s="360">
        <v>1</v>
      </c>
      <c r="CL6" s="352" t="s">
        <v>238</v>
      </c>
      <c r="CM6" s="355" t="s">
        <v>869</v>
      </c>
      <c r="CO6" s="352" t="s">
        <v>378</v>
      </c>
      <c r="CP6" s="483">
        <v>14</v>
      </c>
      <c r="CQ6" s="483">
        <v>1</v>
      </c>
      <c r="CS6" s="352" t="s">
        <v>870</v>
      </c>
      <c r="CT6" s="485" t="s">
        <v>159</v>
      </c>
      <c r="CU6" s="355" t="s">
        <v>858</v>
      </c>
      <c r="CW6" s="380" t="s">
        <v>63</v>
      </c>
      <c r="CX6" s="484" t="s">
        <v>155</v>
      </c>
      <c r="CY6" s="510">
        <v>-100</v>
      </c>
      <c r="CZ6" s="509">
        <v>9.9999999999999997E+98</v>
      </c>
      <c r="DB6" s="514" t="s">
        <v>871</v>
      </c>
      <c r="DC6" s="824" t="s">
        <v>64</v>
      </c>
      <c r="DD6" s="515"/>
      <c r="DE6" s="515"/>
      <c r="DF6" s="515"/>
      <c r="DG6" s="515"/>
      <c r="DH6" s="515"/>
      <c r="DI6" s="515"/>
      <c r="DO6" s="676" t="str">
        <v>Germany: South-East</v>
      </c>
      <c r="DP6" s="677" t="s">
        <v>4385</v>
      </c>
      <c r="DR6" s="674" t="s">
        <v>18</v>
      </c>
      <c r="DS6" s="805" t="s">
        <v>4598</v>
      </c>
      <c r="DT6" s="510">
        <v>2</v>
      </c>
    </row>
    <row r="7" spans="1:124" x14ac:dyDescent="0.35">
      <c r="A7" s="428" t="s">
        <v>872</v>
      </c>
      <c r="B7" s="529">
        <f xml:space="preserve"> -4.92387903254108</f>
        <v>-4.9238790325410804</v>
      </c>
      <c r="D7" s="345" t="s">
        <v>182</v>
      </c>
      <c r="E7" s="346" t="s">
        <v>873</v>
      </c>
      <c r="F7" s="346" t="s">
        <v>183</v>
      </c>
      <c r="G7" s="347">
        <v>4.06494</v>
      </c>
      <c r="I7" s="325">
        <v>3</v>
      </c>
      <c r="J7" s="326" t="s">
        <v>144</v>
      </c>
      <c r="K7" s="327" t="s">
        <v>874</v>
      </c>
      <c r="L7" s="327" t="s">
        <v>158</v>
      </c>
      <c r="M7" s="328">
        <v>1</v>
      </c>
      <c r="N7" s="328">
        <v>1</v>
      </c>
      <c r="O7" s="329">
        <v>1</v>
      </c>
      <c r="P7" s="329">
        <v>1</v>
      </c>
      <c r="X7" s="325">
        <v>3</v>
      </c>
      <c r="Y7" s="333" t="s">
        <v>875</v>
      </c>
      <c r="Z7" s="327" t="s">
        <v>876</v>
      </c>
      <c r="AA7" s="334" t="str">
        <f t="shared" si="1"/>
        <v>3. Anlagenbau - Projekt - containerfähig</v>
      </c>
      <c r="AB7" s="329">
        <v>8.1275965640268857E-2</v>
      </c>
      <c r="AC7" s="329">
        <v>17.880712440859149</v>
      </c>
      <c r="AD7" s="458">
        <v>8.1275965640268857E-2</v>
      </c>
      <c r="AE7" s="335">
        <v>17.880712440859149</v>
      </c>
      <c r="AF7" s="329">
        <v>1.4532721699667961</v>
      </c>
      <c r="AG7" s="329">
        <v>1</v>
      </c>
      <c r="AH7" s="335">
        <v>1.2</v>
      </c>
      <c r="AJ7" s="336" t="s">
        <v>864</v>
      </c>
      <c r="AK7" s="429">
        <f t="shared" ref="AK7:AN8" si="2">SQRT($AO7)</f>
        <v>1.0488088481701516</v>
      </c>
      <c r="AL7" s="429">
        <f t="shared" si="2"/>
        <v>1.0488088481701516</v>
      </c>
      <c r="AM7" s="459">
        <f t="shared" si="2"/>
        <v>1.0488088481701516</v>
      </c>
      <c r="AN7" s="460">
        <f t="shared" si="2"/>
        <v>1.0488088481701516</v>
      </c>
      <c r="AO7" s="335">
        <v>1.1000000000000001</v>
      </c>
      <c r="AP7" s="857">
        <v>0.75</v>
      </c>
      <c r="AQ7" s="352" t="s">
        <v>864</v>
      </c>
      <c r="AR7" s="512">
        <v>0.1</v>
      </c>
      <c r="AS7" s="512">
        <v>0.9</v>
      </c>
      <c r="AU7" s="352" t="s">
        <v>878</v>
      </c>
      <c r="AV7" s="353">
        <v>1</v>
      </c>
      <c r="AW7" s="353">
        <v>1</v>
      </c>
      <c r="AX7" s="353">
        <v>1</v>
      </c>
      <c r="AY7" s="354">
        <v>1</v>
      </c>
      <c r="BA7" s="345" t="s">
        <v>879</v>
      </c>
      <c r="BB7" s="346" t="s">
        <v>159</v>
      </c>
      <c r="BC7" s="346" t="s">
        <v>880</v>
      </c>
      <c r="BD7" s="355">
        <v>1</v>
      </c>
      <c r="BE7" s="355">
        <v>1</v>
      </c>
      <c r="BF7" s="355">
        <v>1</v>
      </c>
      <c r="BG7" s="355">
        <v>1</v>
      </c>
      <c r="BH7" s="356">
        <v>4</v>
      </c>
      <c r="BJ7" s="352" t="str">
        <v>North Africa - South Africa</v>
      </c>
      <c r="BK7" s="327" t="s">
        <v>950</v>
      </c>
      <c r="BL7" s="327" t="s">
        <v>777</v>
      </c>
      <c r="BM7" s="429">
        <v>1.520534086025485</v>
      </c>
      <c r="BN7" s="429">
        <v>1.520534086025485</v>
      </c>
      <c r="BO7" s="459">
        <v>1.520534086025485</v>
      </c>
      <c r="BP7" s="460">
        <v>1.520534086025485</v>
      </c>
      <c r="BQ7" s="468"/>
      <c r="BR7" s="877">
        <v>2.312023906765357</v>
      </c>
      <c r="BS7" s="74">
        <f t="shared" si="0"/>
        <v>1.520534086025485</v>
      </c>
      <c r="BT7" s="345" t="s">
        <v>160</v>
      </c>
      <c r="BU7" s="412">
        <v>5.0000000000000001E-4</v>
      </c>
      <c r="BV7" s="412">
        <v>0</v>
      </c>
      <c r="BW7" s="414">
        <v>5.0000000000000001E-4</v>
      </c>
      <c r="BY7" s="352" t="s">
        <v>881</v>
      </c>
      <c r="BZ7" s="357">
        <v>0</v>
      </c>
      <c r="CA7" s="355">
        <v>1</v>
      </c>
      <c r="CB7" s="355">
        <v>1</v>
      </c>
      <c r="CC7" s="355">
        <v>1</v>
      </c>
      <c r="CD7" s="358">
        <v>1</v>
      </c>
      <c r="CF7" s="345">
        <v>2</v>
      </c>
      <c r="CG7" s="353">
        <v>3.3333333333333333E-2</v>
      </c>
      <c r="CH7" s="359">
        <v>1</v>
      </c>
      <c r="CI7" s="353">
        <v>3.3333333333333333E-2</v>
      </c>
      <c r="CJ7" s="360">
        <v>1</v>
      </c>
      <c r="CL7" s="352" t="s">
        <v>245</v>
      </c>
      <c r="CM7" s="355" t="s">
        <v>882</v>
      </c>
      <c r="CS7" s="352" t="s">
        <v>883</v>
      </c>
      <c r="CT7" s="485" t="s">
        <v>384</v>
      </c>
      <c r="CU7" s="355" t="s">
        <v>858</v>
      </c>
      <c r="DB7" s="513" t="s">
        <v>884</v>
      </c>
      <c r="DC7" s="823" t="s">
        <v>64</v>
      </c>
      <c r="DD7" s="511"/>
      <c r="DE7" s="511"/>
      <c r="DF7" s="511"/>
      <c r="DG7" s="511"/>
      <c r="DH7" s="511"/>
      <c r="DI7" s="511"/>
      <c r="DO7" s="674" t="str">
        <v>Germany: South-West</v>
      </c>
      <c r="DP7" s="675" t="s">
        <v>4379</v>
      </c>
      <c r="DR7" s="674" t="s">
        <v>4590</v>
      </c>
      <c r="DS7" s="805" t="s">
        <v>4599</v>
      </c>
      <c r="DT7" s="510">
        <v>1</v>
      </c>
    </row>
    <row r="8" spans="1:124" x14ac:dyDescent="0.35">
      <c r="A8" s="343" t="s">
        <v>885</v>
      </c>
      <c r="B8" s="532">
        <f xml:space="preserve"> 0.422630912746804</f>
        <v>0.42263091274680398</v>
      </c>
      <c r="D8" s="345" t="s">
        <v>188</v>
      </c>
      <c r="E8" s="346" t="s">
        <v>886</v>
      </c>
      <c r="F8" s="346" t="s">
        <v>189</v>
      </c>
      <c r="G8" s="347">
        <v>78.149709999999999</v>
      </c>
      <c r="I8" s="325">
        <v>5</v>
      </c>
      <c r="J8" s="326" t="s">
        <v>165</v>
      </c>
      <c r="K8" s="327" t="s">
        <v>887</v>
      </c>
      <c r="L8" s="327" t="s">
        <v>166</v>
      </c>
      <c r="M8" s="328">
        <v>1</v>
      </c>
      <c r="N8" s="328">
        <v>1</v>
      </c>
      <c r="O8" s="329">
        <v>1</v>
      </c>
      <c r="P8" s="329">
        <v>1</v>
      </c>
      <c r="X8" s="325">
        <v>4</v>
      </c>
      <c r="Y8" s="333" t="s">
        <v>875</v>
      </c>
      <c r="Z8" s="327" t="s">
        <v>888</v>
      </c>
      <c r="AA8" s="334" t="str">
        <f t="shared" si="1"/>
        <v>3. Anlagenbau - Projekt - nicht containerfähig</v>
      </c>
      <c r="AB8" s="329">
        <v>8.1275965640268857E-2</v>
      </c>
      <c r="AC8" s="329">
        <v>21.94451072287259</v>
      </c>
      <c r="AD8" s="458">
        <v>8.1275965640268857E-2</v>
      </c>
      <c r="AE8" s="335">
        <v>21.94451072287259</v>
      </c>
      <c r="AF8" s="329">
        <v>1.7835612995047041</v>
      </c>
      <c r="AG8" s="329">
        <v>1</v>
      </c>
      <c r="AH8" s="335">
        <v>1.2</v>
      </c>
      <c r="AJ8" s="362" t="s">
        <v>877</v>
      </c>
      <c r="AK8" s="464">
        <f t="shared" si="2"/>
        <v>0.89442719099991586</v>
      </c>
      <c r="AL8" s="464">
        <f t="shared" si="2"/>
        <v>0.89442719099991586</v>
      </c>
      <c r="AM8" s="465">
        <f t="shared" si="2"/>
        <v>0.89442719099991586</v>
      </c>
      <c r="AN8" s="466">
        <f t="shared" si="2"/>
        <v>0.89442719099991586</v>
      </c>
      <c r="AO8" s="364">
        <v>0.8</v>
      </c>
      <c r="AP8" s="858">
        <v>0.05</v>
      </c>
      <c r="AQ8" s="380" t="s">
        <v>877</v>
      </c>
      <c r="AR8" s="509">
        <v>0</v>
      </c>
      <c r="AS8" s="509">
        <v>0</v>
      </c>
      <c r="AU8" s="352" t="s">
        <v>889</v>
      </c>
      <c r="AV8" s="353">
        <v>1</v>
      </c>
      <c r="AW8" s="353">
        <v>1</v>
      </c>
      <c r="AX8" s="353">
        <v>1</v>
      </c>
      <c r="AY8" s="354">
        <v>1</v>
      </c>
      <c r="BA8" s="345" t="s">
        <v>890</v>
      </c>
      <c r="BB8" s="346" t="s">
        <v>167</v>
      </c>
      <c r="BC8" s="346" t="s">
        <v>891</v>
      </c>
      <c r="BD8" s="355">
        <v>1</v>
      </c>
      <c r="BE8" s="355">
        <v>1</v>
      </c>
      <c r="BF8" s="355">
        <v>1</v>
      </c>
      <c r="BG8" s="355">
        <v>1</v>
      </c>
      <c r="BH8" s="356">
        <v>1.2</v>
      </c>
      <c r="BJ8" s="352" t="str">
        <v>North Africa - West Africa</v>
      </c>
      <c r="BK8" s="327" t="s">
        <v>950</v>
      </c>
      <c r="BL8" s="327" t="s">
        <v>976</v>
      </c>
      <c r="BM8" s="429">
        <v>1.3600070313833992</v>
      </c>
      <c r="BN8" s="429">
        <v>1.3600070313833992</v>
      </c>
      <c r="BO8" s="459">
        <v>1.3600070313833992</v>
      </c>
      <c r="BP8" s="460">
        <v>1.3600070313833992</v>
      </c>
      <c r="BQ8" s="468"/>
      <c r="BR8" s="877">
        <v>1.849619125412286</v>
      </c>
      <c r="BS8" s="74">
        <f t="shared" si="0"/>
        <v>1.3600070313833992</v>
      </c>
      <c r="BT8" s="345" t="s">
        <v>168</v>
      </c>
      <c r="BU8" s="412">
        <v>5.0000000000000001E-4</v>
      </c>
      <c r="BV8" s="412">
        <v>0</v>
      </c>
      <c r="BW8" s="414">
        <v>5.0000000000000001E-4</v>
      </c>
      <c r="BY8" s="352" t="s">
        <v>892</v>
      </c>
      <c r="BZ8" s="357">
        <v>1</v>
      </c>
      <c r="CA8" s="355">
        <v>1</v>
      </c>
      <c r="CB8" s="355">
        <v>1</v>
      </c>
      <c r="CC8" s="355">
        <v>1</v>
      </c>
      <c r="CD8" s="358">
        <v>1</v>
      </c>
      <c r="CF8" s="345">
        <v>3</v>
      </c>
      <c r="CG8" s="353">
        <v>0.05</v>
      </c>
      <c r="CH8" s="359">
        <v>1</v>
      </c>
      <c r="CI8" s="353">
        <v>0.05</v>
      </c>
      <c r="CJ8" s="360">
        <v>1</v>
      </c>
      <c r="CL8" s="352" t="s">
        <v>252</v>
      </c>
      <c r="CM8" s="355" t="s">
        <v>893</v>
      </c>
      <c r="CS8" s="352" t="s">
        <v>894</v>
      </c>
      <c r="CT8" s="485" t="s">
        <v>692</v>
      </c>
      <c r="CU8" s="355" t="s">
        <v>858</v>
      </c>
      <c r="DB8" s="514" t="s">
        <v>895</v>
      </c>
      <c r="DC8" s="824" t="s">
        <v>64</v>
      </c>
      <c r="DD8" s="515"/>
      <c r="DE8" s="515"/>
      <c r="DF8" s="515"/>
      <c r="DG8" s="515"/>
      <c r="DH8" s="515"/>
      <c r="DI8" s="515"/>
      <c r="DO8" s="674" t="str">
        <v>Germany: West</v>
      </c>
      <c r="DP8" s="675" t="s">
        <v>4386</v>
      </c>
    </row>
    <row r="9" spans="1:124" x14ac:dyDescent="0.35">
      <c r="A9" s="343" t="s">
        <v>896</v>
      </c>
      <c r="B9" s="530">
        <f xml:space="preserve"> 2.53407071979508E-06</f>
        <v>2.53407071979508E-6</v>
      </c>
      <c r="D9" s="345" t="s">
        <v>193</v>
      </c>
      <c r="E9" s="346" t="s">
        <v>897</v>
      </c>
      <c r="F9" s="346" t="s">
        <v>194</v>
      </c>
      <c r="G9" s="347">
        <v>98.537779999999998</v>
      </c>
      <c r="I9" s="325">
        <v>6</v>
      </c>
      <c r="J9" s="326" t="s">
        <v>165</v>
      </c>
      <c r="K9" s="327" t="s">
        <v>898</v>
      </c>
      <c r="L9" s="327" t="s">
        <v>171</v>
      </c>
      <c r="M9" s="328">
        <v>1</v>
      </c>
      <c r="N9" s="328">
        <v>1</v>
      </c>
      <c r="O9" s="329">
        <v>1</v>
      </c>
      <c r="P9" s="329">
        <v>1</v>
      </c>
      <c r="X9" s="325">
        <v>5</v>
      </c>
      <c r="Y9" s="333" t="s">
        <v>875</v>
      </c>
      <c r="Z9" s="327" t="s">
        <v>899</v>
      </c>
      <c r="AA9" s="334" t="str">
        <f t="shared" si="1"/>
        <v>3. Anlagenbau - Serien- / Massenproduktion - containerfähig</v>
      </c>
      <c r="AB9" s="329">
        <v>0.16255193128053771</v>
      </c>
      <c r="AC9" s="329">
        <v>6.0956974230201642</v>
      </c>
      <c r="AD9" s="458">
        <v>0.16255193128053771</v>
      </c>
      <c r="AE9" s="335">
        <v>6.0956974230201642</v>
      </c>
      <c r="AF9" s="329">
        <v>0.99086738861372459</v>
      </c>
      <c r="AG9" s="329">
        <v>1</v>
      </c>
      <c r="AH9" s="335">
        <v>1.2</v>
      </c>
      <c r="AU9" s="420" t="s">
        <v>900</v>
      </c>
      <c r="AV9" s="423">
        <v>10</v>
      </c>
      <c r="AW9" s="421">
        <v>1</v>
      </c>
      <c r="AX9" s="421">
        <v>1</v>
      </c>
      <c r="AY9" s="422">
        <v>1</v>
      </c>
      <c r="BA9" s="345" t="s">
        <v>901</v>
      </c>
      <c r="BB9" s="346" t="s">
        <v>172</v>
      </c>
      <c r="BC9" s="346" t="s">
        <v>902</v>
      </c>
      <c r="BD9" s="355">
        <v>1</v>
      </c>
      <c r="BE9" s="355">
        <v>1</v>
      </c>
      <c r="BF9" s="355">
        <v>1</v>
      </c>
      <c r="BG9" s="355">
        <v>1</v>
      </c>
      <c r="BH9" s="356">
        <v>4.5</v>
      </c>
      <c r="BJ9" s="352" t="str">
        <v>North Africa - Central Africa</v>
      </c>
      <c r="BK9" s="327" t="s">
        <v>950</v>
      </c>
      <c r="BL9" s="327" t="s">
        <v>985</v>
      </c>
      <c r="BM9" s="429">
        <v>1.3600070313833992</v>
      </c>
      <c r="BN9" s="429">
        <v>1.3600070313833992</v>
      </c>
      <c r="BO9" s="459">
        <v>1.3600070313833992</v>
      </c>
      <c r="BP9" s="460">
        <v>1.3600070313833992</v>
      </c>
      <c r="BQ9" s="468"/>
      <c r="BR9" s="877">
        <v>1.849619125412286</v>
      </c>
      <c r="BS9" s="74">
        <f t="shared" si="0"/>
        <v>1.3600070313833992</v>
      </c>
      <c r="BT9" s="345" t="s">
        <v>173</v>
      </c>
      <c r="BU9" s="412">
        <v>5.0000000000000001E-4</v>
      </c>
      <c r="BV9" s="412">
        <v>0</v>
      </c>
      <c r="BW9" s="414">
        <v>5.0000000000000001E-4</v>
      </c>
      <c r="BY9" s="348" t="s">
        <v>903</v>
      </c>
      <c r="BZ9" s="365">
        <v>0</v>
      </c>
      <c r="CA9" s="366">
        <v>1</v>
      </c>
      <c r="CB9" s="366">
        <v>1</v>
      </c>
      <c r="CC9" s="366">
        <v>1</v>
      </c>
      <c r="CD9" s="367">
        <v>1</v>
      </c>
      <c r="CF9" s="345">
        <v>4</v>
      </c>
      <c r="CG9" s="353">
        <v>6.6666666666666666E-2</v>
      </c>
      <c r="CH9" s="359">
        <v>1</v>
      </c>
      <c r="CI9" s="353">
        <v>6.6666666666666666E-2</v>
      </c>
      <c r="CJ9" s="360">
        <v>1</v>
      </c>
      <c r="CL9" s="352" t="s">
        <v>259</v>
      </c>
      <c r="CM9" s="355" t="s">
        <v>904</v>
      </c>
      <c r="CS9" s="352" t="s">
        <v>501</v>
      </c>
      <c r="CT9" s="485" t="s">
        <v>501</v>
      </c>
      <c r="CU9" s="355" t="s">
        <v>858</v>
      </c>
      <c r="DB9" s="513" t="s">
        <v>905</v>
      </c>
      <c r="DC9" s="823" t="s">
        <v>64</v>
      </c>
      <c r="DD9" s="511"/>
      <c r="DE9" s="511"/>
      <c r="DF9" s="511"/>
      <c r="DG9" s="511"/>
      <c r="DH9" s="511"/>
      <c r="DI9" s="511"/>
      <c r="DO9" s="676" t="str">
        <v>Australia</v>
      </c>
      <c r="DP9" s="677" t="s">
        <v>4382</v>
      </c>
    </row>
    <row r="10" spans="1:124" x14ac:dyDescent="0.35">
      <c r="A10" s="343" t="s">
        <v>906</v>
      </c>
      <c r="B10" s="532">
        <v>-13.0133176825306</v>
      </c>
      <c r="D10" s="345" t="s">
        <v>200</v>
      </c>
      <c r="E10" s="346" t="s">
        <v>907</v>
      </c>
      <c r="F10" s="346" t="s">
        <v>201</v>
      </c>
      <c r="G10" s="347">
        <v>431.07378</v>
      </c>
      <c r="I10" s="325">
        <v>7</v>
      </c>
      <c r="J10" s="326" t="s">
        <v>165</v>
      </c>
      <c r="K10" s="327" t="s">
        <v>908</v>
      </c>
      <c r="L10" s="327" t="s">
        <v>178</v>
      </c>
      <c r="M10" s="328">
        <v>1</v>
      </c>
      <c r="N10" s="328">
        <v>1</v>
      </c>
      <c r="O10" s="329">
        <v>1</v>
      </c>
      <c r="P10" s="329">
        <v>1</v>
      </c>
      <c r="X10" s="325">
        <v>6</v>
      </c>
      <c r="Y10" s="333" t="s">
        <v>875</v>
      </c>
      <c r="Z10" s="327" t="s">
        <v>909</v>
      </c>
      <c r="AA10" s="334" t="str">
        <f t="shared" si="1"/>
        <v>3. Anlagenbau - Serien- / Massenproduktion - nicht containerfähig</v>
      </c>
      <c r="AB10" s="329">
        <v>0.16255193128053771</v>
      </c>
      <c r="AC10" s="329">
        <v>7.3148369076241968</v>
      </c>
      <c r="AD10" s="458">
        <v>0.16255193128053771</v>
      </c>
      <c r="AE10" s="335">
        <v>7.3148369076241968</v>
      </c>
      <c r="AF10" s="329">
        <v>1.1890408663364695</v>
      </c>
      <c r="AG10" s="329">
        <v>1</v>
      </c>
      <c r="AH10" s="335">
        <v>1.2</v>
      </c>
      <c r="AU10" s="348" t="s">
        <v>910</v>
      </c>
      <c r="AV10" s="350">
        <v>1</v>
      </c>
      <c r="AW10" s="350">
        <v>1</v>
      </c>
      <c r="AX10" s="350">
        <v>1</v>
      </c>
      <c r="AY10" s="351">
        <v>1</v>
      </c>
      <c r="BA10" s="345" t="s">
        <v>911</v>
      </c>
      <c r="BB10" s="346" t="s">
        <v>179</v>
      </c>
      <c r="BC10" s="346" t="s">
        <v>912</v>
      </c>
      <c r="BD10" s="355">
        <v>1</v>
      </c>
      <c r="BE10" s="355">
        <v>1</v>
      </c>
      <c r="BF10" s="355">
        <v>1</v>
      </c>
      <c r="BG10" s="355">
        <v>1</v>
      </c>
      <c r="BH10" s="356">
        <v>2.5</v>
      </c>
      <c r="BJ10" s="352" t="str">
        <v>North Africa - Asia</v>
      </c>
      <c r="BK10" s="327" t="s">
        <v>950</v>
      </c>
      <c r="BL10" s="327" t="s">
        <v>274</v>
      </c>
      <c r="BM10" s="429">
        <v>1.520534086025485</v>
      </c>
      <c r="BN10" s="429">
        <v>1.520534086025485</v>
      </c>
      <c r="BO10" s="459">
        <v>1.520534086025485</v>
      </c>
      <c r="BP10" s="460">
        <v>1.520534086025485</v>
      </c>
      <c r="BQ10" s="468"/>
      <c r="BR10" s="877">
        <v>2.312023906765357</v>
      </c>
      <c r="BS10" s="74">
        <f t="shared" si="0"/>
        <v>1.4764512369022533</v>
      </c>
      <c r="BT10" s="345" t="s">
        <v>180</v>
      </c>
      <c r="BU10" s="412">
        <v>5.0000000000000001E-4</v>
      </c>
      <c r="BV10" s="412">
        <v>0</v>
      </c>
      <c r="BW10" s="414">
        <v>5.0000000000000001E-4</v>
      </c>
      <c r="CF10" s="345">
        <v>5</v>
      </c>
      <c r="CG10" s="353">
        <v>8.3333333333333329E-2</v>
      </c>
      <c r="CH10" s="359">
        <v>1</v>
      </c>
      <c r="CI10" s="353">
        <v>8.3333333333333329E-2</v>
      </c>
      <c r="CJ10" s="360">
        <v>1</v>
      </c>
      <c r="CL10" s="352" t="s">
        <v>267</v>
      </c>
      <c r="CM10" s="355" t="s">
        <v>913</v>
      </c>
      <c r="CS10" s="352" t="s">
        <v>914</v>
      </c>
      <c r="CT10" s="485" t="s">
        <v>789</v>
      </c>
      <c r="CU10" s="355" t="s">
        <v>858</v>
      </c>
      <c r="DB10" s="514" t="s">
        <v>4630</v>
      </c>
      <c r="DC10" s="824" t="s">
        <v>4628</v>
      </c>
      <c r="DD10" s="515" t="s">
        <v>95</v>
      </c>
      <c r="DE10" s="515" t="s">
        <v>95</v>
      </c>
      <c r="DF10" s="515"/>
      <c r="DG10" s="515" t="s">
        <v>95</v>
      </c>
      <c r="DH10" s="515"/>
      <c r="DI10" s="515" t="s">
        <v>95</v>
      </c>
      <c r="DO10" s="674" t="str">
        <v>Austria</v>
      </c>
      <c r="DP10" s="675"/>
    </row>
    <row r="11" spans="1:124" x14ac:dyDescent="0.35">
      <c r="A11" s="343" t="s">
        <v>915</v>
      </c>
      <c r="B11" s="532">
        <v>0.41572828846745002</v>
      </c>
      <c r="D11" s="345" t="s">
        <v>207</v>
      </c>
      <c r="E11" s="346" t="s">
        <v>916</v>
      </c>
      <c r="F11" s="346" t="s">
        <v>208</v>
      </c>
      <c r="G11" s="347">
        <v>1.98105</v>
      </c>
      <c r="I11" s="325">
        <v>8</v>
      </c>
      <c r="J11" s="326" t="s">
        <v>165</v>
      </c>
      <c r="K11" s="327" t="s">
        <v>917</v>
      </c>
      <c r="L11" s="327" t="s">
        <v>184</v>
      </c>
      <c r="M11" s="328">
        <v>1</v>
      </c>
      <c r="N11" s="328">
        <v>1</v>
      </c>
      <c r="O11" s="329">
        <v>1</v>
      </c>
      <c r="P11" s="329">
        <v>1</v>
      </c>
      <c r="X11" s="325">
        <v>7</v>
      </c>
      <c r="Y11" s="333" t="s">
        <v>918</v>
      </c>
      <c r="Z11" s="327" t="s">
        <v>919</v>
      </c>
      <c r="AA11" s="334" t="str">
        <f t="shared" si="1"/>
        <v>4. Automobilbau - Fahrzeuge - PKW Verbrenner</v>
      </c>
      <c r="AB11" s="329">
        <v>0.81275965640268855</v>
      </c>
      <c r="AC11" s="329">
        <v>1.422329398704705</v>
      </c>
      <c r="AD11" s="458">
        <v>0.81275965640268855</v>
      </c>
      <c r="AE11" s="335">
        <v>1.422329398704705</v>
      </c>
      <c r="AF11" s="329">
        <v>1.1560119533826787</v>
      </c>
      <c r="AG11" s="329">
        <v>1</v>
      </c>
      <c r="AH11" s="335">
        <v>1.2</v>
      </c>
      <c r="BA11" s="345" t="s">
        <v>920</v>
      </c>
      <c r="BB11" s="346" t="s">
        <v>185</v>
      </c>
      <c r="BC11" s="346" t="s">
        <v>921</v>
      </c>
      <c r="BD11" s="355">
        <v>1</v>
      </c>
      <c r="BE11" s="355">
        <v>1</v>
      </c>
      <c r="BF11" s="355">
        <v>1</v>
      </c>
      <c r="BG11" s="355">
        <v>1</v>
      </c>
      <c r="BH11" s="356">
        <v>3</v>
      </c>
      <c r="BJ11" s="352" t="str">
        <v>North Africa - SouthEast Asia</v>
      </c>
      <c r="BK11" s="327" t="s">
        <v>950</v>
      </c>
      <c r="BL11" s="327" t="s">
        <v>930</v>
      </c>
      <c r="BM11" s="429">
        <v>1.520534086025485</v>
      </c>
      <c r="BN11" s="429">
        <v>1.520534086025485</v>
      </c>
      <c r="BO11" s="459">
        <v>1.520534086025485</v>
      </c>
      <c r="BP11" s="460">
        <v>1.520534086025485</v>
      </c>
      <c r="BQ11" s="468"/>
      <c r="BR11" s="877">
        <v>2.312023906765357</v>
      </c>
      <c r="BS11" s="74">
        <f t="shared" si="0"/>
        <v>1.520534086025485</v>
      </c>
      <c r="BT11" s="345" t="s">
        <v>154</v>
      </c>
      <c r="BU11" s="412">
        <v>0</v>
      </c>
      <c r="BV11" s="412">
        <v>0</v>
      </c>
      <c r="BW11" s="414">
        <v>0</v>
      </c>
      <c r="CF11" s="345">
        <v>6</v>
      </c>
      <c r="CG11" s="353">
        <v>0.1</v>
      </c>
      <c r="CH11" s="359">
        <v>1</v>
      </c>
      <c r="CI11" s="353">
        <v>0.1</v>
      </c>
      <c r="CJ11" s="360">
        <v>1</v>
      </c>
      <c r="CL11" s="352" t="s">
        <v>274</v>
      </c>
      <c r="CM11" s="355" t="s">
        <v>274</v>
      </c>
      <c r="CS11" s="352" t="s">
        <v>922</v>
      </c>
      <c r="CT11" s="485" t="s">
        <v>797</v>
      </c>
      <c r="CU11" s="355" t="s">
        <v>858</v>
      </c>
      <c r="DB11" s="513" t="s">
        <v>4639</v>
      </c>
      <c r="DC11" s="823" t="s">
        <v>64</v>
      </c>
      <c r="DD11" s="511" t="s">
        <v>95</v>
      </c>
      <c r="DE11" s="511" t="s">
        <v>95</v>
      </c>
      <c r="DF11" s="511"/>
      <c r="DG11" s="511" t="s">
        <v>95</v>
      </c>
      <c r="DH11" s="511"/>
      <c r="DI11" s="511" t="s">
        <v>95</v>
      </c>
      <c r="DO11" s="674" t="str">
        <v>Belgium</v>
      </c>
      <c r="DP11" s="675" t="s">
        <v>4383</v>
      </c>
    </row>
    <row r="12" spans="1:124" x14ac:dyDescent="0.35">
      <c r="A12" s="343" t="s">
        <v>924</v>
      </c>
      <c r="B12" s="532">
        <v>-7.2493606225886298</v>
      </c>
      <c r="D12" s="345" t="s">
        <v>214</v>
      </c>
      <c r="E12" s="346" t="s">
        <v>925</v>
      </c>
      <c r="F12" s="346" t="s">
        <v>215</v>
      </c>
      <c r="G12" s="347">
        <v>1020.25554</v>
      </c>
      <c r="I12" s="325">
        <v>9</v>
      </c>
      <c r="J12" s="326" t="s">
        <v>165</v>
      </c>
      <c r="K12" s="327" t="s">
        <v>926</v>
      </c>
      <c r="L12" s="327" t="s">
        <v>190</v>
      </c>
      <c r="M12" s="328">
        <v>1</v>
      </c>
      <c r="N12" s="328">
        <v>1</v>
      </c>
      <c r="O12" s="329">
        <v>1</v>
      </c>
      <c r="P12" s="329">
        <v>1</v>
      </c>
      <c r="X12" s="325">
        <v>8</v>
      </c>
      <c r="Y12" s="333" t="s">
        <v>918</v>
      </c>
      <c r="Z12" s="327" t="s">
        <v>927</v>
      </c>
      <c r="AA12" s="334" t="str">
        <f t="shared" si="1"/>
        <v>4. Automobilbau - Fahrzeuge - PKW Elektro</v>
      </c>
      <c r="AB12" s="329">
        <v>0.81275965640268855</v>
      </c>
      <c r="AC12" s="329">
        <v>1.8287092269060492</v>
      </c>
      <c r="AD12" s="458">
        <v>0.81275965640268855</v>
      </c>
      <c r="AE12" s="335">
        <v>1.8287092269060492</v>
      </c>
      <c r="AF12" s="329">
        <v>1.4863010829205867</v>
      </c>
      <c r="AG12" s="329">
        <v>1</v>
      </c>
      <c r="AH12" s="335">
        <v>1.2</v>
      </c>
      <c r="BA12" s="345" t="s">
        <v>928</v>
      </c>
      <c r="BB12" s="346" t="s">
        <v>160</v>
      </c>
      <c r="BC12" s="346" t="s">
        <v>929</v>
      </c>
      <c r="BD12" s="355">
        <v>1</v>
      </c>
      <c r="BE12" s="355">
        <v>1</v>
      </c>
      <c r="BF12" s="355">
        <v>1</v>
      </c>
      <c r="BG12" s="355">
        <v>1</v>
      </c>
      <c r="BH12" s="356">
        <v>2</v>
      </c>
      <c r="BJ12" s="352" t="str">
        <v>North Africa - Australia</v>
      </c>
      <c r="BK12" s="327" t="s">
        <v>950</v>
      </c>
      <c r="BL12" s="327" t="s">
        <v>160</v>
      </c>
      <c r="BM12" s="429">
        <v>1.453908672868627</v>
      </c>
      <c r="BN12" s="429">
        <v>1.453908672868627</v>
      </c>
      <c r="BO12" s="459">
        <v>1.453908672868627</v>
      </c>
      <c r="BP12" s="460">
        <v>1.453908672868627</v>
      </c>
      <c r="BQ12" s="468"/>
      <c r="BR12" s="877">
        <v>2.1138504290426123</v>
      </c>
      <c r="BS12" s="74">
        <f t="shared" si="0"/>
        <v>1.384079821151897</v>
      </c>
      <c r="BT12" s="345" t="s">
        <v>146</v>
      </c>
      <c r="BU12" s="412">
        <v>7.0000000000000001E-3</v>
      </c>
      <c r="BV12" s="412">
        <v>8.9999999999999993E-3</v>
      </c>
      <c r="BW12" s="414">
        <v>7.0000000000000001E-3</v>
      </c>
      <c r="CF12" s="345">
        <v>7</v>
      </c>
      <c r="CG12" s="353">
        <v>0.11666666666666667</v>
      </c>
      <c r="CH12" s="359">
        <v>1</v>
      </c>
      <c r="CI12" s="353">
        <v>0.11666666666666667</v>
      </c>
      <c r="CJ12" s="360">
        <v>1</v>
      </c>
      <c r="CL12" s="352" t="s">
        <v>279</v>
      </c>
      <c r="CM12" s="355" t="s">
        <v>930</v>
      </c>
      <c r="CS12" s="352" t="s">
        <v>931</v>
      </c>
      <c r="CT12" s="485" t="s">
        <v>296</v>
      </c>
      <c r="CU12" s="355" t="s">
        <v>932</v>
      </c>
      <c r="DB12" s="513" t="s">
        <v>923</v>
      </c>
      <c r="DC12" s="823" t="s">
        <v>64</v>
      </c>
      <c r="DD12" s="511">
        <v>250000</v>
      </c>
      <c r="DE12" s="511">
        <v>600000</v>
      </c>
      <c r="DF12" s="511"/>
      <c r="DG12" s="511">
        <v>500000</v>
      </c>
      <c r="DH12" s="511"/>
      <c r="DI12" s="511">
        <v>10000</v>
      </c>
      <c r="DO12" s="676" t="str">
        <v>Brazil</v>
      </c>
      <c r="DP12" s="677"/>
    </row>
    <row r="13" spans="1:124" x14ac:dyDescent="0.35">
      <c r="A13" s="343" t="s">
        <v>935</v>
      </c>
      <c r="B13" s="532">
        <v>0.60373695427693996</v>
      </c>
      <c r="D13" s="345" t="s">
        <v>218</v>
      </c>
      <c r="E13" s="346" t="s">
        <v>936</v>
      </c>
      <c r="F13" s="346" t="s">
        <v>219</v>
      </c>
      <c r="G13" s="347">
        <v>1283.27557</v>
      </c>
      <c r="I13" s="325">
        <v>10</v>
      </c>
      <c r="J13" s="326" t="s">
        <v>195</v>
      </c>
      <c r="K13" s="327" t="s">
        <v>937</v>
      </c>
      <c r="L13" s="327" t="s">
        <v>196</v>
      </c>
      <c r="M13" s="328">
        <v>1</v>
      </c>
      <c r="N13" s="328">
        <v>1</v>
      </c>
      <c r="O13" s="329">
        <v>1</v>
      </c>
      <c r="P13" s="329">
        <v>1</v>
      </c>
      <c r="X13" s="325">
        <v>9</v>
      </c>
      <c r="Y13" s="333" t="s">
        <v>918</v>
      </c>
      <c r="Z13" s="327" t="s">
        <v>938</v>
      </c>
      <c r="AA13" s="334" t="str">
        <f t="shared" si="1"/>
        <v>4. Automobilbau - Fahrzeuge - LKW Verbrenner</v>
      </c>
      <c r="AB13" s="329">
        <v>0.81275965640268855</v>
      </c>
      <c r="AC13" s="329">
        <v>1.2191394846040329</v>
      </c>
      <c r="AD13" s="458">
        <v>0.81275965640268855</v>
      </c>
      <c r="AE13" s="335">
        <v>1.2191394846040329</v>
      </c>
      <c r="AF13" s="329">
        <v>0.99086738861372459</v>
      </c>
      <c r="AG13" s="329">
        <v>1</v>
      </c>
      <c r="AH13" s="335">
        <v>1.2</v>
      </c>
      <c r="BA13" s="345" t="s">
        <v>939</v>
      </c>
      <c r="BB13" s="346" t="s">
        <v>197</v>
      </c>
      <c r="BC13" s="346" t="s">
        <v>940</v>
      </c>
      <c r="BD13" s="355">
        <v>1</v>
      </c>
      <c r="BE13" s="355">
        <v>1</v>
      </c>
      <c r="BF13" s="355">
        <v>1</v>
      </c>
      <c r="BG13" s="355">
        <v>1</v>
      </c>
      <c r="BH13" s="356">
        <v>1</v>
      </c>
      <c r="BJ13" s="352" t="str">
        <v>North Africa - Near East</v>
      </c>
      <c r="BK13" s="327" t="s">
        <v>950</v>
      </c>
      <c r="BL13" s="327" t="s">
        <v>941</v>
      </c>
      <c r="BM13" s="429">
        <v>1.431011042282704</v>
      </c>
      <c r="BN13" s="429">
        <v>1.431011042282704</v>
      </c>
      <c r="BO13" s="459">
        <v>1.431011042282704</v>
      </c>
      <c r="BP13" s="460">
        <v>1.431011042282704</v>
      </c>
      <c r="BQ13" s="468"/>
      <c r="BR13" s="877">
        <v>2.0477926031350311</v>
      </c>
      <c r="BS13" s="74">
        <f t="shared" si="0"/>
        <v>1.431011042282704</v>
      </c>
      <c r="BT13" s="345" t="s">
        <v>198</v>
      </c>
      <c r="BU13" s="412">
        <v>1.5E-3</v>
      </c>
      <c r="BV13" s="412">
        <v>3.5000000000000001E-3</v>
      </c>
      <c r="BW13" s="414">
        <v>1.5E-3</v>
      </c>
      <c r="CF13" s="345">
        <v>8</v>
      </c>
      <c r="CG13" s="353">
        <v>0.13333333333333333</v>
      </c>
      <c r="CH13" s="359">
        <v>1</v>
      </c>
      <c r="CI13" s="353">
        <v>0.13333333333333333</v>
      </c>
      <c r="CJ13" s="360">
        <v>1</v>
      </c>
      <c r="CL13" s="352" t="s">
        <v>286</v>
      </c>
      <c r="CM13" s="355" t="s">
        <v>941</v>
      </c>
      <c r="CS13" s="352" t="s">
        <v>229</v>
      </c>
      <c r="CT13" s="485" t="s">
        <v>229</v>
      </c>
      <c r="CU13" s="355" t="s">
        <v>932</v>
      </c>
      <c r="DB13" s="514" t="s">
        <v>933</v>
      </c>
      <c r="DC13" s="824" t="s">
        <v>64</v>
      </c>
      <c r="DD13" s="516" t="s">
        <v>934</v>
      </c>
      <c r="DE13" s="515"/>
      <c r="DF13" s="515"/>
      <c r="DG13" s="515"/>
      <c r="DH13" s="515"/>
      <c r="DI13" s="515"/>
      <c r="DO13" s="674" t="str">
        <v>Canada</v>
      </c>
      <c r="DP13" s="675"/>
    </row>
    <row r="14" spans="1:124" x14ac:dyDescent="0.35">
      <c r="A14" s="343" t="s">
        <v>944</v>
      </c>
      <c r="B14" s="530">
        <v>4.5513239999999999E-5</v>
      </c>
      <c r="D14" s="345" t="s">
        <v>225</v>
      </c>
      <c r="E14" s="346" t="s">
        <v>945</v>
      </c>
      <c r="F14" s="346" t="s">
        <v>226</v>
      </c>
      <c r="G14" s="347">
        <v>1.7393000000000001</v>
      </c>
      <c r="I14" s="325">
        <v>11</v>
      </c>
      <c r="J14" s="326" t="s">
        <v>195</v>
      </c>
      <c r="K14" s="327" t="s">
        <v>946</v>
      </c>
      <c r="L14" s="327" t="s">
        <v>202</v>
      </c>
      <c r="M14" s="328">
        <v>1</v>
      </c>
      <c r="N14" s="328">
        <v>1</v>
      </c>
      <c r="O14" s="329">
        <v>1</v>
      </c>
      <c r="P14" s="329">
        <v>1</v>
      </c>
      <c r="X14" s="325">
        <v>10</v>
      </c>
      <c r="Y14" s="333" t="s">
        <v>918</v>
      </c>
      <c r="Z14" s="327" t="s">
        <v>947</v>
      </c>
      <c r="AA14" s="334" t="str">
        <f t="shared" si="1"/>
        <v>4. Automobilbau - Fahrzeuge - LKW Elektro</v>
      </c>
      <c r="AB14" s="329">
        <v>0.81275965640268855</v>
      </c>
      <c r="AC14" s="329">
        <v>1.6255193128053771</v>
      </c>
      <c r="AD14" s="458">
        <v>0.81275965640268855</v>
      </c>
      <c r="AE14" s="335">
        <v>1.6255193128053771</v>
      </c>
      <c r="AF14" s="329">
        <v>1.3211565181516327</v>
      </c>
      <c r="AG14" s="329">
        <v>1</v>
      </c>
      <c r="AH14" s="335">
        <v>1.2</v>
      </c>
      <c r="BA14" s="345" t="s">
        <v>948</v>
      </c>
      <c r="BB14" s="346" t="s">
        <v>203</v>
      </c>
      <c r="BC14" s="346" t="s">
        <v>949</v>
      </c>
      <c r="BD14" s="355">
        <v>1</v>
      </c>
      <c r="BE14" s="355">
        <v>1</v>
      </c>
      <c r="BF14" s="355">
        <v>1</v>
      </c>
      <c r="BG14" s="355">
        <v>1</v>
      </c>
      <c r="BH14" s="356">
        <v>3</v>
      </c>
      <c r="BJ14" s="352" t="str">
        <v>North Africa - North Europe</v>
      </c>
      <c r="BK14" s="327" t="s">
        <v>950</v>
      </c>
      <c r="BL14" s="327" t="s">
        <v>856</v>
      </c>
      <c r="BM14" s="429">
        <v>1.442505291528881</v>
      </c>
      <c r="BN14" s="429">
        <v>1.442505291528881</v>
      </c>
      <c r="BO14" s="459">
        <v>1.442505291528881</v>
      </c>
      <c r="BP14" s="460">
        <v>1.442505291528881</v>
      </c>
      <c r="BQ14" s="468"/>
      <c r="BR14" s="877">
        <v>2.0808215160888217</v>
      </c>
      <c r="BS14" s="74">
        <f t="shared" si="0"/>
        <v>1.3720962205202945</v>
      </c>
      <c r="BT14" s="345" t="s">
        <v>204</v>
      </c>
      <c r="BU14" s="412">
        <v>2E-3</v>
      </c>
      <c r="BV14" s="412">
        <v>4.0000000000000001E-3</v>
      </c>
      <c r="BW14" s="414">
        <v>2E-3</v>
      </c>
      <c r="CF14" s="345">
        <v>9</v>
      </c>
      <c r="CG14" s="353">
        <v>0.15</v>
      </c>
      <c r="CH14" s="359">
        <v>1</v>
      </c>
      <c r="CI14" s="353">
        <v>0.15</v>
      </c>
      <c r="CJ14" s="360">
        <v>1</v>
      </c>
      <c r="CL14" s="352" t="s">
        <v>292</v>
      </c>
      <c r="CM14" s="355" t="s">
        <v>950</v>
      </c>
      <c r="CS14" s="352" t="s">
        <v>951</v>
      </c>
      <c r="CT14" s="485" t="s">
        <v>413</v>
      </c>
      <c r="CU14" s="355" t="s">
        <v>932</v>
      </c>
      <c r="DB14" s="513" t="s">
        <v>942</v>
      </c>
      <c r="DC14" s="823" t="s">
        <v>64</v>
      </c>
      <c r="DD14" s="517" t="s">
        <v>943</v>
      </c>
      <c r="DE14" s="511"/>
      <c r="DF14" s="511"/>
      <c r="DG14" s="511"/>
      <c r="DH14" s="511"/>
      <c r="DI14" s="511"/>
      <c r="DO14" s="674" t="str">
        <v>Czechia</v>
      </c>
      <c r="DP14" s="675"/>
    </row>
    <row r="15" spans="1:124" x14ac:dyDescent="0.35">
      <c r="A15" s="343" t="s">
        <v>954</v>
      </c>
      <c r="B15" s="532">
        <v>-18.545879114735182</v>
      </c>
      <c r="D15" s="345" t="s">
        <v>232</v>
      </c>
      <c r="E15" s="346" t="s">
        <v>955</v>
      </c>
      <c r="F15" s="346" t="s">
        <v>233</v>
      </c>
      <c r="G15" s="347">
        <v>1.98105</v>
      </c>
      <c r="I15" s="325">
        <v>12</v>
      </c>
      <c r="J15" s="326" t="s">
        <v>195</v>
      </c>
      <c r="K15" s="327" t="s">
        <v>956</v>
      </c>
      <c r="L15" s="327" t="s">
        <v>209</v>
      </c>
      <c r="M15" s="328">
        <v>1</v>
      </c>
      <c r="N15" s="328">
        <v>1</v>
      </c>
      <c r="O15" s="329">
        <v>1</v>
      </c>
      <c r="P15" s="329">
        <v>1</v>
      </c>
      <c r="X15" s="325">
        <v>11</v>
      </c>
      <c r="Y15" s="333" t="s">
        <v>918</v>
      </c>
      <c r="Z15" s="327" t="s">
        <v>957</v>
      </c>
      <c r="AA15" s="334" t="str">
        <f t="shared" si="1"/>
        <v>4. Automobilbau - Fahrzeuge - Campingfahrzeuge Verbrenner</v>
      </c>
      <c r="AB15" s="329">
        <v>0.81275965640268855</v>
      </c>
      <c r="AC15" s="329">
        <v>2.0318991410067215</v>
      </c>
      <c r="AD15" s="458">
        <v>0.81275965640268855</v>
      </c>
      <c r="AE15" s="335">
        <v>2.0318991410067215</v>
      </c>
      <c r="AF15" s="329">
        <v>1.6514456476895409</v>
      </c>
      <c r="AG15" s="329">
        <v>1</v>
      </c>
      <c r="AH15" s="335">
        <v>1.2</v>
      </c>
      <c r="BA15" s="345" t="s">
        <v>958</v>
      </c>
      <c r="BB15" s="346" t="s">
        <v>210</v>
      </c>
      <c r="BC15" s="346" t="s">
        <v>959</v>
      </c>
      <c r="BD15" s="355">
        <v>1</v>
      </c>
      <c r="BE15" s="355">
        <v>1</v>
      </c>
      <c r="BF15" s="355">
        <v>1</v>
      </c>
      <c r="BG15" s="355">
        <v>1</v>
      </c>
      <c r="BH15" s="356">
        <v>3</v>
      </c>
      <c r="BJ15" s="352" t="str">
        <v>North Africa - East Europe</v>
      </c>
      <c r="BK15" s="327" t="s">
        <v>950</v>
      </c>
      <c r="BL15" s="327" t="s">
        <v>869</v>
      </c>
      <c r="BM15" s="429">
        <v>1.4986547570597357</v>
      </c>
      <c r="BN15" s="429">
        <v>1.4986547570597357</v>
      </c>
      <c r="BO15" s="459">
        <v>1.4986547570597357</v>
      </c>
      <c r="BP15" s="460">
        <v>1.4986547570597357</v>
      </c>
      <c r="BQ15" s="468"/>
      <c r="BR15" s="877">
        <v>2.2459660808577753</v>
      </c>
      <c r="BS15" s="74">
        <f t="shared" si="0"/>
        <v>1.431011042282704</v>
      </c>
      <c r="BT15" s="345" t="s">
        <v>211</v>
      </c>
      <c r="BU15" s="412">
        <v>2E-3</v>
      </c>
      <c r="BV15" s="412">
        <v>4.0000000000000001E-3</v>
      </c>
      <c r="BW15" s="414">
        <v>2E-3</v>
      </c>
      <c r="CF15" s="345">
        <v>10</v>
      </c>
      <c r="CG15" s="353">
        <v>0.16666666666666666</v>
      </c>
      <c r="CH15" s="359">
        <v>1</v>
      </c>
      <c r="CI15" s="353">
        <v>0.16666666666666666</v>
      </c>
      <c r="CJ15" s="360">
        <v>1</v>
      </c>
      <c r="CL15" s="352" t="s">
        <v>298</v>
      </c>
      <c r="CM15" s="355" t="s">
        <v>960</v>
      </c>
      <c r="CS15" s="352" t="s">
        <v>291</v>
      </c>
      <c r="CT15" s="485" t="s">
        <v>291</v>
      </c>
      <c r="CU15" s="355" t="s">
        <v>932</v>
      </c>
      <c r="DB15" s="514" t="s">
        <v>952</v>
      </c>
      <c r="DC15" s="824" t="s">
        <v>64</v>
      </c>
      <c r="DD15" s="516" t="s">
        <v>953</v>
      </c>
      <c r="DE15" s="515"/>
      <c r="DF15" s="515"/>
      <c r="DG15" s="515"/>
      <c r="DH15" s="515"/>
      <c r="DI15" s="515"/>
      <c r="DO15" s="676" t="str">
        <v>Denmark</v>
      </c>
      <c r="DP15" s="677"/>
    </row>
    <row r="16" spans="1:124" x14ac:dyDescent="0.35">
      <c r="A16" s="343" t="s">
        <v>963</v>
      </c>
      <c r="B16" s="532">
        <v>0.89639357659058982</v>
      </c>
      <c r="D16" s="345" t="s">
        <v>239</v>
      </c>
      <c r="E16" s="346" t="s">
        <v>964</v>
      </c>
      <c r="F16" s="346" t="s">
        <v>240</v>
      </c>
      <c r="G16" s="347">
        <v>1.88157</v>
      </c>
      <c r="I16" s="325">
        <v>13</v>
      </c>
      <c r="J16" s="326" t="s">
        <v>195</v>
      </c>
      <c r="K16" s="327" t="s">
        <v>965</v>
      </c>
      <c r="L16" s="327" t="s">
        <v>216</v>
      </c>
      <c r="M16" s="328">
        <v>1</v>
      </c>
      <c r="N16" s="328">
        <v>1</v>
      </c>
      <c r="O16" s="329">
        <v>1</v>
      </c>
      <c r="P16" s="329">
        <v>1</v>
      </c>
      <c r="X16" s="325">
        <v>12</v>
      </c>
      <c r="Y16" s="333" t="s">
        <v>918</v>
      </c>
      <c r="Z16" s="327" t="s">
        <v>966</v>
      </c>
      <c r="AA16" s="334" t="str">
        <f t="shared" si="1"/>
        <v>4. Automobilbau - Fahrzeuge - Campingfahrzeuge Elektro</v>
      </c>
      <c r="AB16" s="329">
        <v>0.81275965640268855</v>
      </c>
      <c r="AC16" s="329">
        <v>2.4382789692080657</v>
      </c>
      <c r="AD16" s="458">
        <v>0.81275965640268855</v>
      </c>
      <c r="AE16" s="335">
        <v>2.4382789692080657</v>
      </c>
      <c r="AF16" s="329">
        <v>1.9817347772274492</v>
      </c>
      <c r="AG16" s="329">
        <v>1</v>
      </c>
      <c r="AH16" s="335">
        <v>1.2</v>
      </c>
      <c r="BA16" s="345" t="s">
        <v>967</v>
      </c>
      <c r="BB16" s="346" t="s">
        <v>204</v>
      </c>
      <c r="BC16" s="346" t="s">
        <v>968</v>
      </c>
      <c r="BD16" s="355">
        <v>1</v>
      </c>
      <c r="BE16" s="355">
        <v>1</v>
      </c>
      <c r="BF16" s="355">
        <v>1</v>
      </c>
      <c r="BG16" s="355">
        <v>1</v>
      </c>
      <c r="BH16" s="356">
        <v>3.5</v>
      </c>
      <c r="BJ16" s="352" t="str">
        <v>North Africa - South Europe</v>
      </c>
      <c r="BK16" s="327" t="s">
        <v>950</v>
      </c>
      <c r="BL16" s="327" t="s">
        <v>882</v>
      </c>
      <c r="BM16" s="429">
        <v>1.431011042282704</v>
      </c>
      <c r="BN16" s="429">
        <v>1.431011042282704</v>
      </c>
      <c r="BO16" s="459">
        <v>1.431011042282704</v>
      </c>
      <c r="BP16" s="460">
        <v>1.431011042282704</v>
      </c>
      <c r="BQ16" s="468"/>
      <c r="BR16" s="877">
        <v>2.0477926031350311</v>
      </c>
      <c r="BS16" s="74">
        <f t="shared" si="0"/>
        <v>1.3355003929257019</v>
      </c>
      <c r="BT16" s="345" t="s">
        <v>217</v>
      </c>
      <c r="BU16" s="412">
        <v>4.4999999999999997E-3</v>
      </c>
      <c r="BV16" s="412">
        <v>6.4999999999999997E-3</v>
      </c>
      <c r="BW16" s="414">
        <v>4.4999999999999997E-3</v>
      </c>
      <c r="CF16" s="345">
        <v>11</v>
      </c>
      <c r="CG16" s="353">
        <v>0.18333333333333332</v>
      </c>
      <c r="CH16" s="359">
        <v>1</v>
      </c>
      <c r="CI16" s="353">
        <v>0.18333333333333332</v>
      </c>
      <c r="CJ16" s="360">
        <v>1</v>
      </c>
      <c r="CL16" s="352" t="s">
        <v>305</v>
      </c>
      <c r="CM16" s="355" t="s">
        <v>777</v>
      </c>
      <c r="CS16" s="352" t="s">
        <v>969</v>
      </c>
      <c r="CT16" s="485" t="s">
        <v>370</v>
      </c>
      <c r="CU16" s="355" t="s">
        <v>932</v>
      </c>
      <c r="DB16" s="513" t="s">
        <v>961</v>
      </c>
      <c r="DC16" s="823" t="s">
        <v>64</v>
      </c>
      <c r="DD16" s="517" t="s">
        <v>962</v>
      </c>
      <c r="DE16" s="511"/>
      <c r="DF16" s="511"/>
      <c r="DG16" s="511"/>
      <c r="DH16" s="511"/>
      <c r="DI16" s="511"/>
      <c r="DO16" s="674" t="str">
        <v>France</v>
      </c>
      <c r="DP16" s="675" t="s">
        <v>4384</v>
      </c>
    </row>
    <row r="17" spans="1:120" x14ac:dyDescent="0.35">
      <c r="A17" s="343" t="s">
        <v>970</v>
      </c>
      <c r="B17" s="532">
        <v>-7.2493606225886298</v>
      </c>
      <c r="D17" s="345" t="s">
        <v>246</v>
      </c>
      <c r="E17" s="346" t="s">
        <v>971</v>
      </c>
      <c r="F17" s="346" t="s">
        <v>247</v>
      </c>
      <c r="G17" s="347">
        <v>2.21347</v>
      </c>
      <c r="I17" s="325">
        <v>14</v>
      </c>
      <c r="J17" s="326" t="s">
        <v>195</v>
      </c>
      <c r="K17" s="327" t="s">
        <v>972</v>
      </c>
      <c r="L17" s="327" t="s">
        <v>220</v>
      </c>
      <c r="M17" s="328">
        <v>1</v>
      </c>
      <c r="N17" s="328">
        <v>1</v>
      </c>
      <c r="O17" s="329">
        <v>1</v>
      </c>
      <c r="P17" s="329">
        <v>1</v>
      </c>
      <c r="X17" s="325">
        <v>13</v>
      </c>
      <c r="Y17" s="333" t="s">
        <v>918</v>
      </c>
      <c r="Z17" s="327" t="s">
        <v>973</v>
      </c>
      <c r="AA17" s="334" t="str">
        <f t="shared" si="1"/>
        <v>4. Automobilbau - Fahrzeuge - Motorräder Verbrenner</v>
      </c>
      <c r="AB17" s="329">
        <v>0.81275965640268855</v>
      </c>
      <c r="AC17" s="329">
        <v>1.1378635189637638</v>
      </c>
      <c r="AD17" s="458">
        <v>0.81275965640268855</v>
      </c>
      <c r="AE17" s="335">
        <v>1.1378635189637638</v>
      </c>
      <c r="AF17" s="329">
        <v>0.92480956270614278</v>
      </c>
      <c r="AG17" s="329">
        <v>1</v>
      </c>
      <c r="AH17" s="335">
        <v>1.2</v>
      </c>
      <c r="BA17" s="345" t="s">
        <v>974</v>
      </c>
      <c r="BB17" s="346" t="s">
        <v>221</v>
      </c>
      <c r="BC17" s="346" t="s">
        <v>975</v>
      </c>
      <c r="BD17" s="355">
        <v>1</v>
      </c>
      <c r="BE17" s="355">
        <v>1</v>
      </c>
      <c r="BF17" s="355">
        <v>1</v>
      </c>
      <c r="BG17" s="355">
        <v>1</v>
      </c>
      <c r="BH17" s="356">
        <v>10</v>
      </c>
      <c r="BJ17" s="352" t="str">
        <v>North Africa - West Europe</v>
      </c>
      <c r="BK17" s="327" t="s">
        <v>950</v>
      </c>
      <c r="BL17" s="327" t="s">
        <v>893</v>
      </c>
      <c r="BM17" s="429">
        <v>1.453908672868627</v>
      </c>
      <c r="BN17" s="429">
        <v>1.453908672868627</v>
      </c>
      <c r="BO17" s="459">
        <v>1.453908672868627</v>
      </c>
      <c r="BP17" s="460">
        <v>1.453908672868627</v>
      </c>
      <c r="BQ17" s="468"/>
      <c r="BR17" s="877">
        <v>2.1138504290426123</v>
      </c>
      <c r="BS17" s="74">
        <f t="shared" si="0"/>
        <v>1.3600070313833992</v>
      </c>
      <c r="BT17" s="345" t="s">
        <v>222</v>
      </c>
      <c r="BU17" s="412">
        <v>3.0000000000000001E-3</v>
      </c>
      <c r="BV17" s="412">
        <v>5.0000000000000001E-3</v>
      </c>
      <c r="BW17" s="414">
        <v>3.0000000000000001E-3</v>
      </c>
      <c r="CF17" s="345">
        <v>12</v>
      </c>
      <c r="CG17" s="353">
        <v>0.2</v>
      </c>
      <c r="CH17" s="359">
        <v>1</v>
      </c>
      <c r="CI17" s="353">
        <v>0.2</v>
      </c>
      <c r="CJ17" s="360">
        <v>1</v>
      </c>
      <c r="CL17" s="352" t="s">
        <v>312</v>
      </c>
      <c r="CM17" s="355" t="s">
        <v>976</v>
      </c>
      <c r="CS17" s="352" t="s">
        <v>977</v>
      </c>
      <c r="CT17" s="485" t="s">
        <v>978</v>
      </c>
      <c r="CU17" s="355" t="s">
        <v>932</v>
      </c>
      <c r="DB17" s="514" t="s">
        <v>4631</v>
      </c>
      <c r="DC17" s="824" t="s">
        <v>4628</v>
      </c>
      <c r="DD17" s="515" t="s">
        <v>95</v>
      </c>
      <c r="DE17" s="515" t="s">
        <v>95</v>
      </c>
      <c r="DF17" s="515" t="s">
        <v>95</v>
      </c>
      <c r="DG17" s="515" t="s">
        <v>95</v>
      </c>
      <c r="DH17" s="515"/>
      <c r="DI17" s="515" t="s">
        <v>95</v>
      </c>
      <c r="DO17" s="674" t="str">
        <v>Greece</v>
      </c>
      <c r="DP17" s="675"/>
    </row>
    <row r="18" spans="1:120" x14ac:dyDescent="0.35">
      <c r="A18" s="343" t="s">
        <v>979</v>
      </c>
      <c r="B18" s="532">
        <v>0.60373695427693996</v>
      </c>
      <c r="D18" s="345" t="s">
        <v>253</v>
      </c>
      <c r="E18" s="346" t="s">
        <v>980</v>
      </c>
      <c r="F18" s="346" t="s">
        <v>254</v>
      </c>
      <c r="G18" s="347">
        <v>134.57899</v>
      </c>
      <c r="I18" s="325">
        <v>15</v>
      </c>
      <c r="J18" s="326" t="s">
        <v>195</v>
      </c>
      <c r="K18" s="327" t="s">
        <v>981</v>
      </c>
      <c r="L18" s="327" t="s">
        <v>227</v>
      </c>
      <c r="M18" s="328">
        <v>1</v>
      </c>
      <c r="N18" s="328">
        <v>1</v>
      </c>
      <c r="O18" s="329">
        <v>1</v>
      </c>
      <c r="P18" s="329">
        <v>1</v>
      </c>
      <c r="X18" s="325">
        <v>14</v>
      </c>
      <c r="Y18" s="333" t="s">
        <v>918</v>
      </c>
      <c r="Z18" s="327" t="s">
        <v>982</v>
      </c>
      <c r="AA18" s="334" t="str">
        <f t="shared" si="1"/>
        <v>4. Automobilbau - Fahrzeuge - Motorräder Elektro</v>
      </c>
      <c r="AB18" s="329">
        <v>0.81275965640268855</v>
      </c>
      <c r="AC18" s="329">
        <v>1.422329398704705</v>
      </c>
      <c r="AD18" s="458">
        <v>0.81275965640268855</v>
      </c>
      <c r="AE18" s="335">
        <v>1.422329398704705</v>
      </c>
      <c r="AF18" s="329">
        <v>1.1560119533826787</v>
      </c>
      <c r="AG18" s="329">
        <v>1</v>
      </c>
      <c r="AH18" s="335">
        <v>1.2</v>
      </c>
      <c r="BA18" s="345" t="s">
        <v>983</v>
      </c>
      <c r="BB18" s="346" t="s">
        <v>228</v>
      </c>
      <c r="BC18" s="346" t="s">
        <v>984</v>
      </c>
      <c r="BD18" s="355">
        <v>1</v>
      </c>
      <c r="BE18" s="355">
        <v>1</v>
      </c>
      <c r="BF18" s="355">
        <v>1</v>
      </c>
      <c r="BG18" s="355">
        <v>1</v>
      </c>
      <c r="BH18" s="356">
        <v>1</v>
      </c>
      <c r="BJ18" s="352" t="str">
        <v>North Africa - North America</v>
      </c>
      <c r="BK18" s="327" t="s">
        <v>950</v>
      </c>
      <c r="BL18" s="327" t="s">
        <v>904</v>
      </c>
      <c r="BM18" s="429">
        <v>1.4764512369022533</v>
      </c>
      <c r="BN18" s="429">
        <v>1.4764512369022533</v>
      </c>
      <c r="BO18" s="459">
        <v>1.4764512369022533</v>
      </c>
      <c r="BP18" s="460">
        <v>1.4764512369022533</v>
      </c>
      <c r="BQ18" s="468"/>
      <c r="BR18" s="877">
        <v>2.1799082549501936</v>
      </c>
      <c r="BS18" s="74">
        <f t="shared" si="0"/>
        <v>1.384079821151897</v>
      </c>
      <c r="BT18" s="345" t="s">
        <v>229</v>
      </c>
      <c r="BU18" s="412">
        <v>2E-3</v>
      </c>
      <c r="BV18" s="412">
        <v>4.0000000000000001E-3</v>
      </c>
      <c r="BW18" s="414">
        <v>2E-3</v>
      </c>
      <c r="CF18" s="345">
        <v>13</v>
      </c>
      <c r="CG18" s="353">
        <v>0.21666666666666667</v>
      </c>
      <c r="CH18" s="359">
        <v>1</v>
      </c>
      <c r="CI18" s="353">
        <v>0.21666666666666667</v>
      </c>
      <c r="CJ18" s="360">
        <v>1</v>
      </c>
      <c r="CL18" s="352" t="s">
        <v>319</v>
      </c>
      <c r="CM18" s="355" t="s">
        <v>985</v>
      </c>
      <c r="CS18" s="352" t="s">
        <v>986</v>
      </c>
      <c r="CT18" s="485" t="s">
        <v>653</v>
      </c>
      <c r="CU18" s="355" t="s">
        <v>932</v>
      </c>
      <c r="DB18" s="513" t="s">
        <v>4640</v>
      </c>
      <c r="DC18" s="823" t="s">
        <v>64</v>
      </c>
      <c r="DD18" s="515" t="s">
        <v>95</v>
      </c>
      <c r="DE18" s="515" t="s">
        <v>95</v>
      </c>
      <c r="DF18" s="515" t="s">
        <v>95</v>
      </c>
      <c r="DG18" s="515" t="s">
        <v>95</v>
      </c>
      <c r="DH18" s="515"/>
      <c r="DI18" s="515" t="s">
        <v>95</v>
      </c>
      <c r="DO18" s="676" t="str">
        <v>Hong Kong</v>
      </c>
      <c r="DP18" s="677"/>
    </row>
    <row r="19" spans="1:120" x14ac:dyDescent="0.35">
      <c r="A19" s="343" t="s">
        <v>987</v>
      </c>
      <c r="B19" s="530">
        <v>4.5513239999999999E-5</v>
      </c>
      <c r="D19" s="345" t="s">
        <v>261</v>
      </c>
      <c r="E19" s="346" t="s">
        <v>988</v>
      </c>
      <c r="F19" s="346" t="s">
        <v>262</v>
      </c>
      <c r="G19" s="347">
        <v>1.9559</v>
      </c>
      <c r="I19" s="325">
        <v>16</v>
      </c>
      <c r="J19" s="326" t="s">
        <v>195</v>
      </c>
      <c r="K19" s="327" t="s">
        <v>989</v>
      </c>
      <c r="L19" s="327" t="s">
        <v>234</v>
      </c>
      <c r="M19" s="328">
        <v>1</v>
      </c>
      <c r="N19" s="328">
        <v>1</v>
      </c>
      <c r="O19" s="329">
        <v>1</v>
      </c>
      <c r="P19" s="329">
        <v>1</v>
      </c>
      <c r="X19" s="325">
        <v>15</v>
      </c>
      <c r="Y19" s="333" t="s">
        <v>918</v>
      </c>
      <c r="Z19" s="327" t="s">
        <v>990</v>
      </c>
      <c r="AA19" s="334" t="str">
        <f t="shared" si="1"/>
        <v>4. Automobilbau - Oldtimer</v>
      </c>
      <c r="AB19" s="329">
        <v>8.127596564026885E-3</v>
      </c>
      <c r="AC19" s="329">
        <v>325.1038625610754</v>
      </c>
      <c r="AD19" s="458">
        <v>8.127596564026885E-3</v>
      </c>
      <c r="AE19" s="335">
        <v>325.1038625610754</v>
      </c>
      <c r="AF19" s="329">
        <v>2.642313036303265</v>
      </c>
      <c r="AG19" s="329">
        <v>1</v>
      </c>
      <c r="AH19" s="335">
        <v>1.2</v>
      </c>
      <c r="BA19" s="345" t="s">
        <v>991</v>
      </c>
      <c r="BB19" s="346" t="s">
        <v>235</v>
      </c>
      <c r="BC19" s="346" t="s">
        <v>992</v>
      </c>
      <c r="BD19" s="355">
        <v>1</v>
      </c>
      <c r="BE19" s="355">
        <v>1</v>
      </c>
      <c r="BF19" s="355">
        <v>1</v>
      </c>
      <c r="BG19" s="355">
        <v>1</v>
      </c>
      <c r="BH19" s="356">
        <v>2.5</v>
      </c>
      <c r="BJ19" s="352" t="str">
        <v>North Africa - South America</v>
      </c>
      <c r="BK19" s="327" t="s">
        <v>950</v>
      </c>
      <c r="BL19" s="327" t="s">
        <v>913</v>
      </c>
      <c r="BM19" s="429">
        <v>1.5633744140737755</v>
      </c>
      <c r="BN19" s="429">
        <v>1.5633744140737755</v>
      </c>
      <c r="BO19" s="459">
        <v>1.5633744140737755</v>
      </c>
      <c r="BP19" s="460">
        <v>1.5633744140737755</v>
      </c>
      <c r="BQ19" s="468"/>
      <c r="BR19" s="877">
        <v>2.4441395585805208</v>
      </c>
      <c r="BS19" s="74">
        <f t="shared" si="0"/>
        <v>1.4764512369022533</v>
      </c>
      <c r="BT19" s="345" t="s">
        <v>236</v>
      </c>
      <c r="BU19" s="412">
        <v>3.5000000000000001E-3</v>
      </c>
      <c r="BV19" s="412">
        <v>5.4999999999999997E-3</v>
      </c>
      <c r="BW19" s="414">
        <v>3.5000000000000001E-3</v>
      </c>
      <c r="CF19" s="345">
        <v>14</v>
      </c>
      <c r="CG19" s="353">
        <v>0.23333333333333334</v>
      </c>
      <c r="CH19" s="359">
        <v>1</v>
      </c>
      <c r="CI19" s="353">
        <v>0.23333333333333334</v>
      </c>
      <c r="CJ19" s="360">
        <v>1</v>
      </c>
      <c r="CL19" s="352" t="s">
        <v>160</v>
      </c>
      <c r="CM19" s="355" t="s">
        <v>160</v>
      </c>
      <c r="CS19" s="352" t="s">
        <v>656</v>
      </c>
      <c r="CT19" s="485" t="s">
        <v>656</v>
      </c>
      <c r="CU19" s="355" t="s">
        <v>932</v>
      </c>
      <c r="DB19" s="513" t="s">
        <v>1062</v>
      </c>
      <c r="DC19" s="823" t="s">
        <v>64</v>
      </c>
      <c r="DD19" s="511">
        <v>1000000</v>
      </c>
      <c r="DE19" s="511">
        <v>1100000</v>
      </c>
      <c r="DF19" s="511">
        <v>2000000</v>
      </c>
      <c r="DG19" s="511">
        <v>2000000</v>
      </c>
      <c r="DH19" s="511"/>
      <c r="DI19" s="511">
        <v>1000000</v>
      </c>
      <c r="DO19" s="674" t="str">
        <v>Hungary</v>
      </c>
      <c r="DP19" s="675"/>
    </row>
    <row r="20" spans="1:120" x14ac:dyDescent="0.35">
      <c r="A20" s="343" t="s">
        <v>993</v>
      </c>
      <c r="B20" s="361">
        <v>1000</v>
      </c>
      <c r="D20" s="345" t="s">
        <v>268</v>
      </c>
      <c r="E20" s="346" t="s">
        <v>994</v>
      </c>
      <c r="F20" s="346" t="s">
        <v>269</v>
      </c>
      <c r="G20" s="347">
        <v>0.4173</v>
      </c>
      <c r="I20" s="325">
        <v>17</v>
      </c>
      <c r="J20" s="326" t="s">
        <v>195</v>
      </c>
      <c r="K20" s="327" t="s">
        <v>995</v>
      </c>
      <c r="L20" s="327" t="s">
        <v>241</v>
      </c>
      <c r="M20" s="328">
        <v>1</v>
      </c>
      <c r="N20" s="328">
        <v>1</v>
      </c>
      <c r="O20" s="329">
        <v>1</v>
      </c>
      <c r="P20" s="329">
        <v>1</v>
      </c>
      <c r="X20" s="325">
        <v>16</v>
      </c>
      <c r="Y20" s="333" t="s">
        <v>918</v>
      </c>
      <c r="Z20" s="327" t="s">
        <v>996</v>
      </c>
      <c r="AA20" s="334" t="str">
        <f t="shared" si="1"/>
        <v>4. Automobilbau - Zulieferindustrie - Nicht-Elektronik</v>
      </c>
      <c r="AB20" s="329">
        <v>0.9954232208531828</v>
      </c>
      <c r="AC20" s="329">
        <v>0.9954232208531828</v>
      </c>
      <c r="AD20" s="458">
        <v>0.9954232208531828</v>
      </c>
      <c r="AE20" s="335">
        <v>0.9954232208531828</v>
      </c>
      <c r="AF20" s="329">
        <v>0.99086738861372436</v>
      </c>
      <c r="AG20" s="329">
        <v>1</v>
      </c>
      <c r="AH20" s="335">
        <v>1.2</v>
      </c>
      <c r="BA20" s="345" t="s">
        <v>997</v>
      </c>
      <c r="BB20" s="346" t="s">
        <v>242</v>
      </c>
      <c r="BC20" s="346" t="s">
        <v>998</v>
      </c>
      <c r="BD20" s="355">
        <v>1</v>
      </c>
      <c r="BE20" s="355">
        <v>1</v>
      </c>
      <c r="BF20" s="355">
        <v>1</v>
      </c>
      <c r="BG20" s="355">
        <v>1</v>
      </c>
      <c r="BH20" s="356">
        <v>4.5</v>
      </c>
      <c r="BJ20" s="352" t="str">
        <v>East Africa - North Africa</v>
      </c>
      <c r="BK20" s="327" t="s">
        <v>960</v>
      </c>
      <c r="BL20" s="327" t="s">
        <v>950</v>
      </c>
      <c r="BM20" s="429">
        <v>1.3600070313833992</v>
      </c>
      <c r="BN20" s="429">
        <v>1.3600070313833992</v>
      </c>
      <c r="BO20" s="459">
        <v>1.3600070313833992</v>
      </c>
      <c r="BP20" s="460">
        <v>1.3600070313833992</v>
      </c>
      <c r="BQ20" s="468"/>
      <c r="BR20" s="877">
        <v>1.849619125412286</v>
      </c>
      <c r="BS20" s="74">
        <f t="shared" si="0"/>
        <v>1.3600070313833992</v>
      </c>
      <c r="BT20" s="345" t="s">
        <v>243</v>
      </c>
      <c r="BU20" s="412">
        <v>6.4999999999999997E-3</v>
      </c>
      <c r="BV20" s="412">
        <v>8.5000000000000006E-3</v>
      </c>
      <c r="BW20" s="414">
        <v>6.4999999999999997E-3</v>
      </c>
      <c r="CF20" s="345">
        <v>15</v>
      </c>
      <c r="CG20" s="353">
        <v>0.25</v>
      </c>
      <c r="CH20" s="359">
        <v>1</v>
      </c>
      <c r="CI20" s="353">
        <v>0.25</v>
      </c>
      <c r="CJ20" s="360">
        <v>1</v>
      </c>
      <c r="CL20" s="352" t="s">
        <v>330</v>
      </c>
      <c r="CM20" s="355" t="s">
        <v>330</v>
      </c>
      <c r="CS20" s="352" t="s">
        <v>673</v>
      </c>
      <c r="CT20" s="485" t="s">
        <v>673</v>
      </c>
      <c r="CU20" s="355" t="s">
        <v>932</v>
      </c>
      <c r="DB20" s="514" t="s">
        <v>1070</v>
      </c>
      <c r="DC20" s="824" t="s">
        <v>64</v>
      </c>
      <c r="DD20" s="516" t="s">
        <v>934</v>
      </c>
      <c r="DE20" s="515"/>
      <c r="DF20" s="515"/>
      <c r="DG20" s="515"/>
      <c r="DH20" s="515"/>
      <c r="DI20" s="515"/>
      <c r="DO20" s="674" t="str">
        <v>Ireland</v>
      </c>
      <c r="DP20" s="675"/>
    </row>
    <row r="21" spans="1:120" x14ac:dyDescent="0.35">
      <c r="A21" s="343" t="s">
        <v>999</v>
      </c>
      <c r="B21" s="344">
        <f xml:space="preserve"> 6150.52435184692 * 1.04</f>
        <v>6396.545325920797</v>
      </c>
      <c r="D21" s="345" t="s">
        <v>275</v>
      </c>
      <c r="E21" s="346" t="s">
        <v>1000</v>
      </c>
      <c r="F21" s="346" t="s">
        <v>276</v>
      </c>
      <c r="G21" s="347">
        <v>3255.9583299999999</v>
      </c>
      <c r="I21" s="325">
        <v>18</v>
      </c>
      <c r="J21" s="326" t="s">
        <v>195</v>
      </c>
      <c r="K21" s="327" t="s">
        <v>1001</v>
      </c>
      <c r="L21" s="327" t="s">
        <v>248</v>
      </c>
      <c r="M21" s="328">
        <v>1</v>
      </c>
      <c r="N21" s="328">
        <v>1</v>
      </c>
      <c r="O21" s="329">
        <v>1</v>
      </c>
      <c r="P21" s="329">
        <v>1</v>
      </c>
      <c r="X21" s="325">
        <v>17</v>
      </c>
      <c r="Y21" s="333" t="s">
        <v>918</v>
      </c>
      <c r="Z21" s="327" t="s">
        <v>1002</v>
      </c>
      <c r="AA21" s="334" t="str">
        <f t="shared" si="1"/>
        <v>4. Automobilbau - Zulieferindustrie - Elektronik</v>
      </c>
      <c r="AB21" s="329">
        <v>1.4077410192316799</v>
      </c>
      <c r="AC21" s="329">
        <v>1.4077410192316799</v>
      </c>
      <c r="AD21" s="458">
        <v>1.4077410192316799</v>
      </c>
      <c r="AE21" s="335">
        <v>1.4077410192316799</v>
      </c>
      <c r="AF21" s="329">
        <v>1.981734777227449</v>
      </c>
      <c r="AG21" s="329">
        <v>1</v>
      </c>
      <c r="AH21" s="335">
        <v>1.2</v>
      </c>
      <c r="BA21" s="345" t="s">
        <v>313</v>
      </c>
      <c r="BB21" s="346" t="s">
        <v>249</v>
      </c>
      <c r="BC21" s="346" t="s">
        <v>1003</v>
      </c>
      <c r="BD21" s="355">
        <v>1</v>
      </c>
      <c r="BE21" s="355">
        <v>1</v>
      </c>
      <c r="BF21" s="355">
        <v>1</v>
      </c>
      <c r="BG21" s="355">
        <v>1</v>
      </c>
      <c r="BH21" s="356">
        <v>3.5</v>
      </c>
      <c r="BJ21" s="352" t="str">
        <v>East Africa - East Africa</v>
      </c>
      <c r="BK21" s="327" t="s">
        <v>960</v>
      </c>
      <c r="BL21" s="327" t="s">
        <v>960</v>
      </c>
      <c r="BM21" s="429">
        <v>1.3355003929257019</v>
      </c>
      <c r="BN21" s="429">
        <v>1.3355003929257019</v>
      </c>
      <c r="BO21" s="459">
        <v>1.3355003929257019</v>
      </c>
      <c r="BP21" s="460">
        <v>1.3355003929257019</v>
      </c>
      <c r="BQ21" s="468"/>
      <c r="BR21" s="877">
        <v>1.7835612995047041</v>
      </c>
      <c r="BS21" s="74">
        <f t="shared" si="0"/>
        <v>1.3355003929257019</v>
      </c>
      <c r="BT21" s="345" t="s">
        <v>250</v>
      </c>
      <c r="BU21" s="412">
        <v>5.0000000000000001E-3</v>
      </c>
      <c r="BV21" s="412">
        <v>7.0000000000000001E-3</v>
      </c>
      <c r="BW21" s="414">
        <v>5.0000000000000001E-3</v>
      </c>
      <c r="CF21" s="345">
        <v>16</v>
      </c>
      <c r="CG21" s="353">
        <v>0.26666666666666666</v>
      </c>
      <c r="CH21" s="359">
        <v>1</v>
      </c>
      <c r="CI21" s="353">
        <v>0.26666666666666666</v>
      </c>
      <c r="CJ21" s="360">
        <v>1</v>
      </c>
      <c r="CS21" s="352" t="s">
        <v>1004</v>
      </c>
      <c r="CT21" s="485" t="s">
        <v>1004</v>
      </c>
      <c r="CU21" s="355" t="s">
        <v>932</v>
      </c>
      <c r="DB21" s="513" t="s">
        <v>1080</v>
      </c>
      <c r="DC21" s="823" t="s">
        <v>64</v>
      </c>
      <c r="DD21" s="517" t="s">
        <v>943</v>
      </c>
      <c r="DE21" s="511"/>
      <c r="DF21" s="511"/>
      <c r="DG21" s="511"/>
      <c r="DH21" s="511"/>
      <c r="DI21" s="511"/>
      <c r="DO21" s="676" t="str">
        <v>Italy</v>
      </c>
      <c r="DP21" s="677" t="s">
        <v>4387</v>
      </c>
    </row>
    <row r="22" spans="1:120" x14ac:dyDescent="0.35">
      <c r="A22" s="343" t="s">
        <v>1005</v>
      </c>
      <c r="B22" s="530">
        <f xml:space="preserve"> 5.7335486755906</f>
        <v>5.7335486755906002</v>
      </c>
      <c r="D22" s="345" t="s">
        <v>281</v>
      </c>
      <c r="E22" s="346" t="s">
        <v>1006</v>
      </c>
      <c r="F22" s="346" t="s">
        <v>282</v>
      </c>
      <c r="G22" s="347">
        <v>1.10673</v>
      </c>
      <c r="I22" s="325">
        <v>19</v>
      </c>
      <c r="J22" s="326" t="s">
        <v>195</v>
      </c>
      <c r="K22" s="327" t="s">
        <v>1007</v>
      </c>
      <c r="L22" s="327" t="s">
        <v>255</v>
      </c>
      <c r="M22" s="328">
        <v>1</v>
      </c>
      <c r="N22" s="328">
        <v>1</v>
      </c>
      <c r="O22" s="329">
        <v>1</v>
      </c>
      <c r="P22" s="329">
        <v>1</v>
      </c>
      <c r="X22" s="325">
        <v>18</v>
      </c>
      <c r="Y22" s="333" t="s">
        <v>1008</v>
      </c>
      <c r="Z22" s="327" t="s">
        <v>1009</v>
      </c>
      <c r="AA22" s="334" t="str">
        <f t="shared" si="1"/>
        <v>5. Baustoffe / Bauelemente - Organische</v>
      </c>
      <c r="AB22" s="329">
        <v>0.81275965640268855</v>
      </c>
      <c r="AC22" s="329">
        <v>0.81275965640268855</v>
      </c>
      <c r="AD22" s="458">
        <v>0.81275965640268855</v>
      </c>
      <c r="AE22" s="335">
        <v>0.81275965640268855</v>
      </c>
      <c r="AF22" s="329">
        <v>0.66057825907581635</v>
      </c>
      <c r="AG22" s="329">
        <v>1</v>
      </c>
      <c r="AH22" s="335">
        <v>1.2</v>
      </c>
      <c r="BA22" s="345" t="s">
        <v>1010</v>
      </c>
      <c r="BB22" s="346" t="s">
        <v>256</v>
      </c>
      <c r="BC22" s="346" t="s">
        <v>1011</v>
      </c>
      <c r="BD22" s="355">
        <v>1</v>
      </c>
      <c r="BE22" s="355">
        <v>1</v>
      </c>
      <c r="BF22" s="355">
        <v>1</v>
      </c>
      <c r="BG22" s="355">
        <v>1</v>
      </c>
      <c r="BH22" s="356">
        <v>2.5</v>
      </c>
      <c r="BJ22" s="352" t="str">
        <v>East Africa - South Africa</v>
      </c>
      <c r="BK22" s="327" t="s">
        <v>960</v>
      </c>
      <c r="BL22" s="327" t="s">
        <v>777</v>
      </c>
      <c r="BM22" s="429">
        <v>1.384079821151897</v>
      </c>
      <c r="BN22" s="429">
        <v>1.384079821151897</v>
      </c>
      <c r="BO22" s="459">
        <v>1.384079821151897</v>
      </c>
      <c r="BP22" s="460">
        <v>1.384079821151897</v>
      </c>
      <c r="BQ22" s="468"/>
      <c r="BR22" s="877">
        <v>1.915676951319867</v>
      </c>
      <c r="BS22" s="74">
        <f t="shared" si="0"/>
        <v>1.6255193128053771</v>
      </c>
      <c r="BT22" s="345" t="s">
        <v>257</v>
      </c>
      <c r="BU22" s="412">
        <v>3.0000000000000001E-3</v>
      </c>
      <c r="BV22" s="412">
        <v>5.0000000000000001E-3</v>
      </c>
      <c r="BW22" s="414">
        <v>3.0000000000000001E-3</v>
      </c>
      <c r="CF22" s="345">
        <v>17</v>
      </c>
      <c r="CG22" s="353">
        <v>0.28333333333333333</v>
      </c>
      <c r="CH22" s="359">
        <v>1</v>
      </c>
      <c r="CI22" s="353">
        <v>0.28333333333333333</v>
      </c>
      <c r="CJ22" s="360">
        <v>1</v>
      </c>
      <c r="CS22" s="352" t="s">
        <v>1012</v>
      </c>
      <c r="CT22" s="485" t="s">
        <v>421</v>
      </c>
      <c r="CU22" s="355" t="s">
        <v>932</v>
      </c>
      <c r="DB22" s="514" t="s">
        <v>1088</v>
      </c>
      <c r="DC22" s="824" t="s">
        <v>64</v>
      </c>
      <c r="DD22" s="516" t="s">
        <v>953</v>
      </c>
      <c r="DE22" s="515"/>
      <c r="DF22" s="515"/>
      <c r="DG22" s="515"/>
      <c r="DH22" s="515"/>
      <c r="DI22" s="515"/>
      <c r="DO22" s="674" t="str">
        <v>Japan</v>
      </c>
      <c r="DP22" s="675"/>
    </row>
    <row r="23" spans="1:120" x14ac:dyDescent="0.35">
      <c r="A23" s="343" t="s">
        <v>1013</v>
      </c>
      <c r="B23" s="530">
        <f xml:space="preserve"> 0.118982623252994</f>
        <v>0.118982623252994</v>
      </c>
      <c r="D23" s="345" t="s">
        <v>287</v>
      </c>
      <c r="E23" s="346" t="s">
        <v>1014</v>
      </c>
      <c r="F23" s="346" t="s">
        <v>288</v>
      </c>
      <c r="G23" s="347">
        <v>1.4563200000000001</v>
      </c>
      <c r="I23" s="325">
        <v>20</v>
      </c>
      <c r="J23" s="326" t="s">
        <v>195</v>
      </c>
      <c r="K23" s="327" t="s">
        <v>1015</v>
      </c>
      <c r="L23" s="327" t="s">
        <v>263</v>
      </c>
      <c r="M23" s="328">
        <v>1</v>
      </c>
      <c r="N23" s="328">
        <v>1</v>
      </c>
      <c r="O23" s="329">
        <v>1</v>
      </c>
      <c r="P23" s="329">
        <v>1</v>
      </c>
      <c r="X23" s="325">
        <v>19</v>
      </c>
      <c r="Y23" s="333" t="s">
        <v>1008</v>
      </c>
      <c r="Z23" s="327" t="s">
        <v>1016</v>
      </c>
      <c r="AA23" s="334" t="str">
        <f t="shared" si="1"/>
        <v>5. Baustoffe / Bauelemente - Anorganische - abgebaut</v>
      </c>
      <c r="AB23" s="329">
        <v>0.57470786451718947</v>
      </c>
      <c r="AC23" s="329">
        <v>0.57470786451718947</v>
      </c>
      <c r="AD23" s="458">
        <v>0.57470786451718947</v>
      </c>
      <c r="AE23" s="335">
        <v>0.57470786451718947</v>
      </c>
      <c r="AF23" s="329">
        <v>0.33028912953790823</v>
      </c>
      <c r="AG23" s="329">
        <v>1</v>
      </c>
      <c r="AH23" s="335">
        <v>1.2</v>
      </c>
      <c r="BA23" s="345" t="s">
        <v>1017</v>
      </c>
      <c r="BB23" s="346" t="s">
        <v>264</v>
      </c>
      <c r="BC23" s="346" t="s">
        <v>1018</v>
      </c>
      <c r="BD23" s="355">
        <v>1</v>
      </c>
      <c r="BE23" s="355">
        <v>1</v>
      </c>
      <c r="BF23" s="355">
        <v>1</v>
      </c>
      <c r="BG23" s="355">
        <v>1</v>
      </c>
      <c r="BH23" s="356">
        <v>1.8</v>
      </c>
      <c r="BJ23" s="352" t="str">
        <v>East Africa - West Africa</v>
      </c>
      <c r="BK23" s="327" t="s">
        <v>960</v>
      </c>
      <c r="BL23" s="327" t="s">
        <v>976</v>
      </c>
      <c r="BM23" s="429">
        <v>1.520534086025485</v>
      </c>
      <c r="BN23" s="429">
        <v>1.520534086025485</v>
      </c>
      <c r="BO23" s="459">
        <v>1.520534086025485</v>
      </c>
      <c r="BP23" s="460">
        <v>1.520534086025485</v>
      </c>
      <c r="BQ23" s="468"/>
      <c r="BR23" s="877">
        <v>2.312023906765357</v>
      </c>
      <c r="BS23" s="74">
        <f t="shared" si="0"/>
        <v>1.520534086025485</v>
      </c>
      <c r="BT23" s="345" t="s">
        <v>265</v>
      </c>
      <c r="BU23" s="412">
        <v>1.5E-3</v>
      </c>
      <c r="BV23" s="412">
        <v>3.5000000000000001E-3</v>
      </c>
      <c r="BW23" s="414">
        <v>1.5E-3</v>
      </c>
      <c r="CF23" s="345">
        <v>18</v>
      </c>
      <c r="CG23" s="353">
        <v>0.3</v>
      </c>
      <c r="CH23" s="359">
        <v>1</v>
      </c>
      <c r="CI23" s="353">
        <v>0.3</v>
      </c>
      <c r="CJ23" s="360">
        <v>1</v>
      </c>
      <c r="CS23" s="352" t="s">
        <v>742</v>
      </c>
      <c r="CT23" s="485" t="s">
        <v>742</v>
      </c>
      <c r="CU23" s="355" t="s">
        <v>932</v>
      </c>
      <c r="DB23" s="513" t="s">
        <v>1095</v>
      </c>
      <c r="DC23" s="823" t="s">
        <v>64</v>
      </c>
      <c r="DD23" s="517" t="s">
        <v>962</v>
      </c>
      <c r="DE23" s="511"/>
      <c r="DF23" s="511"/>
      <c r="DG23" s="511"/>
      <c r="DH23" s="511"/>
      <c r="DI23" s="511"/>
      <c r="DO23" s="674" t="str">
        <v>Mexico</v>
      </c>
      <c r="DP23" s="675" t="s">
        <v>4388</v>
      </c>
    </row>
    <row r="24" spans="1:120" x14ac:dyDescent="0.35">
      <c r="A24" s="343" t="s">
        <v>1019</v>
      </c>
      <c r="B24" s="530">
        <v>2.6793732685181202</v>
      </c>
      <c r="D24" s="345" t="s">
        <v>293</v>
      </c>
      <c r="E24" s="346" t="s">
        <v>1020</v>
      </c>
      <c r="F24" s="346" t="s">
        <v>294</v>
      </c>
      <c r="G24" s="347">
        <v>7.6337000000000002</v>
      </c>
      <c r="I24" s="325">
        <v>21</v>
      </c>
      <c r="J24" s="326" t="s">
        <v>195</v>
      </c>
      <c r="K24" s="327" t="s">
        <v>1021</v>
      </c>
      <c r="L24" s="327" t="s">
        <v>270</v>
      </c>
      <c r="M24" s="328">
        <v>1</v>
      </c>
      <c r="N24" s="328">
        <v>1</v>
      </c>
      <c r="O24" s="329">
        <v>1</v>
      </c>
      <c r="P24" s="329">
        <v>1</v>
      </c>
      <c r="X24" s="325">
        <v>20</v>
      </c>
      <c r="Y24" s="333" t="s">
        <v>1008</v>
      </c>
      <c r="Z24" s="327" t="s">
        <v>1022</v>
      </c>
      <c r="AA24" s="334" t="str">
        <f t="shared" si="1"/>
        <v>5. Baustoffe / Bauelemente - Anorganische - produziert</v>
      </c>
      <c r="AB24" s="329">
        <v>0.9954232208531828</v>
      </c>
      <c r="AC24" s="329">
        <v>0.9954232208531828</v>
      </c>
      <c r="AD24" s="458">
        <v>0.9954232208531828</v>
      </c>
      <c r="AE24" s="335">
        <v>0.9954232208531828</v>
      </c>
      <c r="AF24" s="329">
        <v>0.99086738861372436</v>
      </c>
      <c r="AG24" s="329">
        <v>1</v>
      </c>
      <c r="AH24" s="335">
        <v>1.2</v>
      </c>
      <c r="BA24" s="345" t="s">
        <v>1023</v>
      </c>
      <c r="BB24" s="346" t="s">
        <v>271</v>
      </c>
      <c r="BC24" s="346" t="s">
        <v>1024</v>
      </c>
      <c r="BD24" s="355">
        <v>1</v>
      </c>
      <c r="BE24" s="355">
        <v>1</v>
      </c>
      <c r="BF24" s="355">
        <v>1</v>
      </c>
      <c r="BG24" s="355">
        <v>1</v>
      </c>
      <c r="BH24" s="356">
        <v>4.5</v>
      </c>
      <c r="BJ24" s="352" t="str">
        <v>East Africa - Central Africa</v>
      </c>
      <c r="BK24" s="327" t="s">
        <v>960</v>
      </c>
      <c r="BL24" s="327" t="s">
        <v>985</v>
      </c>
      <c r="BM24" s="429">
        <v>1.3600070313833992</v>
      </c>
      <c r="BN24" s="429">
        <v>1.3600070313833992</v>
      </c>
      <c r="BO24" s="459">
        <v>1.3600070313833992</v>
      </c>
      <c r="BP24" s="460">
        <v>1.3600070313833992</v>
      </c>
      <c r="BQ24" s="468"/>
      <c r="BR24" s="877">
        <v>1.849619125412286</v>
      </c>
      <c r="BS24" s="74">
        <f t="shared" si="0"/>
        <v>1.3600070313833992</v>
      </c>
      <c r="BT24" s="345" t="s">
        <v>272</v>
      </c>
      <c r="BU24" s="412">
        <v>3.5000000000000001E-3</v>
      </c>
      <c r="BV24" s="412">
        <v>5.4999999999999997E-3</v>
      </c>
      <c r="BW24" s="414">
        <v>3.5000000000000001E-3</v>
      </c>
      <c r="CF24" s="345">
        <v>19</v>
      </c>
      <c r="CG24" s="353">
        <v>0.31666666666666665</v>
      </c>
      <c r="CH24" s="359">
        <v>1</v>
      </c>
      <c r="CI24" s="353">
        <v>0.31666666666666665</v>
      </c>
      <c r="CJ24" s="360">
        <v>1</v>
      </c>
      <c r="CS24" s="352" t="s">
        <v>1025</v>
      </c>
      <c r="CT24" s="485" t="s">
        <v>751</v>
      </c>
      <c r="CU24" s="355" t="s">
        <v>932</v>
      </c>
      <c r="DB24" s="514" t="s">
        <v>4632</v>
      </c>
      <c r="DC24" s="824" t="s">
        <v>4628</v>
      </c>
      <c r="DD24" s="515" t="s">
        <v>95</v>
      </c>
      <c r="DE24" s="515" t="s">
        <v>95</v>
      </c>
      <c r="DF24" s="515" t="s">
        <v>95</v>
      </c>
      <c r="DG24" s="515" t="s">
        <v>95</v>
      </c>
      <c r="DH24" s="515"/>
      <c r="DI24" s="515" t="s">
        <v>95</v>
      </c>
      <c r="DO24" s="676" t="str">
        <v>Netherlands</v>
      </c>
      <c r="DP24" s="677"/>
    </row>
    <row r="25" spans="1:120" x14ac:dyDescent="0.35">
      <c r="A25" s="343" t="s">
        <v>1026</v>
      </c>
      <c r="B25" s="530">
        <v>4.1695107805710272</v>
      </c>
      <c r="D25" s="345" t="s">
        <v>300</v>
      </c>
      <c r="E25" s="346" t="s">
        <v>1027</v>
      </c>
      <c r="F25" s="346" t="s">
        <v>301</v>
      </c>
      <c r="G25" s="347">
        <v>6.31027</v>
      </c>
      <c r="I25" s="325">
        <v>22</v>
      </c>
      <c r="J25" s="326" t="s">
        <v>195</v>
      </c>
      <c r="K25" s="327" t="s">
        <v>1028</v>
      </c>
      <c r="L25" s="327" t="s">
        <v>277</v>
      </c>
      <c r="M25" s="328">
        <v>1</v>
      </c>
      <c r="N25" s="328">
        <v>1</v>
      </c>
      <c r="O25" s="329">
        <v>1</v>
      </c>
      <c r="P25" s="329">
        <v>1</v>
      </c>
      <c r="X25" s="325">
        <v>21</v>
      </c>
      <c r="Y25" s="333" t="s">
        <v>1008</v>
      </c>
      <c r="Z25" s="327" t="s">
        <v>1029</v>
      </c>
      <c r="AA25" s="334" t="str">
        <f t="shared" si="1"/>
        <v>5. Baustoffe / Bauelemente - Glaselemente</v>
      </c>
      <c r="AB25" s="329">
        <v>1.1494157290343789</v>
      </c>
      <c r="AC25" s="329">
        <v>1.1494157290343789</v>
      </c>
      <c r="AD25" s="458">
        <v>1.1494157290343789</v>
      </c>
      <c r="AE25" s="335">
        <v>1.1494157290343789</v>
      </c>
      <c r="AF25" s="329">
        <v>1.3211565181516329</v>
      </c>
      <c r="AG25" s="329">
        <v>1</v>
      </c>
      <c r="AH25" s="335">
        <v>1.2</v>
      </c>
      <c r="BA25" s="345" t="s">
        <v>1030</v>
      </c>
      <c r="BB25" s="346" t="s">
        <v>211</v>
      </c>
      <c r="BC25" s="346" t="s">
        <v>1031</v>
      </c>
      <c r="BD25" s="355">
        <v>1</v>
      </c>
      <c r="BE25" s="355">
        <v>1</v>
      </c>
      <c r="BF25" s="355">
        <v>1</v>
      </c>
      <c r="BG25" s="355">
        <v>1</v>
      </c>
      <c r="BH25" s="356">
        <v>2.7</v>
      </c>
      <c r="BJ25" s="352" t="str">
        <v>East Africa - Asia</v>
      </c>
      <c r="BK25" s="327" t="s">
        <v>960</v>
      </c>
      <c r="BL25" s="327" t="s">
        <v>274</v>
      </c>
      <c r="BM25" s="429">
        <v>1.6656616367433181</v>
      </c>
      <c r="BN25" s="429">
        <v>1.6656616367433181</v>
      </c>
      <c r="BO25" s="459">
        <v>1.6656616367433181</v>
      </c>
      <c r="BP25" s="460">
        <v>1.6656616367433181</v>
      </c>
      <c r="BQ25" s="468"/>
      <c r="BR25" s="877">
        <v>2.7744286881184297</v>
      </c>
      <c r="BS25" s="74">
        <f t="shared" si="0"/>
        <v>1.6255193128053771</v>
      </c>
      <c r="BT25" s="345" t="s">
        <v>278</v>
      </c>
      <c r="BU25" s="412">
        <v>2E-3</v>
      </c>
      <c r="BV25" s="412">
        <v>4.0000000000000001E-3</v>
      </c>
      <c r="BW25" s="414">
        <v>2E-3</v>
      </c>
      <c r="CF25" s="345">
        <v>20</v>
      </c>
      <c r="CG25" s="353">
        <v>0.33333333333333331</v>
      </c>
      <c r="CH25" s="359">
        <v>1</v>
      </c>
      <c r="CI25" s="353">
        <v>0.33333333333333331</v>
      </c>
      <c r="CJ25" s="360">
        <v>1</v>
      </c>
      <c r="CS25" s="352" t="s">
        <v>1032</v>
      </c>
      <c r="CT25" s="485" t="s">
        <v>798</v>
      </c>
      <c r="CU25" s="355" t="s">
        <v>932</v>
      </c>
      <c r="DB25" s="513" t="s">
        <v>4641</v>
      </c>
      <c r="DC25" s="823" t="s">
        <v>64</v>
      </c>
      <c r="DD25" s="515" t="s">
        <v>95</v>
      </c>
      <c r="DE25" s="515" t="s">
        <v>95</v>
      </c>
      <c r="DF25" s="515" t="s">
        <v>95</v>
      </c>
      <c r="DG25" s="515" t="s">
        <v>95</v>
      </c>
      <c r="DH25" s="515"/>
      <c r="DI25" s="515" t="s">
        <v>95</v>
      </c>
      <c r="DO25" s="674" t="str">
        <v>Portugal</v>
      </c>
      <c r="DP25" s="675"/>
    </row>
    <row r="26" spans="1:120" x14ac:dyDescent="0.35">
      <c r="A26" s="343" t="s">
        <v>1033</v>
      </c>
      <c r="B26" s="530">
        <v>0.25483322871190955</v>
      </c>
      <c r="D26" s="345" t="s">
        <v>306</v>
      </c>
      <c r="E26" s="346" t="s">
        <v>1034</v>
      </c>
      <c r="F26" s="346" t="s">
        <v>307</v>
      </c>
      <c r="G26" s="347">
        <v>1.10673</v>
      </c>
      <c r="I26" s="325">
        <v>23</v>
      </c>
      <c r="J26" s="326" t="s">
        <v>195</v>
      </c>
      <c r="K26" s="327" t="s">
        <v>1035</v>
      </c>
      <c r="L26" s="327" t="s">
        <v>283</v>
      </c>
      <c r="M26" s="328">
        <v>1</v>
      </c>
      <c r="N26" s="328">
        <v>1</v>
      </c>
      <c r="O26" s="329">
        <v>1</v>
      </c>
      <c r="P26" s="329">
        <v>1</v>
      </c>
      <c r="X26" s="325">
        <v>22</v>
      </c>
      <c r="Y26" s="333" t="s">
        <v>1036</v>
      </c>
      <c r="Z26" s="327" t="s">
        <v>1037</v>
      </c>
      <c r="AA26" s="334" t="str">
        <f t="shared" si="1"/>
        <v>6. Bulkgüter, fest - Schüttgut (exkl. Chemische Erzeugnisse) - containerisiert</v>
      </c>
      <c r="AB26" s="329">
        <v>1.2191394846040329</v>
      </c>
      <c r="AC26" s="329">
        <v>1.2191394846040329</v>
      </c>
      <c r="AD26" s="458">
        <v>1.2191394846040329</v>
      </c>
      <c r="AE26" s="335">
        <v>1.2191394846040329</v>
      </c>
      <c r="AF26" s="329">
        <v>1.4863010829205869</v>
      </c>
      <c r="AG26" s="329">
        <v>1</v>
      </c>
      <c r="AH26" s="335">
        <v>1.2</v>
      </c>
      <c r="BA26" s="345" t="s">
        <v>1038</v>
      </c>
      <c r="BB26" s="346" t="s">
        <v>284</v>
      </c>
      <c r="BC26" s="346" t="s">
        <v>1039</v>
      </c>
      <c r="BD26" s="355">
        <v>1</v>
      </c>
      <c r="BE26" s="355">
        <v>1</v>
      </c>
      <c r="BF26" s="355">
        <v>1</v>
      </c>
      <c r="BG26" s="355">
        <v>1</v>
      </c>
      <c r="BH26" s="356">
        <v>2.8</v>
      </c>
      <c r="BJ26" s="352" t="str">
        <v>East Africa - SouthEast Asia</v>
      </c>
      <c r="BK26" s="327" t="s">
        <v>960</v>
      </c>
      <c r="BL26" s="327" t="s">
        <v>930</v>
      </c>
      <c r="BM26" s="429">
        <v>1.6656616367433181</v>
      </c>
      <c r="BN26" s="429">
        <v>1.6656616367433181</v>
      </c>
      <c r="BO26" s="459">
        <v>1.6656616367433181</v>
      </c>
      <c r="BP26" s="460">
        <v>1.6656616367433181</v>
      </c>
      <c r="BQ26" s="468"/>
      <c r="BR26" s="877">
        <v>2.7744286881184297</v>
      </c>
      <c r="BS26" s="74">
        <f t="shared" si="0"/>
        <v>1.6656616367433181</v>
      </c>
      <c r="BT26" s="345" t="s">
        <v>285</v>
      </c>
      <c r="BU26" s="412">
        <v>2E-3</v>
      </c>
      <c r="BV26" s="412">
        <v>4.0000000000000001E-3</v>
      </c>
      <c r="BW26" s="414">
        <v>2E-3</v>
      </c>
      <c r="CF26" s="345">
        <v>21</v>
      </c>
      <c r="CG26" s="353">
        <v>0.35</v>
      </c>
      <c r="CH26" s="359">
        <v>1</v>
      </c>
      <c r="CI26" s="353">
        <v>0.35</v>
      </c>
      <c r="CJ26" s="360">
        <v>1</v>
      </c>
      <c r="CS26" s="352" t="s">
        <v>1040</v>
      </c>
      <c r="CT26" s="485" t="s">
        <v>1041</v>
      </c>
      <c r="CU26" s="355" t="s">
        <v>932</v>
      </c>
      <c r="DB26" s="513" t="s">
        <v>1109</v>
      </c>
      <c r="DC26" s="823" t="s">
        <v>64</v>
      </c>
      <c r="DD26" s="511">
        <v>1000000</v>
      </c>
      <c r="DE26" s="511">
        <v>1100000</v>
      </c>
      <c r="DF26" s="511">
        <v>2000000</v>
      </c>
      <c r="DG26" s="511">
        <v>2000000</v>
      </c>
      <c r="DH26" s="511"/>
      <c r="DI26" s="511">
        <v>1000000</v>
      </c>
      <c r="DO26" s="674" t="str">
        <v>Russia</v>
      </c>
      <c r="DP26" s="675"/>
    </row>
    <row r="27" spans="1:120" x14ac:dyDescent="0.35">
      <c r="A27" s="343" t="s">
        <v>1042</v>
      </c>
      <c r="B27" s="530">
        <v>2.6793732685181202</v>
      </c>
      <c r="D27" s="345" t="s">
        <v>313</v>
      </c>
      <c r="E27" s="346" t="s">
        <v>1043</v>
      </c>
      <c r="F27" s="346" t="s">
        <v>314</v>
      </c>
      <c r="G27" s="347">
        <v>95.525319999999994</v>
      </c>
      <c r="I27" s="325">
        <v>24</v>
      </c>
      <c r="J27" s="326" t="s">
        <v>195</v>
      </c>
      <c r="K27" s="327" t="s">
        <v>1044</v>
      </c>
      <c r="L27" s="327" t="s">
        <v>289</v>
      </c>
      <c r="M27" s="328">
        <v>1</v>
      </c>
      <c r="N27" s="328">
        <v>1</v>
      </c>
      <c r="O27" s="329">
        <v>1</v>
      </c>
      <c r="P27" s="329">
        <v>1</v>
      </c>
      <c r="X27" s="325">
        <v>23</v>
      </c>
      <c r="Y27" s="333" t="s">
        <v>1036</v>
      </c>
      <c r="Z27" s="327" t="s">
        <v>1045</v>
      </c>
      <c r="AA27" s="334" t="str">
        <f t="shared" si="1"/>
        <v>6. Bulkgüter, fest - Schüttgut (exkl. Chemische Erzeugnisse) - nicht containerisiert</v>
      </c>
      <c r="AB27" s="329">
        <v>1.2191394846040329</v>
      </c>
      <c r="AC27" s="329">
        <v>1.3816914158845706</v>
      </c>
      <c r="AD27" s="458">
        <v>1.2191394846040329</v>
      </c>
      <c r="AE27" s="335">
        <v>1.3816914158845706</v>
      </c>
      <c r="AF27" s="329">
        <v>1.6844745606433318</v>
      </c>
      <c r="AG27" s="329">
        <v>1</v>
      </c>
      <c r="AH27" s="335">
        <v>1.2</v>
      </c>
      <c r="BA27" s="345" t="s">
        <v>1046</v>
      </c>
      <c r="BB27" s="346" t="s">
        <v>290</v>
      </c>
      <c r="BC27" s="346" t="s">
        <v>1047</v>
      </c>
      <c r="BD27" s="355">
        <v>1</v>
      </c>
      <c r="BE27" s="355">
        <v>1</v>
      </c>
      <c r="BF27" s="355">
        <v>1</v>
      </c>
      <c r="BG27" s="355">
        <v>1</v>
      </c>
      <c r="BH27" s="356">
        <v>1.8</v>
      </c>
      <c r="BJ27" s="352" t="str">
        <v>East Africa - Australia</v>
      </c>
      <c r="BK27" s="327" t="s">
        <v>960</v>
      </c>
      <c r="BL27" s="327" t="s">
        <v>160</v>
      </c>
      <c r="BM27" s="429">
        <v>1.6050717150319744</v>
      </c>
      <c r="BN27" s="429">
        <v>1.6050717150319744</v>
      </c>
      <c r="BO27" s="459">
        <v>1.6050717150319744</v>
      </c>
      <c r="BP27" s="460">
        <v>1.6050717150319744</v>
      </c>
      <c r="BQ27" s="468"/>
      <c r="BR27" s="877">
        <v>2.5762552103956837</v>
      </c>
      <c r="BS27" s="74">
        <f t="shared" si="0"/>
        <v>1.5421030227170098</v>
      </c>
      <c r="BT27" s="345" t="s">
        <v>291</v>
      </c>
      <c r="BU27" s="412">
        <v>2E-3</v>
      </c>
      <c r="BV27" s="412">
        <v>4.0000000000000001E-3</v>
      </c>
      <c r="BW27" s="414">
        <v>2E-3</v>
      </c>
      <c r="CF27" s="345">
        <v>22</v>
      </c>
      <c r="CG27" s="353">
        <v>0.36666666666666664</v>
      </c>
      <c r="CH27" s="359">
        <v>1</v>
      </c>
      <c r="CI27" s="353">
        <v>0.36666666666666664</v>
      </c>
      <c r="CJ27" s="360">
        <v>1</v>
      </c>
      <c r="CS27" s="352" t="s">
        <v>1048</v>
      </c>
      <c r="CT27" s="485" t="s">
        <v>800</v>
      </c>
      <c r="CU27" s="355" t="s">
        <v>932</v>
      </c>
      <c r="DB27" s="514" t="s">
        <v>1116</v>
      </c>
      <c r="DC27" s="824" t="s">
        <v>64</v>
      </c>
      <c r="DD27" s="516" t="s">
        <v>934</v>
      </c>
      <c r="DE27" s="515"/>
      <c r="DF27" s="515"/>
      <c r="DG27" s="515"/>
      <c r="DH27" s="515"/>
      <c r="DI27" s="515"/>
      <c r="DO27" s="674" t="str">
        <v>Singapore</v>
      </c>
      <c r="DP27" s="675"/>
    </row>
    <row r="28" spans="1:120" x14ac:dyDescent="0.35">
      <c r="A28" s="343" t="s">
        <v>1049</v>
      </c>
      <c r="B28" s="361">
        <v>250000</v>
      </c>
      <c r="D28" s="345" t="s">
        <v>320</v>
      </c>
      <c r="E28" s="346" t="s">
        <v>1050</v>
      </c>
      <c r="F28" s="346" t="s">
        <v>321</v>
      </c>
      <c r="G28" s="347">
        <v>15.28707</v>
      </c>
      <c r="I28" s="325">
        <v>25</v>
      </c>
      <c r="J28" s="326" t="s">
        <v>195</v>
      </c>
      <c r="K28" s="327" t="s">
        <v>1051</v>
      </c>
      <c r="L28" s="327" t="s">
        <v>295</v>
      </c>
      <c r="M28" s="328">
        <v>1</v>
      </c>
      <c r="N28" s="328">
        <v>1</v>
      </c>
      <c r="O28" s="329">
        <v>1</v>
      </c>
      <c r="P28" s="329">
        <v>1</v>
      </c>
      <c r="X28" s="325">
        <v>24</v>
      </c>
      <c r="Y28" s="333" t="s">
        <v>1036</v>
      </c>
      <c r="Z28" s="327" t="s">
        <v>1052</v>
      </c>
      <c r="AA28" s="334" t="str">
        <f t="shared" si="1"/>
        <v>6. Bulkgüter, fest - Stückgut (z.B. Stahlhalbzeuge, Bleche)</v>
      </c>
      <c r="AB28" s="329">
        <v>0.90869292054289197</v>
      </c>
      <c r="AC28" s="329">
        <v>0.90869292054289197</v>
      </c>
      <c r="AD28" s="458">
        <v>0.90869292054289197</v>
      </c>
      <c r="AE28" s="335">
        <v>0.90869292054289197</v>
      </c>
      <c r="AF28" s="329">
        <v>0.82572282384477058</v>
      </c>
      <c r="AG28" s="329">
        <v>1</v>
      </c>
      <c r="AH28" s="335">
        <v>1.2</v>
      </c>
      <c r="BA28" s="345" t="s">
        <v>1053</v>
      </c>
      <c r="BB28" s="346" t="s">
        <v>222</v>
      </c>
      <c r="BC28" s="346" t="s">
        <v>1054</v>
      </c>
      <c r="BD28" s="355">
        <v>1</v>
      </c>
      <c r="BE28" s="355">
        <v>1</v>
      </c>
      <c r="BF28" s="355">
        <v>1</v>
      </c>
      <c r="BG28" s="355">
        <v>1</v>
      </c>
      <c r="BH28" s="356">
        <v>4.5</v>
      </c>
      <c r="BJ28" s="352" t="str">
        <v>East Africa - Near East</v>
      </c>
      <c r="BK28" s="327" t="s">
        <v>960</v>
      </c>
      <c r="BL28" s="327" t="s">
        <v>941</v>
      </c>
      <c r="BM28" s="429">
        <v>1.6050717150319744</v>
      </c>
      <c r="BN28" s="429">
        <v>1.6050717150319744</v>
      </c>
      <c r="BO28" s="459">
        <v>1.6050717150319744</v>
      </c>
      <c r="BP28" s="460">
        <v>1.6050717150319744</v>
      </c>
      <c r="BQ28" s="468"/>
      <c r="BR28" s="877">
        <v>2.5762552103956837</v>
      </c>
      <c r="BS28" s="74">
        <f t="shared" si="0"/>
        <v>1.6050717150319744</v>
      </c>
      <c r="BT28" s="345" t="s">
        <v>296</v>
      </c>
      <c r="BU28" s="412">
        <v>0.05</v>
      </c>
      <c r="BV28" s="412">
        <v>7.0000000000000001E-3</v>
      </c>
      <c r="BW28" s="414">
        <v>5.0000000000000001E-3</v>
      </c>
      <c r="CF28" s="345">
        <v>23</v>
      </c>
      <c r="CG28" s="353">
        <v>0.38333333333333336</v>
      </c>
      <c r="CH28" s="359">
        <v>1</v>
      </c>
      <c r="CI28" s="353">
        <v>0.38333333333333336</v>
      </c>
      <c r="CJ28" s="360">
        <v>1</v>
      </c>
      <c r="CS28" s="352" t="s">
        <v>485</v>
      </c>
      <c r="CT28" s="485" t="s">
        <v>485</v>
      </c>
      <c r="CU28" s="355" t="s">
        <v>932</v>
      </c>
      <c r="DB28" s="513" t="s">
        <v>1123</v>
      </c>
      <c r="DC28" s="823" t="s">
        <v>64</v>
      </c>
      <c r="DD28" s="517" t="s">
        <v>943</v>
      </c>
      <c r="DE28" s="511"/>
      <c r="DF28" s="511"/>
      <c r="DG28" s="511"/>
      <c r="DH28" s="511"/>
      <c r="DI28" s="511"/>
      <c r="DO28" s="674" t="str">
        <v>Slovakia</v>
      </c>
      <c r="DP28" s="675"/>
    </row>
    <row r="29" spans="1:120" x14ac:dyDescent="0.35">
      <c r="A29" s="343" t="s">
        <v>1055</v>
      </c>
      <c r="B29" s="344">
        <v>5.6012636480031784E-3</v>
      </c>
      <c r="D29" s="345" t="s">
        <v>325</v>
      </c>
      <c r="E29" s="346" t="s">
        <v>1056</v>
      </c>
      <c r="F29" s="346" t="s">
        <v>326</v>
      </c>
      <c r="G29" s="347">
        <v>3.4816199999999999</v>
      </c>
      <c r="I29" s="325">
        <v>26</v>
      </c>
      <c r="J29" s="326" t="s">
        <v>195</v>
      </c>
      <c r="K29" s="327" t="s">
        <v>1057</v>
      </c>
      <c r="L29" s="327" t="s">
        <v>302</v>
      </c>
      <c r="M29" s="328">
        <v>1</v>
      </c>
      <c r="N29" s="328">
        <v>1</v>
      </c>
      <c r="O29" s="329">
        <v>1</v>
      </c>
      <c r="P29" s="329">
        <v>1</v>
      </c>
      <c r="X29" s="325">
        <v>25</v>
      </c>
      <c r="Y29" s="333" t="s">
        <v>1036</v>
      </c>
      <c r="Z29" s="327" t="s">
        <v>1058</v>
      </c>
      <c r="AA29" s="334" t="str">
        <f t="shared" si="1"/>
        <v>6. Bulkgüter, fest - Chemische Erzeugnisse - containerisiert</v>
      </c>
      <c r="AB29" s="329">
        <v>0.81275965640268855</v>
      </c>
      <c r="AC29" s="329">
        <v>0.81275965640268855</v>
      </c>
      <c r="AD29" s="458">
        <v>0.81275965640268855</v>
      </c>
      <c r="AE29" s="335">
        <v>0.81275965640268855</v>
      </c>
      <c r="AF29" s="329">
        <v>0.66057825907581635</v>
      </c>
      <c r="AG29" s="329">
        <v>1.6</v>
      </c>
      <c r="AH29" s="335">
        <v>1.2</v>
      </c>
      <c r="BA29" s="345" t="s">
        <v>1059</v>
      </c>
      <c r="BB29" s="346" t="s">
        <v>229</v>
      </c>
      <c r="BC29" s="346" t="s">
        <v>1060</v>
      </c>
      <c r="BD29" s="355">
        <v>1</v>
      </c>
      <c r="BE29" s="355">
        <v>1</v>
      </c>
      <c r="BF29" s="355">
        <v>1</v>
      </c>
      <c r="BG29" s="355">
        <v>1</v>
      </c>
      <c r="BH29" s="356">
        <v>4</v>
      </c>
      <c r="BJ29" s="352" t="str">
        <v>East Africa - North Europe</v>
      </c>
      <c r="BK29" s="327" t="s">
        <v>960</v>
      </c>
      <c r="BL29" s="327" t="s">
        <v>856</v>
      </c>
      <c r="BM29" s="429">
        <v>1.6557172992889329</v>
      </c>
      <c r="BN29" s="429">
        <v>1.6557172992889329</v>
      </c>
      <c r="BO29" s="459">
        <v>1.6557172992889329</v>
      </c>
      <c r="BP29" s="460">
        <v>1.6557172992889329</v>
      </c>
      <c r="BQ29" s="468"/>
      <c r="BR29" s="877">
        <v>2.7413997751646377</v>
      </c>
      <c r="BS29" s="74">
        <f t="shared" si="0"/>
        <v>1.5739023068584377</v>
      </c>
      <c r="BT29" s="345" t="s">
        <v>303</v>
      </c>
      <c r="BU29" s="412">
        <v>1.5E-3</v>
      </c>
      <c r="BV29" s="412">
        <v>3.5000000000000001E-3</v>
      </c>
      <c r="BW29" s="414">
        <v>1.5E-3</v>
      </c>
      <c r="CF29" s="345">
        <v>24</v>
      </c>
      <c r="CG29" s="353">
        <v>0.4</v>
      </c>
      <c r="CH29" s="359">
        <v>1</v>
      </c>
      <c r="CI29" s="353">
        <v>0.4</v>
      </c>
      <c r="CJ29" s="360">
        <v>1</v>
      </c>
      <c r="CS29" s="352" t="s">
        <v>1061</v>
      </c>
      <c r="CT29" s="485" t="s">
        <v>495</v>
      </c>
      <c r="CU29" s="355" t="s">
        <v>932</v>
      </c>
      <c r="DB29" s="514" t="s">
        <v>1131</v>
      </c>
      <c r="DC29" s="824" t="s">
        <v>64</v>
      </c>
      <c r="DD29" s="516" t="s">
        <v>953</v>
      </c>
      <c r="DE29" s="515"/>
      <c r="DF29" s="515"/>
      <c r="DG29" s="515"/>
      <c r="DH29" s="515"/>
      <c r="DI29" s="515"/>
      <c r="DO29" s="674" t="str">
        <v>South Africa</v>
      </c>
      <c r="DP29" s="675"/>
    </row>
    <row r="30" spans="1:120" x14ac:dyDescent="0.35">
      <c r="A30" s="343" t="s">
        <v>1063</v>
      </c>
      <c r="B30" s="361">
        <v>1166546.9641248693</v>
      </c>
      <c r="D30" s="345" t="s">
        <v>331</v>
      </c>
      <c r="E30" s="346" t="s">
        <v>1064</v>
      </c>
      <c r="F30" s="346" t="s">
        <v>332</v>
      </c>
      <c r="G30" s="347">
        <v>2.21347</v>
      </c>
      <c r="I30" s="325">
        <v>27</v>
      </c>
      <c r="J30" s="326" t="s">
        <v>195</v>
      </c>
      <c r="K30" s="327" t="s">
        <v>1065</v>
      </c>
      <c r="L30" s="327" t="s">
        <v>308</v>
      </c>
      <c r="M30" s="328">
        <v>1</v>
      </c>
      <c r="N30" s="328">
        <v>1</v>
      </c>
      <c r="O30" s="329">
        <v>1</v>
      </c>
      <c r="P30" s="329">
        <v>1</v>
      </c>
      <c r="X30" s="325">
        <v>26</v>
      </c>
      <c r="Y30" s="333" t="s">
        <v>1036</v>
      </c>
      <c r="Z30" s="327" t="s">
        <v>1066</v>
      </c>
      <c r="AA30" s="334" t="str">
        <f t="shared" si="1"/>
        <v>6. Bulkgüter, fest - Chemische Erzeugnisse - nicht containerisiert</v>
      </c>
      <c r="AB30" s="329">
        <v>0.81275965640268855</v>
      </c>
      <c r="AC30" s="329">
        <v>0.81275965640268855</v>
      </c>
      <c r="AD30" s="458">
        <v>0.81275965640268855</v>
      </c>
      <c r="AE30" s="335">
        <v>0.81275965640268855</v>
      </c>
      <c r="AF30" s="329">
        <v>0.66057825907581635</v>
      </c>
      <c r="AG30" s="329">
        <v>2</v>
      </c>
      <c r="AH30" s="335">
        <v>1.2</v>
      </c>
      <c r="BA30" s="345" t="s">
        <v>1067</v>
      </c>
      <c r="BB30" s="346" t="s">
        <v>309</v>
      </c>
      <c r="BC30" s="346" t="s">
        <v>1068</v>
      </c>
      <c r="BD30" s="355">
        <v>1</v>
      </c>
      <c r="BE30" s="355">
        <v>1</v>
      </c>
      <c r="BF30" s="355">
        <v>1</v>
      </c>
      <c r="BG30" s="355">
        <v>1</v>
      </c>
      <c r="BH30" s="356">
        <v>4.5</v>
      </c>
      <c r="BJ30" s="352" t="str">
        <v>East Africa - East Europe</v>
      </c>
      <c r="BK30" s="327" t="s">
        <v>960</v>
      </c>
      <c r="BL30" s="327" t="s">
        <v>869</v>
      </c>
      <c r="BM30" s="429">
        <v>1.7620209469970376</v>
      </c>
      <c r="BN30" s="429">
        <v>1.7620209469970376</v>
      </c>
      <c r="BO30" s="459">
        <v>1.7620209469970376</v>
      </c>
      <c r="BP30" s="460">
        <v>1.7620209469970376</v>
      </c>
      <c r="BQ30" s="468"/>
      <c r="BR30" s="877">
        <v>3.1047178176563373</v>
      </c>
      <c r="BS30" s="74">
        <f t="shared" si="0"/>
        <v>1.6853742949345139</v>
      </c>
      <c r="BT30" s="345" t="s">
        <v>310</v>
      </c>
      <c r="BU30" s="412">
        <v>2E-3</v>
      </c>
      <c r="BV30" s="412">
        <v>4.0000000000000001E-3</v>
      </c>
      <c r="BW30" s="414">
        <v>2E-3</v>
      </c>
      <c r="CF30" s="345">
        <v>25</v>
      </c>
      <c r="CG30" s="353">
        <v>0.41666666666666669</v>
      </c>
      <c r="CH30" s="359">
        <v>1</v>
      </c>
      <c r="CI30" s="353">
        <v>0.41666666666666669</v>
      </c>
      <c r="CJ30" s="360">
        <v>1</v>
      </c>
      <c r="CS30" s="352" t="s">
        <v>1069</v>
      </c>
      <c r="CT30" s="485" t="s">
        <v>784</v>
      </c>
      <c r="CU30" s="355" t="s">
        <v>932</v>
      </c>
      <c r="DB30" s="513" t="s">
        <v>1139</v>
      </c>
      <c r="DC30" s="823" t="s">
        <v>64</v>
      </c>
      <c r="DD30" s="517" t="s">
        <v>962</v>
      </c>
      <c r="DE30" s="511"/>
      <c r="DF30" s="511"/>
      <c r="DG30" s="511"/>
      <c r="DH30" s="511"/>
      <c r="DI30" s="511"/>
      <c r="DO30" s="674" t="str">
        <v>Spain</v>
      </c>
      <c r="DP30" s="675" t="s">
        <v>4389</v>
      </c>
    </row>
    <row r="31" spans="1:120" x14ac:dyDescent="0.35">
      <c r="A31" s="343" t="s">
        <v>1071</v>
      </c>
      <c r="B31" s="344">
        <f xml:space="preserve"> 1.66856515758005^2 / 1.66856515758005^2 * 1.70907673624062^2</f>
        <v>2.9209432903588901</v>
      </c>
      <c r="D31" s="345" t="s">
        <v>335</v>
      </c>
      <c r="E31" s="346" t="s">
        <v>1072</v>
      </c>
      <c r="F31" s="346" t="s">
        <v>336</v>
      </c>
      <c r="G31" s="347">
        <v>1.5544800000000001</v>
      </c>
      <c r="I31" s="325">
        <v>28</v>
      </c>
      <c r="J31" s="326" t="s">
        <v>195</v>
      </c>
      <c r="K31" s="327" t="s">
        <v>1073</v>
      </c>
      <c r="L31" s="327" t="s">
        <v>315</v>
      </c>
      <c r="M31" s="328">
        <v>1</v>
      </c>
      <c r="N31" s="328">
        <v>1</v>
      </c>
      <c r="O31" s="329">
        <v>1</v>
      </c>
      <c r="P31" s="329">
        <v>1</v>
      </c>
      <c r="X31" s="325">
        <v>27</v>
      </c>
      <c r="Y31" s="333" t="s">
        <v>1074</v>
      </c>
      <c r="Z31" s="327" t="s">
        <v>1075</v>
      </c>
      <c r="AA31" s="334" t="str">
        <f t="shared" si="1"/>
        <v>7. Bulkgüter, flüssig - Lebensmittel (exkl. Fette und Öle)</v>
      </c>
      <c r="AB31" s="329">
        <v>1.02806868181134</v>
      </c>
      <c r="AC31" s="329">
        <v>1.02806868181134</v>
      </c>
      <c r="AD31" s="458">
        <v>1.02806868181134</v>
      </c>
      <c r="AE31" s="335">
        <v>1.02806868181134</v>
      </c>
      <c r="AF31" s="329">
        <v>1.0569252145213064</v>
      </c>
      <c r="AG31" s="329">
        <v>1</v>
      </c>
      <c r="AH31" s="335">
        <v>1.2</v>
      </c>
      <c r="BA31" s="345" t="s">
        <v>1076</v>
      </c>
      <c r="BB31" s="346" t="s">
        <v>316</v>
      </c>
      <c r="BC31" s="346" t="s">
        <v>1077</v>
      </c>
      <c r="BD31" s="355">
        <v>1</v>
      </c>
      <c r="BE31" s="355">
        <v>1</v>
      </c>
      <c r="BF31" s="355">
        <v>1</v>
      </c>
      <c r="BG31" s="355">
        <v>1</v>
      </c>
      <c r="BH31" s="356">
        <v>3.5</v>
      </c>
      <c r="BJ31" s="352" t="str">
        <v>East Africa - South Europe</v>
      </c>
      <c r="BK31" s="327" t="s">
        <v>960</v>
      </c>
      <c r="BL31" s="327" t="s">
        <v>882</v>
      </c>
      <c r="BM31" s="429">
        <v>1.6853742949345139</v>
      </c>
      <c r="BN31" s="429">
        <v>1.6853742949345139</v>
      </c>
      <c r="BO31" s="459">
        <v>1.6853742949345139</v>
      </c>
      <c r="BP31" s="460">
        <v>1.6853742949345139</v>
      </c>
      <c r="BQ31" s="468"/>
      <c r="BR31" s="877">
        <v>2.8404865140260096</v>
      </c>
      <c r="BS31" s="74">
        <f t="shared" si="0"/>
        <v>1.6050717150319744</v>
      </c>
      <c r="BT31" s="345" t="s">
        <v>317</v>
      </c>
      <c r="BU31" s="412">
        <v>2E-3</v>
      </c>
      <c r="BV31" s="412">
        <v>4.0000000000000001E-3</v>
      </c>
      <c r="BW31" s="414">
        <v>2E-3</v>
      </c>
      <c r="CF31" s="345">
        <v>26</v>
      </c>
      <c r="CG31" s="353">
        <v>0.43333333333333335</v>
      </c>
      <c r="CH31" s="359">
        <v>1</v>
      </c>
      <c r="CI31" s="353">
        <v>0.43333333333333335</v>
      </c>
      <c r="CJ31" s="360">
        <v>1</v>
      </c>
      <c r="CS31" s="352" t="s">
        <v>1078</v>
      </c>
      <c r="CT31" s="485" t="s">
        <v>1079</v>
      </c>
      <c r="CU31" s="355" t="s">
        <v>932</v>
      </c>
      <c r="DB31" s="514" t="s">
        <v>4633</v>
      </c>
      <c r="DC31" s="824" t="s">
        <v>4628</v>
      </c>
      <c r="DD31" s="515" t="s">
        <v>95</v>
      </c>
      <c r="DE31" s="515"/>
      <c r="DF31" s="515"/>
      <c r="DG31" s="515"/>
      <c r="DH31" s="515"/>
      <c r="DI31" s="515"/>
      <c r="DO31" s="674" t="str">
        <v>Switzerland</v>
      </c>
      <c r="DP31" s="675" t="s">
        <v>4390</v>
      </c>
    </row>
    <row r="32" spans="1:120" x14ac:dyDescent="0.35">
      <c r="A32" s="343" t="s">
        <v>1081</v>
      </c>
      <c r="B32" s="494">
        <v>0.59</v>
      </c>
      <c r="D32" s="345" t="s">
        <v>340</v>
      </c>
      <c r="E32" s="346" t="s">
        <v>1082</v>
      </c>
      <c r="F32" s="346" t="s">
        <v>341</v>
      </c>
      <c r="G32" s="347">
        <v>3172.3081299999999</v>
      </c>
      <c r="I32" s="325">
        <v>29</v>
      </c>
      <c r="J32" s="326" t="s">
        <v>195</v>
      </c>
      <c r="K32" s="327" t="s">
        <v>1083</v>
      </c>
      <c r="L32" s="327" t="s">
        <v>322</v>
      </c>
      <c r="M32" s="328">
        <v>1</v>
      </c>
      <c r="N32" s="328">
        <v>1</v>
      </c>
      <c r="O32" s="329">
        <v>1</v>
      </c>
      <c r="P32" s="329">
        <v>1</v>
      </c>
      <c r="X32" s="325">
        <v>28</v>
      </c>
      <c r="Y32" s="333" t="s">
        <v>1074</v>
      </c>
      <c r="Z32" s="327" t="s">
        <v>1084</v>
      </c>
      <c r="AA32" s="334" t="str">
        <f t="shared" si="1"/>
        <v>7. Bulkgüter, flüssig - Fette und Öle (pflanzlicher oder tierischer Ursprung)</v>
      </c>
      <c r="AB32" s="329">
        <v>1.1203118727586756</v>
      </c>
      <c r="AC32" s="329">
        <v>1.1203118727586756</v>
      </c>
      <c r="AD32" s="458">
        <v>1.1203118727586756</v>
      </c>
      <c r="AE32" s="335">
        <v>1.1203118727586756</v>
      </c>
      <c r="AF32" s="329">
        <v>1.255098692244051</v>
      </c>
      <c r="AG32" s="329">
        <v>1</v>
      </c>
      <c r="AH32" s="335">
        <v>1.2</v>
      </c>
      <c r="BA32" s="345" t="s">
        <v>1085</v>
      </c>
      <c r="BB32" s="346" t="s">
        <v>236</v>
      </c>
      <c r="BC32" s="346" t="s">
        <v>1086</v>
      </c>
      <c r="BD32" s="355">
        <v>1</v>
      </c>
      <c r="BE32" s="355">
        <v>1</v>
      </c>
      <c r="BF32" s="355">
        <v>1</v>
      </c>
      <c r="BG32" s="355">
        <v>1</v>
      </c>
      <c r="BH32" s="356">
        <v>4.5</v>
      </c>
      <c r="BJ32" s="352" t="str">
        <v>East Africa - West Europe</v>
      </c>
      <c r="BK32" s="327" t="s">
        <v>960</v>
      </c>
      <c r="BL32" s="327" t="s">
        <v>893</v>
      </c>
      <c r="BM32" s="429">
        <v>1.6457128735629574</v>
      </c>
      <c r="BN32" s="429">
        <v>1.6457128735629574</v>
      </c>
      <c r="BO32" s="459">
        <v>1.6457128735629574</v>
      </c>
      <c r="BP32" s="460">
        <v>1.6457128735629574</v>
      </c>
      <c r="BQ32" s="468"/>
      <c r="BR32" s="877">
        <v>2.7083708622108467</v>
      </c>
      <c r="BS32" s="74">
        <f t="shared" si="0"/>
        <v>1.5633744140737755</v>
      </c>
      <c r="BT32" s="345" t="s">
        <v>323</v>
      </c>
      <c r="BU32" s="412">
        <v>4.4999999999999997E-3</v>
      </c>
      <c r="BV32" s="412">
        <v>6.4999999999999997E-3</v>
      </c>
      <c r="BW32" s="414">
        <v>4.4999999999999997E-3</v>
      </c>
      <c r="CF32" s="345">
        <v>27</v>
      </c>
      <c r="CG32" s="353">
        <v>0.45</v>
      </c>
      <c r="CH32" s="359">
        <v>1</v>
      </c>
      <c r="CI32" s="353">
        <v>0.45</v>
      </c>
      <c r="CJ32" s="360">
        <v>1</v>
      </c>
      <c r="CS32" s="352" t="s">
        <v>271</v>
      </c>
      <c r="CT32" s="485" t="s">
        <v>271</v>
      </c>
      <c r="CU32" s="355" t="s">
        <v>1087</v>
      </c>
      <c r="DB32" s="513" t="s">
        <v>4642</v>
      </c>
      <c r="DC32" s="823" t="s">
        <v>64</v>
      </c>
      <c r="DD32" s="515" t="s">
        <v>95</v>
      </c>
      <c r="DE32" s="511"/>
      <c r="DF32" s="511"/>
      <c r="DG32" s="511"/>
      <c r="DH32" s="511"/>
      <c r="DI32" s="511"/>
      <c r="DO32" s="674" t="str">
        <v>United Kingdom</v>
      </c>
      <c r="DP32" s="675" t="s">
        <v>4392</v>
      </c>
    </row>
    <row r="33" spans="1:120" x14ac:dyDescent="0.35">
      <c r="A33" s="343" t="s">
        <v>1089</v>
      </c>
      <c r="B33" s="344">
        <f xml:space="preserve"> 1.54861632213599^2</f>
        <v>2.3982125131860008</v>
      </c>
      <c r="D33" s="345" t="s">
        <v>163</v>
      </c>
      <c r="E33" s="346" t="s">
        <v>1090</v>
      </c>
      <c r="F33" s="346" t="s">
        <v>164</v>
      </c>
      <c r="G33" s="347">
        <v>0.93928999999999996</v>
      </c>
      <c r="I33" s="325">
        <v>30</v>
      </c>
      <c r="J33" s="326" t="s">
        <v>195</v>
      </c>
      <c r="K33" s="327" t="s">
        <v>1091</v>
      </c>
      <c r="L33" s="327" t="s">
        <v>327</v>
      </c>
      <c r="M33" s="328">
        <v>1</v>
      </c>
      <c r="N33" s="328">
        <v>1</v>
      </c>
      <c r="O33" s="329">
        <v>1</v>
      </c>
      <c r="P33" s="329">
        <v>1</v>
      </c>
      <c r="X33" s="325">
        <v>29</v>
      </c>
      <c r="Y33" s="333" t="s">
        <v>1074</v>
      </c>
      <c r="Z33" s="327" t="s">
        <v>1092</v>
      </c>
      <c r="AA33" s="334" t="str">
        <f t="shared" si="1"/>
        <v>7. Bulkgüter, flüssig - Petrochemische Erzeugnisse</v>
      </c>
      <c r="AB33" s="329">
        <v>1.0904315046514703</v>
      </c>
      <c r="AC33" s="329">
        <v>1.0904315046514703</v>
      </c>
      <c r="AD33" s="458">
        <v>1.0904315046514703</v>
      </c>
      <c r="AE33" s="335">
        <v>1.0904315046514703</v>
      </c>
      <c r="AF33" s="329">
        <v>1.1890408663364695</v>
      </c>
      <c r="AG33" s="329">
        <v>1</v>
      </c>
      <c r="AH33" s="335">
        <v>1.2</v>
      </c>
      <c r="BA33" s="345" t="s">
        <v>1093</v>
      </c>
      <c r="BB33" s="346" t="s">
        <v>328</v>
      </c>
      <c r="BC33" s="346" t="s">
        <v>1094</v>
      </c>
      <c r="BD33" s="355">
        <v>1</v>
      </c>
      <c r="BE33" s="355">
        <v>1</v>
      </c>
      <c r="BF33" s="355">
        <v>1</v>
      </c>
      <c r="BG33" s="355">
        <v>1</v>
      </c>
      <c r="BH33" s="356">
        <v>1.9</v>
      </c>
      <c r="BJ33" s="352" t="str">
        <v>East Africa - North America</v>
      </c>
      <c r="BK33" s="327" t="s">
        <v>960</v>
      </c>
      <c r="BL33" s="327" t="s">
        <v>904</v>
      </c>
      <c r="BM33" s="429">
        <v>1.6656616367433181</v>
      </c>
      <c r="BN33" s="429">
        <v>1.6656616367433181</v>
      </c>
      <c r="BO33" s="459">
        <v>1.6656616367433181</v>
      </c>
      <c r="BP33" s="460">
        <v>1.6656616367433181</v>
      </c>
      <c r="BQ33" s="468"/>
      <c r="BR33" s="877">
        <v>2.7744286881184297</v>
      </c>
      <c r="BS33" s="74">
        <f t="shared" si="0"/>
        <v>1.5843602445429201</v>
      </c>
      <c r="BT33" s="345" t="s">
        <v>329</v>
      </c>
      <c r="BU33" s="412">
        <v>1.5E-3</v>
      </c>
      <c r="BV33" s="412">
        <v>3.5000000000000001E-3</v>
      </c>
      <c r="BW33" s="414">
        <v>1.5E-3</v>
      </c>
      <c r="CF33" s="345">
        <v>28</v>
      </c>
      <c r="CG33" s="353">
        <v>0.46666666666666667</v>
      </c>
      <c r="CH33" s="359">
        <v>1</v>
      </c>
      <c r="CI33" s="353">
        <v>0.46666666666666667</v>
      </c>
      <c r="CJ33" s="360">
        <v>1</v>
      </c>
      <c r="CS33" s="352" t="s">
        <v>630</v>
      </c>
      <c r="CT33" s="485" t="s">
        <v>630</v>
      </c>
      <c r="CU33" s="355" t="s">
        <v>1087</v>
      </c>
      <c r="DB33" s="513" t="s">
        <v>1152</v>
      </c>
      <c r="DC33" s="823" t="s">
        <v>64</v>
      </c>
      <c r="DD33" s="517" t="s">
        <v>1153</v>
      </c>
      <c r="DE33" s="511"/>
      <c r="DF33" s="511"/>
      <c r="DG33" s="511"/>
      <c r="DH33" s="511"/>
      <c r="DI33" s="511"/>
      <c r="DO33" s="674" t="str">
        <v>USA</v>
      </c>
      <c r="DP33" s="675"/>
    </row>
    <row r="34" spans="1:120" x14ac:dyDescent="0.35">
      <c r="A34" s="343"/>
      <c r="B34" s="344"/>
      <c r="D34" s="345" t="s">
        <v>346</v>
      </c>
      <c r="E34" s="346" t="s">
        <v>1096</v>
      </c>
      <c r="F34" s="346" t="s">
        <v>347</v>
      </c>
      <c r="G34" s="347">
        <v>1064.77333</v>
      </c>
      <c r="I34" s="325">
        <v>31</v>
      </c>
      <c r="J34" s="326" t="s">
        <v>195</v>
      </c>
      <c r="K34" s="327" t="s">
        <v>1097</v>
      </c>
      <c r="L34" s="327" t="s">
        <v>333</v>
      </c>
      <c r="M34" s="328">
        <v>1</v>
      </c>
      <c r="N34" s="328">
        <v>1</v>
      </c>
      <c r="O34" s="329">
        <v>1</v>
      </c>
      <c r="P34" s="329">
        <v>1</v>
      </c>
      <c r="X34" s="325">
        <v>30</v>
      </c>
      <c r="Y34" s="333" t="s">
        <v>1074</v>
      </c>
      <c r="Z34" s="327" t="s">
        <v>1098</v>
      </c>
      <c r="AA34" s="334" t="str">
        <f t="shared" si="1"/>
        <v>7. Bulkgüter, flüssig - Chemische Erzeugnisse (exkl. Petrochemie)</v>
      </c>
      <c r="AB34" s="329">
        <v>0.45434646027144598</v>
      </c>
      <c r="AC34" s="329">
        <v>2.9078173457372545</v>
      </c>
      <c r="AD34" s="458">
        <v>0.45434646027144598</v>
      </c>
      <c r="AE34" s="335">
        <v>2.9078173457372545</v>
      </c>
      <c r="AF34" s="329">
        <v>1.3211565181516329</v>
      </c>
      <c r="AG34" s="329">
        <v>1</v>
      </c>
      <c r="AH34" s="335">
        <v>1.2</v>
      </c>
      <c r="BA34" s="345" t="s">
        <v>1099</v>
      </c>
      <c r="BB34" s="346" t="s">
        <v>243</v>
      </c>
      <c r="BC34" s="346" t="s">
        <v>1100</v>
      </c>
      <c r="BD34" s="355">
        <v>1</v>
      </c>
      <c r="BE34" s="355">
        <v>1</v>
      </c>
      <c r="BF34" s="355">
        <v>1</v>
      </c>
      <c r="BG34" s="355">
        <v>1</v>
      </c>
      <c r="BH34" s="356">
        <v>4.5</v>
      </c>
      <c r="BJ34" s="352" t="str">
        <v>East Africa - South America</v>
      </c>
      <c r="BK34" s="327" t="s">
        <v>960</v>
      </c>
      <c r="BL34" s="327" t="s">
        <v>913</v>
      </c>
      <c r="BM34" s="429">
        <v>1.7431752613402804</v>
      </c>
      <c r="BN34" s="429">
        <v>1.7431752613402804</v>
      </c>
      <c r="BO34" s="459">
        <v>1.7431752613402804</v>
      </c>
      <c r="BP34" s="460">
        <v>1.7431752613402804</v>
      </c>
      <c r="BQ34" s="468"/>
      <c r="BR34" s="877">
        <v>3.0386599917487551</v>
      </c>
      <c r="BS34" s="74">
        <f t="shared" si="0"/>
        <v>1.6656616367433181</v>
      </c>
      <c r="BT34" s="345" t="s">
        <v>334</v>
      </c>
      <c r="BU34" s="412">
        <v>2E-3</v>
      </c>
      <c r="BV34" s="412">
        <v>4.0000000000000001E-3</v>
      </c>
      <c r="BW34" s="414">
        <v>2E-3</v>
      </c>
      <c r="CF34" s="345">
        <v>29</v>
      </c>
      <c r="CG34" s="353">
        <v>0.48333333333333334</v>
      </c>
      <c r="CH34" s="359">
        <v>1</v>
      </c>
      <c r="CI34" s="353">
        <v>0.48333333333333334</v>
      </c>
      <c r="CJ34" s="360">
        <v>1</v>
      </c>
      <c r="CS34" s="352" t="s">
        <v>700</v>
      </c>
      <c r="CT34" s="485" t="s">
        <v>700</v>
      </c>
      <c r="CU34" s="355" t="s">
        <v>1087</v>
      </c>
      <c r="DB34" s="514" t="s">
        <v>1160</v>
      </c>
      <c r="DC34" s="824" t="s">
        <v>64</v>
      </c>
      <c r="DD34" s="516" t="s">
        <v>934</v>
      </c>
      <c r="DE34" s="515"/>
      <c r="DF34" s="515"/>
      <c r="DG34" s="515"/>
      <c r="DH34" s="515"/>
      <c r="DI34" s="515"/>
      <c r="DO34" s="674" t="str">
        <v>Sweden</v>
      </c>
      <c r="DP34" s="675"/>
    </row>
    <row r="35" spans="1:120" x14ac:dyDescent="0.35">
      <c r="A35" s="343" t="s">
        <v>1101</v>
      </c>
      <c r="B35" s="434">
        <v>0.2</v>
      </c>
      <c r="D35" s="345" t="s">
        <v>353</v>
      </c>
      <c r="E35" s="346" t="s">
        <v>1102</v>
      </c>
      <c r="F35" s="346" t="s">
        <v>354</v>
      </c>
      <c r="G35" s="347">
        <v>7.9946900000000003</v>
      </c>
      <c r="I35" s="325">
        <v>32</v>
      </c>
      <c r="J35" s="326" t="s">
        <v>195</v>
      </c>
      <c r="K35" s="327" t="s">
        <v>1103</v>
      </c>
      <c r="L35" s="327" t="s">
        <v>337</v>
      </c>
      <c r="M35" s="328">
        <v>1</v>
      </c>
      <c r="N35" s="328">
        <v>1</v>
      </c>
      <c r="O35" s="329">
        <v>1</v>
      </c>
      <c r="P35" s="329">
        <v>1</v>
      </c>
      <c r="X35" s="325">
        <v>31</v>
      </c>
      <c r="Y35" s="333" t="s">
        <v>1104</v>
      </c>
      <c r="Z35" s="327" t="s">
        <v>1105</v>
      </c>
      <c r="AA35" s="334" t="str">
        <f t="shared" si="1"/>
        <v>8. Bulkgüter, gasförmig - Containerisiert bzw. kleinere Ladungseinheiten</v>
      </c>
      <c r="AB35" s="329">
        <v>0.96167019435258716</v>
      </c>
      <c r="AC35" s="329">
        <v>0.96167019435258716</v>
      </c>
      <c r="AD35" s="458">
        <v>0.96167019435258716</v>
      </c>
      <c r="AE35" s="335">
        <v>0.96167019435258716</v>
      </c>
      <c r="AF35" s="329">
        <v>0.92480956270614278</v>
      </c>
      <c r="AG35" s="329">
        <v>1</v>
      </c>
      <c r="AH35" s="335">
        <v>1.2</v>
      </c>
      <c r="BA35" s="345" t="s">
        <v>1106</v>
      </c>
      <c r="BB35" s="346" t="s">
        <v>250</v>
      </c>
      <c r="BC35" s="346" t="s">
        <v>1107</v>
      </c>
      <c r="BD35" s="355">
        <v>1</v>
      </c>
      <c r="BE35" s="355">
        <v>1</v>
      </c>
      <c r="BF35" s="355">
        <v>1</v>
      </c>
      <c r="BG35" s="355">
        <v>1</v>
      </c>
      <c r="BH35" s="356">
        <v>4.5</v>
      </c>
      <c r="BJ35" s="352" t="str">
        <v>South Africa - North Africa</v>
      </c>
      <c r="BK35" s="327" t="s">
        <v>777</v>
      </c>
      <c r="BL35" s="327" t="s">
        <v>950</v>
      </c>
      <c r="BM35" s="429">
        <v>1.520534086025485</v>
      </c>
      <c r="BN35" s="429">
        <v>1.520534086025485</v>
      </c>
      <c r="BO35" s="459">
        <v>1.520534086025485</v>
      </c>
      <c r="BP35" s="460">
        <v>1.520534086025485</v>
      </c>
      <c r="BQ35" s="468"/>
      <c r="BR35" s="877">
        <v>2.312023906765357</v>
      </c>
      <c r="BS35" s="74">
        <f t="shared" si="0"/>
        <v>1.520534086025485</v>
      </c>
      <c r="BT35" s="345" t="s">
        <v>338</v>
      </c>
      <c r="BU35" s="412">
        <v>1.5E-3</v>
      </c>
      <c r="BV35" s="412">
        <v>3.5000000000000001E-3</v>
      </c>
      <c r="BW35" s="414">
        <v>1.5E-3</v>
      </c>
      <c r="CF35" s="345">
        <v>30</v>
      </c>
      <c r="CG35" s="353">
        <v>0.5</v>
      </c>
      <c r="CH35" s="359">
        <v>1</v>
      </c>
      <c r="CI35" s="353">
        <v>0.5</v>
      </c>
      <c r="CJ35" s="360">
        <v>1</v>
      </c>
      <c r="CS35" s="352" t="s">
        <v>1108</v>
      </c>
      <c r="CT35" s="485" t="s">
        <v>777</v>
      </c>
      <c r="CU35" s="355" t="s">
        <v>1087</v>
      </c>
      <c r="DB35" s="513" t="s">
        <v>1166</v>
      </c>
      <c r="DC35" s="823" t="s">
        <v>64</v>
      </c>
      <c r="DD35" s="517" t="s">
        <v>943</v>
      </c>
      <c r="DE35" s="511"/>
      <c r="DF35" s="511"/>
      <c r="DG35" s="511"/>
      <c r="DH35" s="511"/>
      <c r="DI35" s="511"/>
      <c r="DO35" s="674" t="str">
        <v>United Arab Emirates</v>
      </c>
      <c r="DP35" s="675"/>
    </row>
    <row r="36" spans="1:120" x14ac:dyDescent="0.35">
      <c r="A36" s="343" t="s">
        <v>1110</v>
      </c>
      <c r="B36" s="434">
        <v>0.45478811456755042</v>
      </c>
      <c r="D36" s="345" t="s">
        <v>360</v>
      </c>
      <c r="E36" s="346" t="s">
        <v>1111</v>
      </c>
      <c r="F36" s="346" t="s">
        <v>361</v>
      </c>
      <c r="G36" s="347">
        <v>4609.41111</v>
      </c>
      <c r="I36" s="325">
        <v>33</v>
      </c>
      <c r="J36" s="326" t="s">
        <v>195</v>
      </c>
      <c r="K36" s="327" t="s">
        <v>1112</v>
      </c>
      <c r="L36" s="327" t="s">
        <v>342</v>
      </c>
      <c r="M36" s="328">
        <v>1</v>
      </c>
      <c r="N36" s="328">
        <v>1</v>
      </c>
      <c r="O36" s="329">
        <v>1</v>
      </c>
      <c r="P36" s="329">
        <v>1</v>
      </c>
      <c r="X36" s="325">
        <v>32</v>
      </c>
      <c r="Y36" s="333" t="s">
        <v>1104</v>
      </c>
      <c r="Z36" s="327" t="s">
        <v>1113</v>
      </c>
      <c r="AA36" s="334" t="str">
        <f t="shared" si="1"/>
        <v>8. Bulkgüter, gasförmig - Nicht Containerisiert bzw. größere Ladungseinheiten</v>
      </c>
      <c r="AB36" s="329">
        <v>0.92668858674236476</v>
      </c>
      <c r="AC36" s="329">
        <v>0.92668858674236476</v>
      </c>
      <c r="AD36" s="458">
        <v>0.92668858674236476</v>
      </c>
      <c r="AE36" s="335">
        <v>0.92668858674236476</v>
      </c>
      <c r="AF36" s="329">
        <v>0.85875173679856132</v>
      </c>
      <c r="AG36" s="329">
        <v>1</v>
      </c>
      <c r="AH36" s="335">
        <v>1.2</v>
      </c>
      <c r="BA36" s="345" t="s">
        <v>1114</v>
      </c>
      <c r="BB36" s="346" t="s">
        <v>343</v>
      </c>
      <c r="BC36" s="346" t="s">
        <v>1115</v>
      </c>
      <c r="BD36" s="355">
        <v>1</v>
      </c>
      <c r="BE36" s="355">
        <v>1</v>
      </c>
      <c r="BF36" s="355">
        <v>1</v>
      </c>
      <c r="BG36" s="355">
        <v>1</v>
      </c>
      <c r="BH36" s="356">
        <v>2.5</v>
      </c>
      <c r="BJ36" s="352" t="str">
        <v>South Africa - East Africa</v>
      </c>
      <c r="BK36" s="327" t="s">
        <v>777</v>
      </c>
      <c r="BL36" s="327" t="s">
        <v>960</v>
      </c>
      <c r="BM36" s="429">
        <v>1.6255193128053771</v>
      </c>
      <c r="BN36" s="429">
        <v>1.6255193128053771</v>
      </c>
      <c r="BO36" s="459">
        <v>1.6255193128053771</v>
      </c>
      <c r="BP36" s="460">
        <v>1.6255193128053771</v>
      </c>
      <c r="BQ36" s="468"/>
      <c r="BR36" s="877">
        <v>2.6423130363032654</v>
      </c>
      <c r="BS36" s="74">
        <f t="shared" si="0"/>
        <v>1.384079821151897</v>
      </c>
      <c r="BT36" s="345" t="s">
        <v>344</v>
      </c>
      <c r="BU36" s="412">
        <v>3.5000000000000001E-3</v>
      </c>
      <c r="BV36" s="412">
        <v>5.4999999999999997E-3</v>
      </c>
      <c r="BW36" s="414">
        <v>3.5000000000000001E-3</v>
      </c>
      <c r="CF36" s="345">
        <v>31</v>
      </c>
      <c r="CG36" s="353">
        <v>0.51666666666666672</v>
      </c>
      <c r="CH36" s="359">
        <v>1</v>
      </c>
      <c r="CI36" s="353">
        <v>0.51666666666666672</v>
      </c>
      <c r="CJ36" s="360">
        <v>1</v>
      </c>
      <c r="CS36" s="352" t="s">
        <v>449</v>
      </c>
      <c r="CT36" s="485" t="s">
        <v>449</v>
      </c>
      <c r="CU36" s="355" t="s">
        <v>1087</v>
      </c>
      <c r="DB36" s="514" t="s">
        <v>1175</v>
      </c>
      <c r="DC36" s="824" t="s">
        <v>64</v>
      </c>
      <c r="DD36" s="516" t="s">
        <v>953</v>
      </c>
      <c r="DE36" s="515"/>
      <c r="DF36" s="515"/>
      <c r="DG36" s="515"/>
      <c r="DH36" s="515"/>
      <c r="DI36" s="515"/>
    </row>
    <row r="37" spans="1:120" x14ac:dyDescent="0.35">
      <c r="A37" s="343" t="s">
        <v>4611</v>
      </c>
      <c r="B37" s="434">
        <v>0.14401662636935106</v>
      </c>
      <c r="D37" s="345" t="s">
        <v>366</v>
      </c>
      <c r="E37" s="346" t="s">
        <v>1118</v>
      </c>
      <c r="F37" s="346" t="s">
        <v>367</v>
      </c>
      <c r="G37" s="347">
        <v>559.80137000000002</v>
      </c>
      <c r="I37" s="325">
        <v>35</v>
      </c>
      <c r="J37" s="326" t="s">
        <v>348</v>
      </c>
      <c r="K37" s="327" t="s">
        <v>1119</v>
      </c>
      <c r="L37" s="327" t="s">
        <v>349</v>
      </c>
      <c r="M37" s="328">
        <v>1</v>
      </c>
      <c r="N37" s="328">
        <v>1</v>
      </c>
      <c r="O37" s="329">
        <v>1</v>
      </c>
      <c r="P37" s="329">
        <v>1</v>
      </c>
      <c r="X37" s="325">
        <v>33</v>
      </c>
      <c r="Y37" s="333" t="s">
        <v>1120</v>
      </c>
      <c r="Z37" s="327" t="s">
        <v>1121</v>
      </c>
      <c r="AA37" s="334" t="str">
        <f t="shared" si="1"/>
        <v>9. Pharma, Medizin, Kosmetik, Lebensmittel - Pharmazeutische Produkte</v>
      </c>
      <c r="AB37" s="329">
        <v>1.0159495705033608</v>
      </c>
      <c r="AC37" s="329">
        <v>2.6008309004886034</v>
      </c>
      <c r="AD37" s="458">
        <v>1.0159495705033608</v>
      </c>
      <c r="AE37" s="335">
        <v>2.6008309004886034</v>
      </c>
      <c r="AF37" s="329">
        <v>2.6423130363032659</v>
      </c>
      <c r="AG37" s="329">
        <v>1.33</v>
      </c>
      <c r="AH37" s="335">
        <v>1.2</v>
      </c>
      <c r="BA37" s="345" t="s">
        <v>1114</v>
      </c>
      <c r="BB37" s="346" t="s">
        <v>343</v>
      </c>
      <c r="BC37" s="346" t="s">
        <v>1115</v>
      </c>
      <c r="BD37" s="355">
        <v>1</v>
      </c>
      <c r="BE37" s="355">
        <v>1</v>
      </c>
      <c r="BF37" s="355">
        <v>1</v>
      </c>
      <c r="BG37" s="355">
        <v>1</v>
      </c>
      <c r="BH37" s="356">
        <v>2.5</v>
      </c>
      <c r="BJ37" s="352" t="str">
        <v>South Africa - South Africa</v>
      </c>
      <c r="BK37" s="327" t="s">
        <v>777</v>
      </c>
      <c r="BL37" s="327" t="s">
        <v>777</v>
      </c>
      <c r="BM37" s="429">
        <v>1.520534086025485</v>
      </c>
      <c r="BN37" s="429">
        <v>1.520534086025485</v>
      </c>
      <c r="BO37" s="459">
        <v>1.520534086025485</v>
      </c>
      <c r="BP37" s="460">
        <v>1.520534086025485</v>
      </c>
      <c r="BQ37" s="468"/>
      <c r="BR37" s="877">
        <v>2.312023906765357</v>
      </c>
      <c r="BS37" s="74">
        <f t="shared" si="0"/>
        <v>1.520534086025485</v>
      </c>
      <c r="BT37" s="345" t="s">
        <v>350</v>
      </c>
      <c r="BU37" s="412">
        <v>6.4999999999999997E-3</v>
      </c>
      <c r="BV37" s="412">
        <v>8.5000000000000006E-3</v>
      </c>
      <c r="BW37" s="414">
        <v>6.4999999999999997E-3</v>
      </c>
      <c r="CF37" s="345">
        <v>32</v>
      </c>
      <c r="CG37" s="353">
        <v>0.53333333333333333</v>
      </c>
      <c r="CH37" s="359">
        <v>1</v>
      </c>
      <c r="CI37" s="353">
        <v>0.53333333333333333</v>
      </c>
      <c r="CJ37" s="360">
        <v>1</v>
      </c>
      <c r="CS37" s="352" t="s">
        <v>242</v>
      </c>
      <c r="CT37" s="485" t="s">
        <v>242</v>
      </c>
      <c r="CU37" s="355" t="s">
        <v>1122</v>
      </c>
      <c r="DB37" s="513" t="s">
        <v>1182</v>
      </c>
      <c r="DC37" s="823" t="s">
        <v>64</v>
      </c>
      <c r="DD37" s="517" t="s">
        <v>962</v>
      </c>
      <c r="DE37" s="511"/>
      <c r="DF37" s="511"/>
      <c r="DG37" s="511"/>
      <c r="DH37" s="511"/>
      <c r="DI37" s="511"/>
    </row>
    <row r="38" spans="1:120" x14ac:dyDescent="0.35">
      <c r="A38" s="343" t="s">
        <v>1117</v>
      </c>
      <c r="B38" s="434">
        <v>0.13975680060742959</v>
      </c>
      <c r="D38" s="345" t="s">
        <v>373</v>
      </c>
      <c r="E38" s="346" t="s">
        <v>1125</v>
      </c>
      <c r="F38" s="346" t="s">
        <v>374</v>
      </c>
      <c r="G38" s="347">
        <v>1.10673</v>
      </c>
      <c r="I38" s="325">
        <v>36</v>
      </c>
      <c r="J38" s="326" t="s">
        <v>355</v>
      </c>
      <c r="K38" s="327" t="s">
        <v>1126</v>
      </c>
      <c r="L38" s="327" t="s">
        <v>356</v>
      </c>
      <c r="M38" s="328">
        <v>1</v>
      </c>
      <c r="N38" s="328">
        <v>1</v>
      </c>
      <c r="O38" s="329">
        <v>1</v>
      </c>
      <c r="P38" s="329">
        <v>1</v>
      </c>
      <c r="X38" s="325">
        <v>35</v>
      </c>
      <c r="Y38" s="333" t="s">
        <v>1120</v>
      </c>
      <c r="Z38" s="327" t="s">
        <v>1127</v>
      </c>
      <c r="AA38" s="334" t="str">
        <f t="shared" si="1"/>
        <v>9. Pharma, Medizin, Kosmetik, Lebensmittel - Medizinprodukte</v>
      </c>
      <c r="AB38" s="329">
        <v>1.4077410192316799</v>
      </c>
      <c r="AC38" s="329">
        <v>1.4077410192316799</v>
      </c>
      <c r="AD38" s="458">
        <v>1.4077410192316799</v>
      </c>
      <c r="AE38" s="335">
        <v>1.4077410192316799</v>
      </c>
      <c r="AF38" s="329">
        <v>1.981734777227449</v>
      </c>
      <c r="AG38" s="329">
        <v>1</v>
      </c>
      <c r="AH38" s="335">
        <v>1.2</v>
      </c>
      <c r="BA38" s="345" t="s">
        <v>1128</v>
      </c>
      <c r="BB38" s="346" t="s">
        <v>357</v>
      </c>
      <c r="BC38" s="346" t="s">
        <v>1129</v>
      </c>
      <c r="BD38" s="355">
        <v>1</v>
      </c>
      <c r="BE38" s="355">
        <v>1</v>
      </c>
      <c r="BF38" s="355">
        <v>1</v>
      </c>
      <c r="BG38" s="355">
        <v>1</v>
      </c>
      <c r="BH38" s="356">
        <v>3</v>
      </c>
      <c r="BJ38" s="352" t="str">
        <v>South Africa - West Africa</v>
      </c>
      <c r="BK38" s="327" t="s">
        <v>777</v>
      </c>
      <c r="BL38" s="327" t="s">
        <v>976</v>
      </c>
      <c r="BM38" s="429">
        <v>1.5843602445429201</v>
      </c>
      <c r="BN38" s="429">
        <v>1.5843602445429201</v>
      </c>
      <c r="BO38" s="459">
        <v>1.5843602445429201</v>
      </c>
      <c r="BP38" s="460">
        <v>1.5843602445429201</v>
      </c>
      <c r="BQ38" s="468"/>
      <c r="BR38" s="877">
        <v>2.5101973844881016</v>
      </c>
      <c r="BS38" s="74">
        <f t="shared" si="0"/>
        <v>1.5843602445429201</v>
      </c>
      <c r="BT38" s="345" t="s">
        <v>358</v>
      </c>
      <c r="BU38" s="412">
        <v>4.0000000000000001E-3</v>
      </c>
      <c r="BV38" s="412">
        <v>6.0000000000000001E-3</v>
      </c>
      <c r="BW38" s="414">
        <v>4.0000000000000001E-3</v>
      </c>
      <c r="CF38" s="345">
        <v>33</v>
      </c>
      <c r="CG38" s="353">
        <v>0.55000000000000004</v>
      </c>
      <c r="CH38" s="359">
        <v>1</v>
      </c>
      <c r="CI38" s="353">
        <v>0.55000000000000004</v>
      </c>
      <c r="CJ38" s="360">
        <v>1</v>
      </c>
      <c r="CS38" s="352" t="s">
        <v>1130</v>
      </c>
      <c r="CT38" s="485" t="s">
        <v>222</v>
      </c>
      <c r="CU38" s="355" t="s">
        <v>1122</v>
      </c>
      <c r="DB38" s="514" t="s">
        <v>4634</v>
      </c>
      <c r="DC38" s="824" t="s">
        <v>4628</v>
      </c>
      <c r="DD38" s="515" t="s">
        <v>95</v>
      </c>
      <c r="DE38" s="515" t="s">
        <v>95</v>
      </c>
      <c r="DF38" s="515"/>
      <c r="DG38" s="515"/>
      <c r="DH38" s="515"/>
      <c r="DI38" s="515"/>
    </row>
    <row r="39" spans="1:120" x14ac:dyDescent="0.35">
      <c r="A39" s="343" t="s">
        <v>1124</v>
      </c>
      <c r="B39" s="433">
        <v>0.10554607000000001</v>
      </c>
      <c r="D39" s="345" t="s">
        <v>379</v>
      </c>
      <c r="E39" s="346" t="s">
        <v>1133</v>
      </c>
      <c r="F39" s="346" t="s">
        <v>380</v>
      </c>
      <c r="G39" s="347">
        <v>110.64478</v>
      </c>
      <c r="I39" s="325">
        <v>37</v>
      </c>
      <c r="J39" s="326" t="s">
        <v>355</v>
      </c>
      <c r="K39" s="327" t="s">
        <v>1134</v>
      </c>
      <c r="L39" s="327" t="s">
        <v>362</v>
      </c>
      <c r="M39" s="328">
        <v>1</v>
      </c>
      <c r="N39" s="328">
        <v>1</v>
      </c>
      <c r="O39" s="329">
        <v>1</v>
      </c>
      <c r="P39" s="329">
        <v>1</v>
      </c>
      <c r="X39" s="325">
        <v>36</v>
      </c>
      <c r="Y39" s="333" t="s">
        <v>1120</v>
      </c>
      <c r="Z39" s="327" t="s">
        <v>1135</v>
      </c>
      <c r="AA39" s="334" t="str">
        <f t="shared" si="1"/>
        <v>9. Pharma, Medizin, Kosmetik, Lebensmittel - Kosmetika</v>
      </c>
      <c r="AB39" s="329">
        <v>0.9954232208531828</v>
      </c>
      <c r="AC39" s="329">
        <v>0.9954232208531828</v>
      </c>
      <c r="AD39" s="458">
        <v>0.9954232208531828</v>
      </c>
      <c r="AE39" s="335">
        <v>0.9954232208531828</v>
      </c>
      <c r="AF39" s="329">
        <v>0.99086738861372436</v>
      </c>
      <c r="AG39" s="329">
        <v>1</v>
      </c>
      <c r="AH39" s="335">
        <v>1.2</v>
      </c>
      <c r="BA39" s="345" t="s">
        <v>1136</v>
      </c>
      <c r="BB39" s="346" t="s">
        <v>257</v>
      </c>
      <c r="BC39" s="346" t="s">
        <v>1137</v>
      </c>
      <c r="BD39" s="355">
        <v>1</v>
      </c>
      <c r="BE39" s="355">
        <v>1</v>
      </c>
      <c r="BF39" s="355">
        <v>1</v>
      </c>
      <c r="BG39" s="355">
        <v>1</v>
      </c>
      <c r="BH39" s="356">
        <v>2.9</v>
      </c>
      <c r="BJ39" s="352" t="str">
        <v>South Africa - Central Africa</v>
      </c>
      <c r="BK39" s="327" t="s">
        <v>777</v>
      </c>
      <c r="BL39" s="327" t="s">
        <v>985</v>
      </c>
      <c r="BM39" s="429">
        <v>1.6255193128053771</v>
      </c>
      <c r="BN39" s="429">
        <v>1.6255193128053771</v>
      </c>
      <c r="BO39" s="459">
        <v>1.6255193128053771</v>
      </c>
      <c r="BP39" s="460">
        <v>1.6255193128053771</v>
      </c>
      <c r="BQ39" s="468"/>
      <c r="BR39" s="877">
        <v>2.6423130363032654</v>
      </c>
      <c r="BS39" s="74">
        <f t="shared" si="0"/>
        <v>1.6255193128053771</v>
      </c>
      <c r="BT39" s="345" t="s">
        <v>363</v>
      </c>
      <c r="BU39" s="412">
        <v>1.5E-3</v>
      </c>
      <c r="BV39" s="412">
        <v>3.5000000000000001E-3</v>
      </c>
      <c r="BW39" s="414">
        <v>1.5E-3</v>
      </c>
      <c r="CF39" s="345">
        <v>34</v>
      </c>
      <c r="CG39" s="353">
        <v>0.56666666666666665</v>
      </c>
      <c r="CH39" s="359">
        <v>1</v>
      </c>
      <c r="CI39" s="353">
        <v>0.56666666666666665</v>
      </c>
      <c r="CJ39" s="360">
        <v>1</v>
      </c>
      <c r="CS39" s="352" t="s">
        <v>1138</v>
      </c>
      <c r="CT39" s="485" t="s">
        <v>580</v>
      </c>
      <c r="CU39" s="355" t="s">
        <v>1122</v>
      </c>
      <c r="DB39" s="513" t="s">
        <v>4643</v>
      </c>
      <c r="DC39" s="823" t="s">
        <v>64</v>
      </c>
      <c r="DD39" s="515" t="s">
        <v>95</v>
      </c>
      <c r="DE39" s="515" t="s">
        <v>95</v>
      </c>
      <c r="DF39" s="511"/>
      <c r="DG39" s="511"/>
      <c r="DH39" s="511"/>
      <c r="DI39" s="511"/>
    </row>
    <row r="40" spans="1:120" x14ac:dyDescent="0.35">
      <c r="A40" s="343" t="s">
        <v>1132</v>
      </c>
      <c r="B40" s="433">
        <v>8.2722050000000005E-2</v>
      </c>
      <c r="D40" s="345" t="s">
        <v>386</v>
      </c>
      <c r="E40" s="346" t="s">
        <v>1141</v>
      </c>
      <c r="F40" s="346" t="s">
        <v>387</v>
      </c>
      <c r="G40" s="347">
        <v>24.89011</v>
      </c>
      <c r="I40" s="325">
        <v>38</v>
      </c>
      <c r="J40" s="326" t="s">
        <v>355</v>
      </c>
      <c r="K40" s="327" t="s">
        <v>1142</v>
      </c>
      <c r="L40" s="327" t="s">
        <v>368</v>
      </c>
      <c r="M40" s="328">
        <v>1</v>
      </c>
      <c r="N40" s="328">
        <v>1</v>
      </c>
      <c r="O40" s="329">
        <v>1</v>
      </c>
      <c r="P40" s="329">
        <v>1</v>
      </c>
      <c r="X40" s="325">
        <v>37</v>
      </c>
      <c r="Y40" s="333" t="s">
        <v>1120</v>
      </c>
      <c r="Z40" s="327" t="s">
        <v>1143</v>
      </c>
      <c r="AA40" s="334" t="str">
        <f t="shared" si="1"/>
        <v>9. Pharma, Medizin, Kosmetik, Lebensmittel - Heilprodukte</v>
      </c>
      <c r="AB40" s="329">
        <v>0.89033359528380118</v>
      </c>
      <c r="AC40" s="329">
        <v>0.89033359528380118</v>
      </c>
      <c r="AD40" s="458">
        <v>0.89033359528380118</v>
      </c>
      <c r="AE40" s="335">
        <v>0.89033359528380118</v>
      </c>
      <c r="AF40" s="329">
        <v>0.79269391089097951</v>
      </c>
      <c r="AG40" s="329">
        <v>1</v>
      </c>
      <c r="AH40" s="335">
        <v>1.2</v>
      </c>
      <c r="BA40" s="345" t="s">
        <v>1144</v>
      </c>
      <c r="BB40" s="346" t="s">
        <v>369</v>
      </c>
      <c r="BC40" s="346" t="s">
        <v>1145</v>
      </c>
      <c r="BD40" s="355">
        <v>1</v>
      </c>
      <c r="BE40" s="355">
        <v>1</v>
      </c>
      <c r="BF40" s="355">
        <v>1</v>
      </c>
      <c r="BG40" s="355">
        <v>1</v>
      </c>
      <c r="BH40" s="356">
        <v>4.5</v>
      </c>
      <c r="BJ40" s="352" t="str">
        <v>South Africa - Asia</v>
      </c>
      <c r="BK40" s="327" t="s">
        <v>777</v>
      </c>
      <c r="BL40" s="327" t="s">
        <v>274</v>
      </c>
      <c r="BM40" s="429">
        <v>1.431011042282704</v>
      </c>
      <c r="BN40" s="429">
        <v>1.431011042282704</v>
      </c>
      <c r="BO40" s="459">
        <v>1.431011042282704</v>
      </c>
      <c r="BP40" s="460">
        <v>1.431011042282704</v>
      </c>
      <c r="BQ40" s="468"/>
      <c r="BR40" s="877">
        <v>2.0477926031350311</v>
      </c>
      <c r="BS40" s="74">
        <f t="shared" si="0"/>
        <v>1.384079821151897</v>
      </c>
      <c r="BT40" s="345" t="s">
        <v>370</v>
      </c>
      <c r="BU40" s="412">
        <v>2.5000000000000001E-3</v>
      </c>
      <c r="BV40" s="412">
        <v>4.4999999999999997E-3</v>
      </c>
      <c r="BW40" s="414">
        <v>2.5000000000000001E-3</v>
      </c>
      <c r="CF40" s="345">
        <v>35</v>
      </c>
      <c r="CG40" s="353">
        <v>0.58333333333333337</v>
      </c>
      <c r="CH40" s="359">
        <v>1</v>
      </c>
      <c r="CI40" s="353">
        <v>0.58333333333333337</v>
      </c>
      <c r="CJ40" s="360">
        <v>1</v>
      </c>
      <c r="CS40" s="352" t="s">
        <v>479</v>
      </c>
      <c r="CT40" s="485" t="s">
        <v>479</v>
      </c>
      <c r="CU40" s="355" t="s">
        <v>1122</v>
      </c>
      <c r="DB40" s="513" t="s">
        <v>1197</v>
      </c>
      <c r="DC40" s="823" t="s">
        <v>64</v>
      </c>
      <c r="DD40" s="511">
        <v>5000</v>
      </c>
      <c r="DE40" s="511">
        <v>10000</v>
      </c>
      <c r="DF40" s="511"/>
      <c r="DG40" s="511"/>
      <c r="DH40" s="511"/>
      <c r="DI40" s="511"/>
    </row>
    <row r="41" spans="1:120" x14ac:dyDescent="0.35">
      <c r="A41" s="343" t="s">
        <v>1146</v>
      </c>
      <c r="B41" s="433">
        <v>6.3743079999999994E-2</v>
      </c>
      <c r="D41" s="345" t="s">
        <v>392</v>
      </c>
      <c r="E41" s="346" t="s">
        <v>1147</v>
      </c>
      <c r="F41" s="346" t="s">
        <v>393</v>
      </c>
      <c r="G41" s="347">
        <v>196.71179000000001</v>
      </c>
      <c r="I41" s="325">
        <v>39</v>
      </c>
      <c r="J41" s="326" t="s">
        <v>355</v>
      </c>
      <c r="K41" s="327" t="s">
        <v>1148</v>
      </c>
      <c r="L41" s="327" t="s">
        <v>375</v>
      </c>
      <c r="M41" s="328">
        <v>1</v>
      </c>
      <c r="N41" s="328">
        <v>1</v>
      </c>
      <c r="O41" s="329">
        <v>1</v>
      </c>
      <c r="P41" s="329">
        <v>1</v>
      </c>
      <c r="X41" s="325">
        <v>38</v>
      </c>
      <c r="Y41" s="333" t="s">
        <v>1120</v>
      </c>
      <c r="Z41" s="327" t="s">
        <v>1149</v>
      </c>
      <c r="AA41" s="334" t="str">
        <f t="shared" si="1"/>
        <v>9. Pharma, Medizin, Kosmetik, Lebensmittel - Lebens- und Genussmittel (verkaufsfertig)</v>
      </c>
      <c r="AB41" s="329">
        <v>1.0597089413744172</v>
      </c>
      <c r="AC41" s="329">
        <v>1.0597089413744172</v>
      </c>
      <c r="AD41" s="458">
        <v>1.0597089413744172</v>
      </c>
      <c r="AE41" s="335">
        <v>1.0597089413744172</v>
      </c>
      <c r="AF41" s="329">
        <v>1.1229830404288879</v>
      </c>
      <c r="AG41" s="329">
        <f xml:space="preserve"> 2.1 / 1.7</f>
        <v>1.2352941176470589</v>
      </c>
      <c r="AH41" s="335">
        <v>1.2</v>
      </c>
      <c r="BA41" s="345" t="s">
        <v>1150</v>
      </c>
      <c r="BB41" s="346" t="s">
        <v>376</v>
      </c>
      <c r="BC41" s="346" t="s">
        <v>1151</v>
      </c>
      <c r="BD41" s="355">
        <v>1</v>
      </c>
      <c r="BE41" s="355">
        <v>1</v>
      </c>
      <c r="BF41" s="355">
        <v>1</v>
      </c>
      <c r="BG41" s="355">
        <v>1</v>
      </c>
      <c r="BH41" s="356">
        <v>2.5</v>
      </c>
      <c r="BJ41" s="352" t="str">
        <v>South Africa - SouthEast Asia</v>
      </c>
      <c r="BK41" s="327" t="s">
        <v>777</v>
      </c>
      <c r="BL41" s="327" t="s">
        <v>930</v>
      </c>
      <c r="BM41" s="429">
        <v>1.431011042282704</v>
      </c>
      <c r="BN41" s="429">
        <v>1.431011042282704</v>
      </c>
      <c r="BO41" s="459">
        <v>1.431011042282704</v>
      </c>
      <c r="BP41" s="460">
        <v>1.431011042282704</v>
      </c>
      <c r="BQ41" s="468"/>
      <c r="BR41" s="877">
        <v>2.0477926031350311</v>
      </c>
      <c r="BS41" s="74">
        <f t="shared" si="0"/>
        <v>1.4764512369022533</v>
      </c>
      <c r="BT41" s="345" t="s">
        <v>377</v>
      </c>
      <c r="BU41" s="412">
        <v>5.4999999999999997E-3</v>
      </c>
      <c r="BV41" s="412">
        <v>7.4999999999999997E-3</v>
      </c>
      <c r="BW41" s="414">
        <v>5.4999999999999997E-3</v>
      </c>
      <c r="CF41" s="345">
        <v>36</v>
      </c>
      <c r="CG41" s="353">
        <v>0.6</v>
      </c>
      <c r="CH41" s="359">
        <v>1</v>
      </c>
      <c r="CI41" s="353">
        <v>0.6</v>
      </c>
      <c r="CJ41" s="360">
        <v>1</v>
      </c>
      <c r="CS41" s="352" t="s">
        <v>494</v>
      </c>
      <c r="CT41" s="485" t="s">
        <v>494</v>
      </c>
      <c r="CU41" s="355" t="s">
        <v>1122</v>
      </c>
      <c r="DB41" s="514" t="s">
        <v>1204</v>
      </c>
      <c r="DC41" s="824" t="s">
        <v>64</v>
      </c>
      <c r="DD41" s="516" t="s">
        <v>934</v>
      </c>
      <c r="DE41" s="515"/>
      <c r="DF41" s="515"/>
      <c r="DG41" s="515"/>
      <c r="DH41" s="515"/>
      <c r="DI41" s="515"/>
    </row>
    <row r="42" spans="1:120" x14ac:dyDescent="0.35">
      <c r="A42" s="343" t="s">
        <v>4610</v>
      </c>
      <c r="B42" s="494">
        <f xml:space="preserve"> 1.2*1.3</f>
        <v>1.56</v>
      </c>
      <c r="D42" s="345" t="s">
        <v>398</v>
      </c>
      <c r="E42" s="346" t="s">
        <v>1154</v>
      </c>
      <c r="F42" s="346" t="s">
        <v>399</v>
      </c>
      <c r="G42" s="347">
        <v>7.4610799999999999</v>
      </c>
      <c r="I42" s="325">
        <v>41</v>
      </c>
      <c r="J42" s="326" t="s">
        <v>381</v>
      </c>
      <c r="K42" s="327" t="s">
        <v>1155</v>
      </c>
      <c r="L42" s="327" t="s">
        <v>382</v>
      </c>
      <c r="M42" s="328">
        <v>1</v>
      </c>
      <c r="N42" s="328">
        <v>1</v>
      </c>
      <c r="O42" s="329">
        <v>1</v>
      </c>
      <c r="P42" s="329">
        <v>1</v>
      </c>
      <c r="X42" s="325">
        <v>40</v>
      </c>
      <c r="Y42" s="333" t="s">
        <v>1156</v>
      </c>
      <c r="Z42" s="327" t="s">
        <v>1157</v>
      </c>
      <c r="AA42" s="334" t="str">
        <f t="shared" si="1"/>
        <v>10. Elektronik, EDV - Braune Ware (z.B. Unterhaltungstechnik)</v>
      </c>
      <c r="AB42" s="329">
        <v>1.4077410192316799</v>
      </c>
      <c r="AC42" s="329">
        <v>1.4077410192316799</v>
      </c>
      <c r="AD42" s="458">
        <v>1.4077410192316799</v>
      </c>
      <c r="AE42" s="335">
        <v>1.4077410192316799</v>
      </c>
      <c r="AF42" s="329">
        <v>1.981734777227449</v>
      </c>
      <c r="AG42" s="329">
        <v>1</v>
      </c>
      <c r="AH42" s="335">
        <v>1.2</v>
      </c>
      <c r="BA42" s="345" t="s">
        <v>1158</v>
      </c>
      <c r="BB42" s="346" t="s">
        <v>383</v>
      </c>
      <c r="BC42" s="346" t="s">
        <v>1159</v>
      </c>
      <c r="BD42" s="355">
        <v>1</v>
      </c>
      <c r="BE42" s="355">
        <v>1</v>
      </c>
      <c r="BF42" s="355">
        <v>1</v>
      </c>
      <c r="BG42" s="355">
        <v>1</v>
      </c>
      <c r="BH42" s="356">
        <v>1.8</v>
      </c>
      <c r="BJ42" s="352" t="str">
        <v>South Africa - Australia</v>
      </c>
      <c r="BK42" s="327" t="s">
        <v>777</v>
      </c>
      <c r="BL42" s="327" t="s">
        <v>160</v>
      </c>
      <c r="BM42" s="429">
        <v>1.431011042282704</v>
      </c>
      <c r="BN42" s="429">
        <v>1.431011042282704</v>
      </c>
      <c r="BO42" s="459">
        <v>1.431011042282704</v>
      </c>
      <c r="BP42" s="460">
        <v>1.431011042282704</v>
      </c>
      <c r="BQ42" s="468"/>
      <c r="BR42" s="877">
        <v>2.0477926031350311</v>
      </c>
      <c r="BS42" s="74">
        <f t="shared" si="0"/>
        <v>1.3600070313833992</v>
      </c>
      <c r="BT42" s="345" t="s">
        <v>384</v>
      </c>
      <c r="BU42" s="412">
        <v>8.9999999999999993E-3</v>
      </c>
      <c r="BV42" s="412">
        <v>1.0999999999999999E-2</v>
      </c>
      <c r="BW42" s="414">
        <v>8.9999999999999993E-3</v>
      </c>
      <c r="CF42" s="345">
        <v>37</v>
      </c>
      <c r="CG42" s="353">
        <v>0.6166666666666667</v>
      </c>
      <c r="CH42" s="359">
        <v>1</v>
      </c>
      <c r="CI42" s="353">
        <v>0.6166666666666667</v>
      </c>
      <c r="CJ42" s="360">
        <v>1</v>
      </c>
      <c r="CS42" s="352" t="s">
        <v>310</v>
      </c>
      <c r="CT42" s="485" t="s">
        <v>310</v>
      </c>
      <c r="CU42" s="355" t="s">
        <v>1122</v>
      </c>
      <c r="DB42" s="513" t="s">
        <v>1210</v>
      </c>
      <c r="DC42" s="823" t="s">
        <v>64</v>
      </c>
      <c r="DD42" s="517" t="s">
        <v>943</v>
      </c>
      <c r="DE42" s="511"/>
      <c r="DF42" s="511"/>
      <c r="DG42" s="511"/>
      <c r="DH42" s="511"/>
      <c r="DI42" s="511"/>
    </row>
    <row r="43" spans="1:120" x14ac:dyDescent="0.35">
      <c r="A43" s="343"/>
      <c r="B43" s="494"/>
      <c r="D43" s="345" t="s">
        <v>405</v>
      </c>
      <c r="E43" s="346" t="s">
        <v>1161</v>
      </c>
      <c r="F43" s="346" t="s">
        <v>406</v>
      </c>
      <c r="G43" s="347">
        <v>67.537430000000001</v>
      </c>
      <c r="I43" s="325">
        <v>42</v>
      </c>
      <c r="J43" s="326" t="s">
        <v>381</v>
      </c>
      <c r="K43" s="327" t="s">
        <v>1162</v>
      </c>
      <c r="L43" s="327" t="s">
        <v>388</v>
      </c>
      <c r="M43" s="328">
        <v>1</v>
      </c>
      <c r="N43" s="328">
        <v>1</v>
      </c>
      <c r="O43" s="329">
        <v>1</v>
      </c>
      <c r="P43" s="329">
        <v>1</v>
      </c>
      <c r="X43" s="325">
        <v>41</v>
      </c>
      <c r="Y43" s="333" t="s">
        <v>1156</v>
      </c>
      <c r="Z43" s="327" t="s">
        <v>1163</v>
      </c>
      <c r="AA43" s="334" t="str">
        <f t="shared" si="1"/>
        <v>10. Elektronik, EDV - Weiße Ware (z.B. Haushaltsgeräte)</v>
      </c>
      <c r="AB43" s="329">
        <v>1.1494157290343789</v>
      </c>
      <c r="AC43" s="329">
        <v>1.1494157290343789</v>
      </c>
      <c r="AD43" s="458">
        <v>1.1494157290343789</v>
      </c>
      <c r="AE43" s="335">
        <v>1.1494157290343789</v>
      </c>
      <c r="AF43" s="329">
        <v>1.3211565181516329</v>
      </c>
      <c r="AG43" s="329">
        <v>1</v>
      </c>
      <c r="AH43" s="335">
        <v>1.2</v>
      </c>
      <c r="BA43" s="345" t="s">
        <v>1164</v>
      </c>
      <c r="BB43" s="346" t="s">
        <v>389</v>
      </c>
      <c r="BC43" s="346" t="s">
        <v>1165</v>
      </c>
      <c r="BD43" s="355">
        <v>1</v>
      </c>
      <c r="BE43" s="355">
        <v>1</v>
      </c>
      <c r="BF43" s="355">
        <v>1</v>
      </c>
      <c r="BG43" s="355">
        <v>1</v>
      </c>
      <c r="BH43" s="356">
        <v>10</v>
      </c>
      <c r="BJ43" s="352" t="str">
        <v>South Africa - Near East</v>
      </c>
      <c r="BK43" s="327" t="s">
        <v>777</v>
      </c>
      <c r="BL43" s="327" t="s">
        <v>941</v>
      </c>
      <c r="BM43" s="429">
        <v>1.384079821151897</v>
      </c>
      <c r="BN43" s="429">
        <v>1.384079821151897</v>
      </c>
      <c r="BO43" s="459">
        <v>1.384079821151897</v>
      </c>
      <c r="BP43" s="460">
        <v>1.384079821151897</v>
      </c>
      <c r="BQ43" s="468"/>
      <c r="BR43" s="877">
        <v>1.915676951319867</v>
      </c>
      <c r="BS43" s="74">
        <f t="shared" si="0"/>
        <v>1.384079821151897</v>
      </c>
      <c r="BT43" s="345" t="s">
        <v>390</v>
      </c>
      <c r="BU43" s="412">
        <v>5.0000000000000001E-4</v>
      </c>
      <c r="BV43" s="412">
        <v>5.0000000000000001E-4</v>
      </c>
      <c r="BW43" s="414">
        <v>5.0000000000000001E-4</v>
      </c>
      <c r="CF43" s="345">
        <v>38</v>
      </c>
      <c r="CG43" s="353">
        <v>0.6333333333333333</v>
      </c>
      <c r="CH43" s="359">
        <v>1</v>
      </c>
      <c r="CI43" s="353">
        <v>0.6333333333333333</v>
      </c>
      <c r="CJ43" s="360">
        <v>1</v>
      </c>
      <c r="CS43" s="352" t="s">
        <v>527</v>
      </c>
      <c r="CT43" s="485" t="s">
        <v>527</v>
      </c>
      <c r="CU43" s="355" t="s">
        <v>1122</v>
      </c>
      <c r="DB43" s="514" t="s">
        <v>1217</v>
      </c>
      <c r="DC43" s="824" t="s">
        <v>64</v>
      </c>
      <c r="DD43" s="516" t="s">
        <v>953</v>
      </c>
      <c r="DE43" s="515"/>
      <c r="DF43" s="515"/>
      <c r="DG43" s="515"/>
      <c r="DH43" s="515"/>
      <c r="DI43" s="515"/>
    </row>
    <row r="44" spans="1:120" x14ac:dyDescent="0.35">
      <c r="A44" s="343" t="s">
        <v>4651</v>
      </c>
      <c r="B44" s="494">
        <v>1.92170285E-2</v>
      </c>
      <c r="D44" s="345" t="s">
        <v>410</v>
      </c>
      <c r="E44" s="346" t="s">
        <v>1167</v>
      </c>
      <c r="F44" s="346" t="s">
        <v>411</v>
      </c>
      <c r="G44" s="347">
        <v>146.58966000000001</v>
      </c>
      <c r="I44" s="325">
        <v>43</v>
      </c>
      <c r="J44" s="326" t="s">
        <v>381</v>
      </c>
      <c r="K44" s="327" t="s">
        <v>1168</v>
      </c>
      <c r="L44" s="327" t="s">
        <v>394</v>
      </c>
      <c r="M44" s="328">
        <v>1</v>
      </c>
      <c r="N44" s="328">
        <v>1</v>
      </c>
      <c r="O44" s="329">
        <v>1</v>
      </c>
      <c r="P44" s="329">
        <v>1</v>
      </c>
      <c r="X44" s="325">
        <v>42</v>
      </c>
      <c r="Y44" s="333" t="s">
        <v>1169</v>
      </c>
      <c r="Z44" s="327" t="s">
        <v>1170</v>
      </c>
      <c r="AA44" s="334" t="str">
        <f t="shared" si="1"/>
        <v>11. Elektrotechnik (Schaltschränke, etc..) - Energietechnik (Schaltschränke, Fotovoltaik, etc.)</v>
      </c>
      <c r="AB44" s="329">
        <v>1.3355003929257019</v>
      </c>
      <c r="AC44" s="329">
        <v>1.3355003929257019</v>
      </c>
      <c r="AD44" s="458">
        <v>1.3355003929257019</v>
      </c>
      <c r="AE44" s="335">
        <v>1.3355003929257019</v>
      </c>
      <c r="AF44" s="329">
        <v>1.7835612995047041</v>
      </c>
      <c r="AG44" s="329">
        <v>1</v>
      </c>
      <c r="AH44" s="335">
        <v>1.2</v>
      </c>
      <c r="BA44" s="345" t="s">
        <v>1171</v>
      </c>
      <c r="BB44" s="346" t="s">
        <v>395</v>
      </c>
      <c r="BC44" s="346" t="s">
        <v>1172</v>
      </c>
      <c r="BD44" s="355">
        <v>1</v>
      </c>
      <c r="BE44" s="355">
        <v>1</v>
      </c>
      <c r="BF44" s="355">
        <v>1</v>
      </c>
      <c r="BG44" s="355">
        <v>1</v>
      </c>
      <c r="BH44" s="356">
        <v>1.8</v>
      </c>
      <c r="BJ44" s="352" t="str">
        <v>South Africa - North Europe</v>
      </c>
      <c r="BK44" s="327" t="s">
        <v>777</v>
      </c>
      <c r="BL44" s="327" t="s">
        <v>856</v>
      </c>
      <c r="BM44" s="429">
        <v>1.4077410192316799</v>
      </c>
      <c r="BN44" s="429">
        <v>1.4077410192316799</v>
      </c>
      <c r="BO44" s="459">
        <v>1.4077410192316799</v>
      </c>
      <c r="BP44" s="460">
        <v>1.4077410192316799</v>
      </c>
      <c r="BQ44" s="468"/>
      <c r="BR44" s="877">
        <v>1.981734777227449</v>
      </c>
      <c r="BS44" s="74">
        <f t="shared" si="0"/>
        <v>1.3230768634327006</v>
      </c>
      <c r="BT44" s="345" t="s">
        <v>396</v>
      </c>
      <c r="BU44" s="412">
        <v>1.5E-3</v>
      </c>
      <c r="BV44" s="412">
        <v>3.5000000000000001E-3</v>
      </c>
      <c r="BW44" s="414">
        <v>1.5E-3</v>
      </c>
      <c r="CF44" s="345">
        <v>39</v>
      </c>
      <c r="CG44" s="353">
        <v>0.65</v>
      </c>
      <c r="CH44" s="359">
        <v>1</v>
      </c>
      <c r="CI44" s="353">
        <v>0.65</v>
      </c>
      <c r="CJ44" s="360">
        <v>1</v>
      </c>
      <c r="CS44" s="352" t="s">
        <v>1173</v>
      </c>
      <c r="CT44" s="485" t="s">
        <v>1174</v>
      </c>
      <c r="CU44" s="355" t="s">
        <v>1122</v>
      </c>
      <c r="DB44" s="513" t="s">
        <v>1223</v>
      </c>
      <c r="DC44" s="823" t="s">
        <v>64</v>
      </c>
      <c r="DD44" s="517" t="s">
        <v>962</v>
      </c>
      <c r="DE44" s="511"/>
      <c r="DF44" s="511"/>
      <c r="DG44" s="511"/>
      <c r="DH44" s="511"/>
      <c r="DI44" s="511"/>
    </row>
    <row r="45" spans="1:120" x14ac:dyDescent="0.35">
      <c r="A45" s="343" t="s">
        <v>4653</v>
      </c>
      <c r="B45" s="825">
        <v>1.5</v>
      </c>
      <c r="D45" s="345" t="s">
        <v>416</v>
      </c>
      <c r="E45" s="346" t="s">
        <v>1177</v>
      </c>
      <c r="F45" s="346" t="s">
        <v>417</v>
      </c>
      <c r="G45" s="347">
        <v>55.264000000000003</v>
      </c>
      <c r="I45" s="325">
        <v>45</v>
      </c>
      <c r="J45" s="326" t="s">
        <v>400</v>
      </c>
      <c r="K45" s="327" t="s">
        <v>1178</v>
      </c>
      <c r="L45" s="327" t="s">
        <v>401</v>
      </c>
      <c r="M45" s="328">
        <v>1</v>
      </c>
      <c r="N45" s="328">
        <v>1</v>
      </c>
      <c r="O45" s="329">
        <v>1</v>
      </c>
      <c r="P45" s="329">
        <v>1</v>
      </c>
      <c r="X45" s="325">
        <v>43</v>
      </c>
      <c r="Y45" s="333" t="s">
        <v>1169</v>
      </c>
      <c r="Z45" s="327" t="s">
        <v>1179</v>
      </c>
      <c r="AA45" s="334" t="str">
        <f t="shared" si="1"/>
        <v>11. Elektrotechnik (Schaltschränke, etc..) - Antriebtechnik (Generatoren, Elektromotoren, etc.)</v>
      </c>
      <c r="AB45" s="329">
        <v>1.205517386837202</v>
      </c>
      <c r="AC45" s="329">
        <v>1.205517386837202</v>
      </c>
      <c r="AD45" s="458">
        <v>1.205517386837202</v>
      </c>
      <c r="AE45" s="335">
        <v>1.205517386837202</v>
      </c>
      <c r="AF45" s="329">
        <v>1.4532721699667961</v>
      </c>
      <c r="AG45" s="329">
        <v>1</v>
      </c>
      <c r="AH45" s="335">
        <v>1.2</v>
      </c>
      <c r="BA45" s="345" t="s">
        <v>1180</v>
      </c>
      <c r="BB45" s="346" t="s">
        <v>402</v>
      </c>
      <c r="BC45" s="346" t="s">
        <v>1181</v>
      </c>
      <c r="BD45" s="355">
        <v>1</v>
      </c>
      <c r="BE45" s="355">
        <v>1</v>
      </c>
      <c r="BF45" s="355">
        <v>1</v>
      </c>
      <c r="BG45" s="355">
        <v>1</v>
      </c>
      <c r="BH45" s="356">
        <v>1.6</v>
      </c>
      <c r="BJ45" s="352" t="str">
        <v>South Africa - East Europe</v>
      </c>
      <c r="BK45" s="327" t="s">
        <v>777</v>
      </c>
      <c r="BL45" s="327" t="s">
        <v>869</v>
      </c>
      <c r="BM45" s="429">
        <v>1.5421030227170098</v>
      </c>
      <c r="BN45" s="429">
        <v>1.5421030227170098</v>
      </c>
      <c r="BO45" s="459">
        <v>1.5421030227170098</v>
      </c>
      <c r="BP45" s="460">
        <v>1.5421030227170098</v>
      </c>
      <c r="BQ45" s="468"/>
      <c r="BR45" s="877">
        <v>2.3780817326729387</v>
      </c>
      <c r="BS45" s="74">
        <f t="shared" si="0"/>
        <v>1.453908672868627</v>
      </c>
      <c r="BT45" s="345" t="s">
        <v>403</v>
      </c>
      <c r="BU45" s="412">
        <v>6.0000000000000001E-3</v>
      </c>
      <c r="BV45" s="412">
        <v>8.0000000000000002E-3</v>
      </c>
      <c r="BW45" s="414">
        <v>6.0000000000000001E-3</v>
      </c>
      <c r="CF45" s="345">
        <v>40</v>
      </c>
      <c r="CG45" s="353">
        <v>0.66666666666666663</v>
      </c>
      <c r="CH45" s="359">
        <v>1</v>
      </c>
      <c r="CI45" s="353">
        <v>0.66666666666666663</v>
      </c>
      <c r="CJ45" s="360">
        <v>1</v>
      </c>
      <c r="CS45" s="352" t="s">
        <v>633</v>
      </c>
      <c r="CT45" s="485" t="s">
        <v>633</v>
      </c>
      <c r="CU45" s="355" t="s">
        <v>1122</v>
      </c>
      <c r="DB45" s="514" t="s">
        <v>4635</v>
      </c>
      <c r="DC45" s="824" t="s">
        <v>4628</v>
      </c>
      <c r="DD45" s="515" t="s">
        <v>95</v>
      </c>
      <c r="DE45" s="515" t="s">
        <v>95</v>
      </c>
      <c r="DF45" s="515" t="s">
        <v>95</v>
      </c>
      <c r="DG45" s="515" t="s">
        <v>95</v>
      </c>
      <c r="DH45" s="515" t="s">
        <v>95</v>
      </c>
      <c r="DI45" s="515" t="s">
        <v>95</v>
      </c>
    </row>
    <row r="46" spans="1:120" x14ac:dyDescent="0.35">
      <c r="A46" s="343"/>
      <c r="B46" s="433"/>
      <c r="D46" s="345" t="s">
        <v>422</v>
      </c>
      <c r="E46" s="346" t="s">
        <v>1184</v>
      </c>
      <c r="F46" s="346" t="s">
        <v>423</v>
      </c>
      <c r="G46" s="347">
        <v>16.567920000000001</v>
      </c>
      <c r="I46" s="325">
        <v>46</v>
      </c>
      <c r="J46" s="326" t="s">
        <v>400</v>
      </c>
      <c r="K46" s="327" t="s">
        <v>1185</v>
      </c>
      <c r="L46" s="327" t="s">
        <v>407</v>
      </c>
      <c r="M46" s="328">
        <v>1</v>
      </c>
      <c r="N46" s="328">
        <v>1</v>
      </c>
      <c r="O46" s="329">
        <v>1</v>
      </c>
      <c r="P46" s="329">
        <v>1</v>
      </c>
      <c r="X46" s="325">
        <v>44</v>
      </c>
      <c r="Y46" s="333" t="s">
        <v>1186</v>
      </c>
      <c r="Z46" s="327" t="s">
        <v>1187</v>
      </c>
      <c r="AA46" s="334" t="str">
        <f t="shared" si="1"/>
        <v>12. Feinmechanik, Optik - Linsen und Linsensysteme</v>
      </c>
      <c r="AB46" s="329">
        <v>1.2191394846040329</v>
      </c>
      <c r="AC46" s="329">
        <v>1.6255193128053771</v>
      </c>
      <c r="AD46" s="458">
        <v>1.2191394846040329</v>
      </c>
      <c r="AE46" s="335">
        <v>1.6255193128053771</v>
      </c>
      <c r="AF46" s="329">
        <v>1.9817347772274492</v>
      </c>
      <c r="AG46" s="329">
        <v>1</v>
      </c>
      <c r="AH46" s="335">
        <v>1.2</v>
      </c>
      <c r="BA46" s="345" t="s">
        <v>1188</v>
      </c>
      <c r="BB46" s="346" t="s">
        <v>351</v>
      </c>
      <c r="BC46" s="346" t="s">
        <v>1189</v>
      </c>
      <c r="BD46" s="355">
        <v>1</v>
      </c>
      <c r="BE46" s="355">
        <v>1</v>
      </c>
      <c r="BF46" s="355">
        <v>1</v>
      </c>
      <c r="BG46" s="355">
        <v>1</v>
      </c>
      <c r="BH46" s="356">
        <v>1</v>
      </c>
      <c r="BJ46" s="352" t="str">
        <v>South Africa - South Europe</v>
      </c>
      <c r="BK46" s="327" t="s">
        <v>777</v>
      </c>
      <c r="BL46" s="327" t="s">
        <v>882</v>
      </c>
      <c r="BM46" s="429">
        <v>1.453908672868627</v>
      </c>
      <c r="BN46" s="429">
        <v>1.453908672868627</v>
      </c>
      <c r="BO46" s="459">
        <v>1.453908672868627</v>
      </c>
      <c r="BP46" s="460">
        <v>1.453908672868627</v>
      </c>
      <c r="BQ46" s="468"/>
      <c r="BR46" s="877">
        <v>2.1138504290426123</v>
      </c>
      <c r="BS46" s="74">
        <f t="shared" si="0"/>
        <v>1.3600070313833992</v>
      </c>
      <c r="BT46" s="345" t="s">
        <v>408</v>
      </c>
      <c r="BU46" s="412">
        <v>3.0000000000000001E-3</v>
      </c>
      <c r="BV46" s="412">
        <v>5.0000000000000001E-3</v>
      </c>
      <c r="BW46" s="414">
        <v>3.0000000000000001E-3</v>
      </c>
      <c r="CF46" s="345">
        <v>41</v>
      </c>
      <c r="CG46" s="353">
        <v>0.68333333333333335</v>
      </c>
      <c r="CH46" s="359">
        <v>1</v>
      </c>
      <c r="CI46" s="353">
        <v>0.68333333333333335</v>
      </c>
      <c r="CJ46" s="360">
        <v>1</v>
      </c>
      <c r="CS46" s="352" t="s">
        <v>403</v>
      </c>
      <c r="CT46" s="485" t="s">
        <v>403</v>
      </c>
      <c r="CU46" s="355" t="s">
        <v>1122</v>
      </c>
      <c r="DB46" s="513" t="s">
        <v>4644</v>
      </c>
      <c r="DC46" s="823" t="s">
        <v>64</v>
      </c>
      <c r="DD46" s="515" t="s">
        <v>95</v>
      </c>
      <c r="DE46" s="515" t="s">
        <v>95</v>
      </c>
      <c r="DF46" s="515" t="s">
        <v>95</v>
      </c>
      <c r="DG46" s="515" t="s">
        <v>95</v>
      </c>
      <c r="DH46" s="515" t="s">
        <v>95</v>
      </c>
      <c r="DI46" s="515" t="s">
        <v>95</v>
      </c>
    </row>
    <row r="47" spans="1:120" x14ac:dyDescent="0.35">
      <c r="A47" s="525" t="s">
        <v>4507</v>
      </c>
      <c r="B47" s="535">
        <v>3000</v>
      </c>
      <c r="D47" s="345" t="s">
        <v>428</v>
      </c>
      <c r="E47" s="346" t="s">
        <v>1191</v>
      </c>
      <c r="F47" s="346" t="s">
        <v>429</v>
      </c>
      <c r="G47" s="347">
        <v>146.84518</v>
      </c>
      <c r="I47" s="325">
        <v>47</v>
      </c>
      <c r="J47" s="326" t="s">
        <v>400</v>
      </c>
      <c r="K47" s="327" t="s">
        <v>1192</v>
      </c>
      <c r="L47" s="327" t="s">
        <v>412</v>
      </c>
      <c r="M47" s="328">
        <v>1</v>
      </c>
      <c r="N47" s="328">
        <v>1</v>
      </c>
      <c r="O47" s="329">
        <v>1</v>
      </c>
      <c r="P47" s="329">
        <v>1</v>
      </c>
      <c r="X47" s="325">
        <v>45</v>
      </c>
      <c r="Y47" s="333" t="s">
        <v>1186</v>
      </c>
      <c r="Z47" s="327" t="s">
        <v>1193</v>
      </c>
      <c r="AA47" s="334" t="str">
        <f t="shared" si="1"/>
        <v>12. Feinmechanik, Optik - Messsysteme mechanisch</v>
      </c>
      <c r="AB47" s="329">
        <v>1.0597089413744172</v>
      </c>
      <c r="AC47" s="329">
        <v>1.0597089413744172</v>
      </c>
      <c r="AD47" s="458">
        <v>1.0597089413744172</v>
      </c>
      <c r="AE47" s="335">
        <v>1.0597089413744172</v>
      </c>
      <c r="AF47" s="329">
        <v>1.1229830404288879</v>
      </c>
      <c r="AG47" s="329">
        <v>1</v>
      </c>
      <c r="AH47" s="335">
        <v>1.2</v>
      </c>
      <c r="BA47" s="345" t="s">
        <v>1194</v>
      </c>
      <c r="BB47" s="346" t="s">
        <v>413</v>
      </c>
      <c r="BC47" s="346" t="s">
        <v>1195</v>
      </c>
      <c r="BD47" s="355">
        <v>1</v>
      </c>
      <c r="BE47" s="355">
        <v>1</v>
      </c>
      <c r="BF47" s="355">
        <v>1</v>
      </c>
      <c r="BG47" s="355">
        <v>1</v>
      </c>
      <c r="BH47" s="356">
        <v>10</v>
      </c>
      <c r="BJ47" s="352" t="str">
        <v>South Africa - West Europe</v>
      </c>
      <c r="BK47" s="327" t="s">
        <v>777</v>
      </c>
      <c r="BL47" s="327" t="s">
        <v>893</v>
      </c>
      <c r="BM47" s="429">
        <v>1.4077410192316799</v>
      </c>
      <c r="BN47" s="429">
        <v>1.4077410192316799</v>
      </c>
      <c r="BO47" s="459">
        <v>1.4077410192316799</v>
      </c>
      <c r="BP47" s="460">
        <v>1.4077410192316799</v>
      </c>
      <c r="BQ47" s="468"/>
      <c r="BR47" s="877">
        <v>1.981734777227449</v>
      </c>
      <c r="BS47" s="74">
        <f t="shared" si="0"/>
        <v>1.3105355674674086</v>
      </c>
      <c r="BT47" s="345" t="s">
        <v>414</v>
      </c>
      <c r="BU47" s="412">
        <v>5.4999999999999997E-3</v>
      </c>
      <c r="BV47" s="412">
        <v>7.4999999999999997E-3</v>
      </c>
      <c r="BW47" s="414">
        <v>5.4999999999999997E-3</v>
      </c>
      <c r="CF47" s="345">
        <v>42</v>
      </c>
      <c r="CG47" s="353">
        <v>0.7</v>
      </c>
      <c r="CH47" s="359">
        <v>1</v>
      </c>
      <c r="CI47" s="353">
        <v>0.7</v>
      </c>
      <c r="CJ47" s="360">
        <v>1</v>
      </c>
      <c r="CS47" s="352" t="s">
        <v>1196</v>
      </c>
      <c r="CT47" s="485" t="s">
        <v>670</v>
      </c>
      <c r="CU47" s="355" t="s">
        <v>1122</v>
      </c>
      <c r="DB47" s="513" t="s">
        <v>1235</v>
      </c>
      <c r="DC47" s="823" t="s">
        <v>64</v>
      </c>
      <c r="DD47" s="511">
        <v>1000000</v>
      </c>
      <c r="DE47" s="511">
        <v>1000000</v>
      </c>
      <c r="DF47" s="511"/>
      <c r="DG47" s="511"/>
      <c r="DH47" s="511"/>
      <c r="DI47" s="511">
        <v>1000000</v>
      </c>
    </row>
    <row r="48" spans="1:120" x14ac:dyDescent="0.35">
      <c r="A48" s="525"/>
      <c r="B48" s="526"/>
      <c r="D48" s="345" t="s">
        <v>432</v>
      </c>
      <c r="E48" s="346" t="s">
        <v>1199</v>
      </c>
      <c r="F48" s="346" t="s">
        <v>433</v>
      </c>
      <c r="G48" s="347">
        <v>2.5409299999999999</v>
      </c>
      <c r="I48" s="325">
        <v>49</v>
      </c>
      <c r="J48" s="326" t="s">
        <v>418</v>
      </c>
      <c r="K48" s="327" t="s">
        <v>1200</v>
      </c>
      <c r="L48" s="327" t="s">
        <v>419</v>
      </c>
      <c r="M48" s="328">
        <v>1</v>
      </c>
      <c r="N48" s="328">
        <v>1</v>
      </c>
      <c r="O48" s="329">
        <v>1</v>
      </c>
      <c r="P48" s="329">
        <v>1</v>
      </c>
      <c r="X48" s="325">
        <v>46</v>
      </c>
      <c r="Y48" s="333" t="s">
        <v>1186</v>
      </c>
      <c r="Z48" s="425" t="s">
        <v>1201</v>
      </c>
      <c r="AA48" s="334" t="str">
        <f t="shared" si="1"/>
        <v>12. Feinmechanik, Optik - Messsysteme elektronisch (z.B. GPS-Technik, Satelliten)</v>
      </c>
      <c r="AB48" s="329">
        <v>1.2191394846040329</v>
      </c>
      <c r="AC48" s="329">
        <v>1.6255193128053771</v>
      </c>
      <c r="AD48" s="458">
        <v>1.2191394846040329</v>
      </c>
      <c r="AE48" s="335">
        <v>1.6255193128053771</v>
      </c>
      <c r="AF48" s="329">
        <v>1.9817347772274492</v>
      </c>
      <c r="AG48" s="329">
        <v>1</v>
      </c>
      <c r="AH48" s="335">
        <v>1.2</v>
      </c>
      <c r="BA48" s="345" t="s">
        <v>1202</v>
      </c>
      <c r="BB48" s="346" t="s">
        <v>420</v>
      </c>
      <c r="BC48" s="346" t="s">
        <v>1203</v>
      </c>
      <c r="BD48" s="355">
        <v>1</v>
      </c>
      <c r="BE48" s="355">
        <v>1</v>
      </c>
      <c r="BF48" s="355">
        <v>1</v>
      </c>
      <c r="BG48" s="355">
        <v>1</v>
      </c>
      <c r="BH48" s="356">
        <v>2.7</v>
      </c>
      <c r="BJ48" s="352" t="str">
        <v>South Africa - North America</v>
      </c>
      <c r="BK48" s="327" t="s">
        <v>777</v>
      </c>
      <c r="BL48" s="327" t="s">
        <v>904</v>
      </c>
      <c r="BM48" s="429">
        <v>1.431011042282704</v>
      </c>
      <c r="BN48" s="429">
        <v>1.431011042282704</v>
      </c>
      <c r="BO48" s="459">
        <v>1.431011042282704</v>
      </c>
      <c r="BP48" s="460">
        <v>1.431011042282704</v>
      </c>
      <c r="BQ48" s="468"/>
      <c r="BR48" s="877">
        <v>2.0477926031350311</v>
      </c>
      <c r="BS48" s="74">
        <f t="shared" si="0"/>
        <v>1.3355003929257019</v>
      </c>
      <c r="BT48" s="345" t="s">
        <v>421</v>
      </c>
      <c r="BU48" s="412">
        <v>3.0000000000000001E-3</v>
      </c>
      <c r="BV48" s="412">
        <v>5.0000000000000001E-3</v>
      </c>
      <c r="BW48" s="414">
        <v>3.0000000000000001E-3</v>
      </c>
      <c r="CF48" s="345">
        <v>43</v>
      </c>
      <c r="CG48" s="353">
        <v>0.71666666666666667</v>
      </c>
      <c r="CH48" s="359">
        <v>1</v>
      </c>
      <c r="CI48" s="353">
        <v>0.71666666666666667</v>
      </c>
      <c r="CJ48" s="360">
        <v>1</v>
      </c>
      <c r="CS48" s="352" t="s">
        <v>426</v>
      </c>
      <c r="CT48" s="485" t="s">
        <v>426</v>
      </c>
      <c r="CU48" s="355" t="s">
        <v>1122</v>
      </c>
      <c r="DB48" s="514" t="s">
        <v>1243</v>
      </c>
      <c r="DC48" s="824" t="s">
        <v>64</v>
      </c>
      <c r="DD48" s="516" t="s">
        <v>934</v>
      </c>
      <c r="DE48" s="515"/>
      <c r="DF48" s="515"/>
      <c r="DG48" s="515"/>
      <c r="DH48" s="515"/>
      <c r="DI48" s="515"/>
    </row>
    <row r="49" spans="1:113" x14ac:dyDescent="0.35">
      <c r="A49" s="525" t="s">
        <v>1176</v>
      </c>
      <c r="B49" s="526">
        <v>0.02</v>
      </c>
      <c r="D49" s="345" t="s">
        <v>156</v>
      </c>
      <c r="E49" s="346" t="s">
        <v>1211</v>
      </c>
      <c r="F49" s="346" t="s">
        <v>157</v>
      </c>
      <c r="G49" s="347">
        <v>0.84519</v>
      </c>
      <c r="I49" s="325">
        <v>50</v>
      </c>
      <c r="J49" s="326" t="s">
        <v>418</v>
      </c>
      <c r="K49" s="327" t="s">
        <v>1206</v>
      </c>
      <c r="L49" s="327" t="s">
        <v>424</v>
      </c>
      <c r="M49" s="328">
        <v>1</v>
      </c>
      <c r="N49" s="328">
        <v>1</v>
      </c>
      <c r="O49" s="329">
        <v>1</v>
      </c>
      <c r="P49" s="329">
        <v>1</v>
      </c>
      <c r="X49" s="325">
        <v>48</v>
      </c>
      <c r="Y49" s="426" t="s">
        <v>1207</v>
      </c>
      <c r="Z49" s="327"/>
      <c r="AA49" s="334" t="str">
        <f t="shared" si="1"/>
        <v xml:space="preserve">13. Maschinenbau - </v>
      </c>
      <c r="AB49" s="329">
        <v>1.0904315046514703</v>
      </c>
      <c r="AC49" s="329">
        <v>1.0904315046514703</v>
      </c>
      <c r="AD49" s="458">
        <v>1.0904315046514703</v>
      </c>
      <c r="AE49" s="335">
        <v>1.0904315046514703</v>
      </c>
      <c r="AF49" s="329">
        <v>1.1890408663364695</v>
      </c>
      <c r="AG49" s="329">
        <v>1</v>
      </c>
      <c r="AH49" s="335">
        <v>1.2</v>
      </c>
      <c r="BA49" s="345" t="s">
        <v>1208</v>
      </c>
      <c r="BB49" s="346" t="s">
        <v>425</v>
      </c>
      <c r="BC49" s="346" t="s">
        <v>1209</v>
      </c>
      <c r="BD49" s="355">
        <v>1</v>
      </c>
      <c r="BE49" s="355">
        <v>1</v>
      </c>
      <c r="BF49" s="355">
        <v>1</v>
      </c>
      <c r="BG49" s="355">
        <v>1</v>
      </c>
      <c r="BH49" s="356">
        <v>2.5</v>
      </c>
      <c r="BJ49" s="352" t="str">
        <v>South Africa - South America</v>
      </c>
      <c r="BK49" s="327" t="s">
        <v>777</v>
      </c>
      <c r="BL49" s="327" t="s">
        <v>913</v>
      </c>
      <c r="BM49" s="429">
        <v>1.520534086025485</v>
      </c>
      <c r="BN49" s="429">
        <v>1.520534086025485</v>
      </c>
      <c r="BO49" s="459">
        <v>1.520534086025485</v>
      </c>
      <c r="BP49" s="460">
        <v>1.520534086025485</v>
      </c>
      <c r="BQ49" s="468"/>
      <c r="BR49" s="877">
        <v>2.312023906765357</v>
      </c>
      <c r="BS49" s="74">
        <f t="shared" si="0"/>
        <v>1.431011042282704</v>
      </c>
      <c r="BT49" s="345" t="s">
        <v>426</v>
      </c>
      <c r="BU49" s="412">
        <v>3.5000000000000001E-3</v>
      </c>
      <c r="BV49" s="412">
        <v>5.4999999999999997E-3</v>
      </c>
      <c r="BW49" s="414">
        <v>3.5000000000000001E-3</v>
      </c>
      <c r="CF49" s="345">
        <v>44</v>
      </c>
      <c r="CG49" s="353">
        <v>0.73333333333333328</v>
      </c>
      <c r="CH49" s="359">
        <v>1</v>
      </c>
      <c r="CI49" s="353">
        <v>0.73333333333333328</v>
      </c>
      <c r="CJ49" s="360">
        <v>1</v>
      </c>
      <c r="CS49" s="352" t="s">
        <v>431</v>
      </c>
      <c r="CT49" s="485" t="s">
        <v>431</v>
      </c>
      <c r="CU49" s="355" t="s">
        <v>1122</v>
      </c>
      <c r="DB49" s="513" t="s">
        <v>1252</v>
      </c>
      <c r="DC49" s="823" t="s">
        <v>64</v>
      </c>
      <c r="DD49" s="517" t="s">
        <v>943</v>
      </c>
      <c r="DE49" s="511"/>
      <c r="DF49" s="511"/>
      <c r="DG49" s="511"/>
      <c r="DH49" s="511"/>
      <c r="DI49" s="511"/>
    </row>
    <row r="50" spans="1:113" x14ac:dyDescent="0.35">
      <c r="A50" s="525" t="s">
        <v>1183</v>
      </c>
      <c r="B50" s="527">
        <v>1.5</v>
      </c>
      <c r="D50" s="345" t="s">
        <v>441</v>
      </c>
      <c r="E50" s="346" t="s">
        <v>1218</v>
      </c>
      <c r="F50" s="346" t="s">
        <v>442</v>
      </c>
      <c r="G50" s="347">
        <v>3.0497999999999998</v>
      </c>
      <c r="I50" s="325">
        <v>51</v>
      </c>
      <c r="J50" s="326" t="s">
        <v>418</v>
      </c>
      <c r="K50" s="327" t="s">
        <v>1212</v>
      </c>
      <c r="L50" s="327" t="s">
        <v>430</v>
      </c>
      <c r="M50" s="328">
        <v>1</v>
      </c>
      <c r="N50" s="328">
        <v>1</v>
      </c>
      <c r="O50" s="329">
        <v>1</v>
      </c>
      <c r="P50" s="329">
        <v>1</v>
      </c>
      <c r="X50" s="325">
        <v>49</v>
      </c>
      <c r="Y50" s="333" t="s">
        <v>1213</v>
      </c>
      <c r="Z50" s="327" t="s">
        <v>1214</v>
      </c>
      <c r="AA50" s="334" t="str">
        <f t="shared" si="1"/>
        <v>14. Militärisches Material / Wehrtechnik / Schusswaffen - Fahrzeuge (Wasser, Land, Luft)</v>
      </c>
      <c r="AB50" s="329">
        <v>0.16590387014219715</v>
      </c>
      <c r="AC50" s="329">
        <v>9.9542322085318293</v>
      </c>
      <c r="AD50" s="458">
        <v>0.16590387014219715</v>
      </c>
      <c r="AE50" s="335">
        <v>9.9542322085318293</v>
      </c>
      <c r="AF50" s="329">
        <v>1.6514456476895409</v>
      </c>
      <c r="AG50" s="329">
        <v>1</v>
      </c>
      <c r="AH50" s="335">
        <v>1.2</v>
      </c>
      <c r="BA50" s="345" t="s">
        <v>1215</v>
      </c>
      <c r="BB50" s="346" t="s">
        <v>285</v>
      </c>
      <c r="BC50" s="346" t="s">
        <v>1216</v>
      </c>
      <c r="BD50" s="355">
        <v>1</v>
      </c>
      <c r="BE50" s="355">
        <v>1</v>
      </c>
      <c r="BF50" s="355">
        <v>1</v>
      </c>
      <c r="BG50" s="355">
        <v>1</v>
      </c>
      <c r="BH50" s="356">
        <v>4</v>
      </c>
      <c r="BJ50" s="352" t="str">
        <v>West Africa - North Africa</v>
      </c>
      <c r="BK50" s="327" t="s">
        <v>976</v>
      </c>
      <c r="BL50" s="327" t="s">
        <v>950</v>
      </c>
      <c r="BM50" s="429">
        <v>1.3600070313833992</v>
      </c>
      <c r="BN50" s="429">
        <v>1.3600070313833992</v>
      </c>
      <c r="BO50" s="459">
        <v>1.3600070313833992</v>
      </c>
      <c r="BP50" s="460">
        <v>1.3600070313833992</v>
      </c>
      <c r="BQ50" s="468"/>
      <c r="BR50" s="877">
        <v>1.849619125412286</v>
      </c>
      <c r="BS50" s="74">
        <f t="shared" si="0"/>
        <v>1.3600070313833992</v>
      </c>
      <c r="BT50" s="345" t="s">
        <v>431</v>
      </c>
      <c r="BU50" s="412">
        <v>4.4999999999999997E-3</v>
      </c>
      <c r="BV50" s="412">
        <v>6.4999999999999997E-3</v>
      </c>
      <c r="BW50" s="414">
        <v>4.4999999999999997E-3</v>
      </c>
      <c r="CF50" s="345">
        <v>45</v>
      </c>
      <c r="CG50" s="353">
        <v>0.75</v>
      </c>
      <c r="CH50" s="359">
        <v>1</v>
      </c>
      <c r="CI50" s="353">
        <v>0.75</v>
      </c>
      <c r="CJ50" s="360">
        <v>1</v>
      </c>
      <c r="CS50" s="352" t="s">
        <v>762</v>
      </c>
      <c r="CT50" s="485" t="s">
        <v>762</v>
      </c>
      <c r="CU50" s="355" t="s">
        <v>1122</v>
      </c>
      <c r="DB50" s="514" t="s">
        <v>1260</v>
      </c>
      <c r="DC50" s="824" t="s">
        <v>64</v>
      </c>
      <c r="DD50" s="516" t="s">
        <v>953</v>
      </c>
      <c r="DE50" s="515"/>
      <c r="DF50" s="515"/>
      <c r="DG50" s="515"/>
      <c r="DH50" s="515"/>
      <c r="DI50" s="515"/>
    </row>
    <row r="51" spans="1:113" x14ac:dyDescent="0.35">
      <c r="A51" s="525" t="s">
        <v>1190</v>
      </c>
      <c r="B51" s="527">
        <v>1.9550260552456584</v>
      </c>
      <c r="D51" s="345" t="s">
        <v>452</v>
      </c>
      <c r="E51" s="346" t="s">
        <v>1228</v>
      </c>
      <c r="F51" s="346" t="s">
        <v>453</v>
      </c>
      <c r="G51" s="347">
        <v>14.414099999999999</v>
      </c>
      <c r="I51" s="325">
        <v>52</v>
      </c>
      <c r="J51" s="326" t="s">
        <v>418</v>
      </c>
      <c r="K51" s="327" t="s">
        <v>1219</v>
      </c>
      <c r="L51" s="327" t="s">
        <v>434</v>
      </c>
      <c r="M51" s="328">
        <v>1</v>
      </c>
      <c r="N51" s="328">
        <v>1</v>
      </c>
      <c r="O51" s="329">
        <v>1</v>
      </c>
      <c r="P51" s="329">
        <v>1</v>
      </c>
      <c r="X51" s="325">
        <v>50</v>
      </c>
      <c r="Y51" s="333" t="s">
        <v>1213</v>
      </c>
      <c r="Z51" s="327" t="s">
        <v>1220</v>
      </c>
      <c r="AA51" s="334" t="str">
        <f t="shared" si="1"/>
        <v>14. Militärisches Material / Wehrtechnik / Schusswaffen - Ausrüstung</v>
      </c>
      <c r="AB51" s="329">
        <v>1.2191394846040329</v>
      </c>
      <c r="AC51" s="329">
        <v>1.6255193128053771</v>
      </c>
      <c r="AD51" s="458">
        <v>1.2191394846040329</v>
      </c>
      <c r="AE51" s="335">
        <v>1.6255193128053771</v>
      </c>
      <c r="AF51" s="329">
        <v>1.9817347772274492</v>
      </c>
      <c r="AG51" s="329">
        <v>1</v>
      </c>
      <c r="AH51" s="335">
        <v>1.2</v>
      </c>
      <c r="BA51" s="345" t="s">
        <v>1221</v>
      </c>
      <c r="BB51" s="346" t="s">
        <v>435</v>
      </c>
      <c r="BC51" s="346" t="s">
        <v>1222</v>
      </c>
      <c r="BD51" s="355">
        <v>1</v>
      </c>
      <c r="BE51" s="355">
        <v>1</v>
      </c>
      <c r="BF51" s="355">
        <v>1</v>
      </c>
      <c r="BG51" s="355">
        <v>1</v>
      </c>
      <c r="BH51" s="356">
        <v>2.5</v>
      </c>
      <c r="BJ51" s="352" t="str">
        <v>West Africa - East Africa</v>
      </c>
      <c r="BK51" s="327" t="s">
        <v>976</v>
      </c>
      <c r="BL51" s="327" t="s">
        <v>960</v>
      </c>
      <c r="BM51" s="429">
        <v>1.520534086025485</v>
      </c>
      <c r="BN51" s="429">
        <v>1.520534086025485</v>
      </c>
      <c r="BO51" s="459">
        <v>1.520534086025485</v>
      </c>
      <c r="BP51" s="460">
        <v>1.520534086025485</v>
      </c>
      <c r="BQ51" s="468"/>
      <c r="BR51" s="877">
        <v>2.312023906765357</v>
      </c>
      <c r="BS51" s="74">
        <f t="shared" si="0"/>
        <v>1.520534086025485</v>
      </c>
      <c r="BT51" s="345" t="s">
        <v>436</v>
      </c>
      <c r="BU51" s="412">
        <v>1.5E-3</v>
      </c>
      <c r="BV51" s="412">
        <v>3.5000000000000001E-3</v>
      </c>
      <c r="BW51" s="414">
        <v>1.5E-3</v>
      </c>
      <c r="CF51" s="345">
        <v>46</v>
      </c>
      <c r="CG51" s="353">
        <v>0.76666666666666672</v>
      </c>
      <c r="CH51" s="359">
        <v>1</v>
      </c>
      <c r="CI51" s="353">
        <v>0.76666666666666672</v>
      </c>
      <c r="CJ51" s="360">
        <v>1</v>
      </c>
      <c r="CS51" s="352" t="s">
        <v>768</v>
      </c>
      <c r="CT51" s="485" t="s">
        <v>768</v>
      </c>
      <c r="CU51" s="355" t="s">
        <v>1122</v>
      </c>
      <c r="DB51" s="513" t="s">
        <v>1267</v>
      </c>
      <c r="DC51" s="823" t="s">
        <v>64</v>
      </c>
      <c r="DD51" s="517" t="s">
        <v>962</v>
      </c>
      <c r="DE51" s="511"/>
      <c r="DF51" s="511"/>
      <c r="DG51" s="511"/>
      <c r="DH51" s="511"/>
      <c r="DI51" s="511"/>
    </row>
    <row r="52" spans="1:113" x14ac:dyDescent="0.35">
      <c r="A52" s="525" t="s">
        <v>1198</v>
      </c>
      <c r="B52" s="527">
        <v>5.7630030526652339E-2</v>
      </c>
      <c r="D52" s="345" t="s">
        <v>457</v>
      </c>
      <c r="E52" s="346" t="s">
        <v>1237</v>
      </c>
      <c r="F52" s="346" t="s">
        <v>458</v>
      </c>
      <c r="G52" s="347">
        <v>0.84519</v>
      </c>
      <c r="I52" s="325">
        <v>53</v>
      </c>
      <c r="J52" s="326" t="s">
        <v>418</v>
      </c>
      <c r="K52" s="327" t="s">
        <v>1224</v>
      </c>
      <c r="L52" s="327" t="s">
        <v>438</v>
      </c>
      <c r="M52" s="328">
        <v>1</v>
      </c>
      <c r="N52" s="328">
        <v>1</v>
      </c>
      <c r="O52" s="329">
        <v>1</v>
      </c>
      <c r="P52" s="329">
        <v>1</v>
      </c>
      <c r="X52" s="325">
        <v>51</v>
      </c>
      <c r="Y52" s="333" t="s">
        <v>1213</v>
      </c>
      <c r="Z52" s="327" t="s">
        <v>1225</v>
      </c>
      <c r="AA52" s="334" t="str">
        <f>CONCATENATE(Y52," - ",Z52)</f>
        <v>14. Militärisches Material / Wehrtechnik / Schusswaffen - Munition</v>
      </c>
      <c r="AB52" s="329">
        <v>0.81275965640268855</v>
      </c>
      <c r="AC52" s="329">
        <v>4.8765579384161315</v>
      </c>
      <c r="AD52" s="458">
        <v>0.81275965640268855</v>
      </c>
      <c r="AE52" s="335">
        <v>4.8765579384161315</v>
      </c>
      <c r="AF52" s="329">
        <v>3.9634695544548983</v>
      </c>
      <c r="AG52" s="329">
        <v>1</v>
      </c>
      <c r="AH52" s="335">
        <v>1.2</v>
      </c>
      <c r="BA52" s="345" t="s">
        <v>1226</v>
      </c>
      <c r="BB52" s="346" t="s">
        <v>291</v>
      </c>
      <c r="BC52" s="346" t="s">
        <v>1227</v>
      </c>
      <c r="BD52" s="355">
        <v>1</v>
      </c>
      <c r="BE52" s="355">
        <v>1</v>
      </c>
      <c r="BF52" s="355">
        <v>1</v>
      </c>
      <c r="BG52" s="355">
        <v>1</v>
      </c>
      <c r="BH52" s="356">
        <v>4</v>
      </c>
      <c r="BJ52" s="352" t="str">
        <v>West Africa - South Africa</v>
      </c>
      <c r="BK52" s="327" t="s">
        <v>976</v>
      </c>
      <c r="BL52" s="327" t="s">
        <v>777</v>
      </c>
      <c r="BM52" s="429">
        <v>1.5843602445429201</v>
      </c>
      <c r="BN52" s="429">
        <v>1.5843602445429201</v>
      </c>
      <c r="BO52" s="459">
        <v>1.5843602445429201</v>
      </c>
      <c r="BP52" s="460">
        <v>1.5843602445429201</v>
      </c>
      <c r="BQ52" s="468"/>
      <c r="BR52" s="877">
        <v>2.5101973844881016</v>
      </c>
      <c r="BS52" s="74">
        <f t="shared" si="0"/>
        <v>1.5843602445429201</v>
      </c>
      <c r="BT52" s="345" t="s">
        <v>439</v>
      </c>
      <c r="BU52" s="412">
        <v>7.4999999999999997E-3</v>
      </c>
      <c r="BV52" s="412">
        <v>9.4999999999999998E-3</v>
      </c>
      <c r="BW52" s="414">
        <v>7.4999999999999997E-3</v>
      </c>
      <c r="CF52" s="345">
        <v>47</v>
      </c>
      <c r="CG52" s="353">
        <v>0.78333333333333333</v>
      </c>
      <c r="CH52" s="359">
        <v>1</v>
      </c>
      <c r="CI52" s="353">
        <v>0.78333333333333333</v>
      </c>
      <c r="CJ52" s="360">
        <v>1</v>
      </c>
      <c r="CS52" s="352" t="s">
        <v>787</v>
      </c>
      <c r="CT52" s="485" t="s">
        <v>787</v>
      </c>
      <c r="CU52" s="355" t="s">
        <v>1122</v>
      </c>
      <c r="DB52" s="514" t="s">
        <v>4636</v>
      </c>
      <c r="DC52" s="824" t="s">
        <v>4628</v>
      </c>
      <c r="DD52" s="515" t="s">
        <v>95</v>
      </c>
      <c r="DE52" s="515" t="s">
        <v>95</v>
      </c>
      <c r="DF52" s="515" t="s">
        <v>95</v>
      </c>
      <c r="DG52" s="515" t="s">
        <v>95</v>
      </c>
      <c r="DH52" s="515" t="s">
        <v>95</v>
      </c>
      <c r="DI52" s="515" t="s">
        <v>95</v>
      </c>
    </row>
    <row r="53" spans="1:113" ht="15" thickBot="1" x14ac:dyDescent="0.4">
      <c r="A53" s="368" t="s">
        <v>1205</v>
      </c>
      <c r="B53" s="523">
        <v>4710.4771689213394</v>
      </c>
      <c r="D53" s="345" t="s">
        <v>463</v>
      </c>
      <c r="E53" s="346" t="s">
        <v>1245</v>
      </c>
      <c r="F53" s="346" t="s">
        <v>464</v>
      </c>
      <c r="G53" s="347">
        <v>79.0505</v>
      </c>
      <c r="I53" s="325">
        <v>55</v>
      </c>
      <c r="J53" s="326" t="s">
        <v>443</v>
      </c>
      <c r="K53" s="327" t="s">
        <v>1229</v>
      </c>
      <c r="L53" s="327" t="s">
        <v>444</v>
      </c>
      <c r="M53" s="328">
        <v>1</v>
      </c>
      <c r="N53" s="328">
        <v>1</v>
      </c>
      <c r="O53" s="329">
        <v>1</v>
      </c>
      <c r="P53" s="329">
        <v>1</v>
      </c>
      <c r="X53" s="325">
        <v>52</v>
      </c>
      <c r="Y53" s="333" t="s">
        <v>1230</v>
      </c>
      <c r="Z53" s="327"/>
      <c r="AA53" s="334" t="str">
        <f t="shared" si="1"/>
        <v xml:space="preserve">15. Papier, Druckerzeugnisse - </v>
      </c>
      <c r="AB53" s="329">
        <v>0.89033359528380118</v>
      </c>
      <c r="AC53" s="329">
        <v>0.89033359528380118</v>
      </c>
      <c r="AD53" s="458">
        <v>0.89033359528380118</v>
      </c>
      <c r="AE53" s="335">
        <v>0.89033359528380118</v>
      </c>
      <c r="AF53" s="329">
        <v>0.79269391089097951</v>
      </c>
      <c r="AG53" s="329">
        <v>1</v>
      </c>
      <c r="AH53" s="335">
        <v>1.2</v>
      </c>
      <c r="BA53" s="345" t="s">
        <v>1231</v>
      </c>
      <c r="BB53" s="346" t="s">
        <v>445</v>
      </c>
      <c r="BC53" s="346" t="s">
        <v>1232</v>
      </c>
      <c r="BD53" s="355">
        <v>1</v>
      </c>
      <c r="BE53" s="355">
        <v>1</v>
      </c>
      <c r="BF53" s="355">
        <v>1</v>
      </c>
      <c r="BG53" s="355">
        <v>1</v>
      </c>
      <c r="BH53" s="356">
        <v>2</v>
      </c>
      <c r="BJ53" s="352" t="str">
        <v>West Africa - West Africa</v>
      </c>
      <c r="BK53" s="327" t="s">
        <v>976</v>
      </c>
      <c r="BL53" s="327" t="s">
        <v>976</v>
      </c>
      <c r="BM53" s="429">
        <v>1.3355003929257019</v>
      </c>
      <c r="BN53" s="429">
        <v>1.3355003929257019</v>
      </c>
      <c r="BO53" s="459">
        <v>1.3355003929257019</v>
      </c>
      <c r="BP53" s="460">
        <v>1.3355003929257019</v>
      </c>
      <c r="BQ53" s="468"/>
      <c r="BR53" s="877">
        <v>1.7835612995047041</v>
      </c>
      <c r="BS53" s="74">
        <f t="shared" si="0"/>
        <v>1.3355003929257019</v>
      </c>
      <c r="BT53" s="345" t="s">
        <v>446</v>
      </c>
      <c r="BU53" s="412">
        <v>2.5000000000000001E-3</v>
      </c>
      <c r="BV53" s="412">
        <v>4.4999999999999997E-3</v>
      </c>
      <c r="BW53" s="414">
        <v>2.5000000000000001E-3</v>
      </c>
      <c r="CF53" s="345">
        <v>48</v>
      </c>
      <c r="CG53" s="353">
        <v>0.8</v>
      </c>
      <c r="CH53" s="359">
        <v>1</v>
      </c>
      <c r="CI53" s="353">
        <v>0.8</v>
      </c>
      <c r="CJ53" s="360">
        <v>1</v>
      </c>
      <c r="CS53" s="352" t="s">
        <v>1233</v>
      </c>
      <c r="CT53" s="485" t="s">
        <v>1234</v>
      </c>
      <c r="CU53" s="355" t="s">
        <v>1122</v>
      </c>
      <c r="DB53" s="513" t="s">
        <v>4645</v>
      </c>
      <c r="DC53" s="823" t="s">
        <v>64</v>
      </c>
      <c r="DD53" s="515" t="s">
        <v>95</v>
      </c>
      <c r="DE53" s="515" t="s">
        <v>95</v>
      </c>
      <c r="DF53" s="515" t="s">
        <v>95</v>
      </c>
      <c r="DG53" s="515" t="s">
        <v>95</v>
      </c>
      <c r="DH53" s="515" t="s">
        <v>95</v>
      </c>
      <c r="DI53" s="515" t="s">
        <v>95</v>
      </c>
    </row>
    <row r="54" spans="1:113" ht="15" thickTop="1" x14ac:dyDescent="0.35">
      <c r="D54" s="345" t="s">
        <v>467</v>
      </c>
      <c r="E54" s="346" t="s">
        <v>1253</v>
      </c>
      <c r="F54" s="346" t="s">
        <v>468</v>
      </c>
      <c r="G54" s="347">
        <v>9562.9531700000007</v>
      </c>
      <c r="I54" s="325">
        <v>56</v>
      </c>
      <c r="J54" s="326" t="s">
        <v>443</v>
      </c>
      <c r="K54" s="327" t="s">
        <v>1238</v>
      </c>
      <c r="L54" s="327" t="s">
        <v>448</v>
      </c>
      <c r="M54" s="328">
        <v>1</v>
      </c>
      <c r="N54" s="328">
        <v>1</v>
      </c>
      <c r="O54" s="329">
        <v>1</v>
      </c>
      <c r="P54" s="329">
        <v>1</v>
      </c>
      <c r="X54" s="325">
        <v>53</v>
      </c>
      <c r="Y54" s="333" t="s">
        <v>1239</v>
      </c>
      <c r="Z54" s="327"/>
      <c r="AA54" s="334" t="str">
        <f t="shared" si="1"/>
        <v xml:space="preserve">16. Schiffs-, Luft-, Schienenbau (Fahrzeuge excl. Automotive) - </v>
      </c>
      <c r="AB54" s="329">
        <v>0.16255193128053771</v>
      </c>
      <c r="AC54" s="329">
        <v>11.37863518963764</v>
      </c>
      <c r="AD54" s="458">
        <v>0.16255193128053771</v>
      </c>
      <c r="AE54" s="335">
        <v>11.37863518963764</v>
      </c>
      <c r="AF54" s="329">
        <v>1.8496191254122858</v>
      </c>
      <c r="AG54" s="329">
        <v>1</v>
      </c>
      <c r="AH54" s="335">
        <v>1.2</v>
      </c>
      <c r="BA54" s="345" t="s">
        <v>1240</v>
      </c>
      <c r="BB54" s="346" t="s">
        <v>449</v>
      </c>
      <c r="BC54" s="346" t="s">
        <v>1241</v>
      </c>
      <c r="BD54" s="355">
        <v>1</v>
      </c>
      <c r="BE54" s="355">
        <v>1</v>
      </c>
      <c r="BF54" s="355">
        <v>1</v>
      </c>
      <c r="BG54" s="355">
        <v>1</v>
      </c>
      <c r="BH54" s="356">
        <v>4.5</v>
      </c>
      <c r="BJ54" s="352" t="str">
        <v>West Africa - Central Africa</v>
      </c>
      <c r="BK54" s="327" t="s">
        <v>976</v>
      </c>
      <c r="BL54" s="327" t="s">
        <v>985</v>
      </c>
      <c r="BM54" s="429">
        <v>1.4077410192316799</v>
      </c>
      <c r="BN54" s="429">
        <v>1.4077410192316799</v>
      </c>
      <c r="BO54" s="459">
        <v>1.4077410192316799</v>
      </c>
      <c r="BP54" s="460">
        <v>1.4077410192316799</v>
      </c>
      <c r="BQ54" s="468"/>
      <c r="BR54" s="877">
        <v>1.981734777227449</v>
      </c>
      <c r="BS54" s="74">
        <f t="shared" si="0"/>
        <v>1.4077410192316799</v>
      </c>
      <c r="BT54" s="345" t="s">
        <v>450</v>
      </c>
      <c r="BU54" s="412">
        <v>5.0000000000000001E-3</v>
      </c>
      <c r="BV54" s="412">
        <v>7.0000000000000001E-3</v>
      </c>
      <c r="BW54" s="414">
        <v>5.0000000000000001E-3</v>
      </c>
      <c r="CF54" s="345">
        <v>49</v>
      </c>
      <c r="CG54" s="353">
        <v>0.81666666666666665</v>
      </c>
      <c r="CH54" s="359">
        <v>1</v>
      </c>
      <c r="CI54" s="353">
        <v>0.81666666666666665</v>
      </c>
      <c r="CJ54" s="360">
        <v>1</v>
      </c>
      <c r="CS54" s="352" t="s">
        <v>172</v>
      </c>
      <c r="CT54" s="485" t="s">
        <v>172</v>
      </c>
      <c r="CU54" s="355" t="s">
        <v>1242</v>
      </c>
      <c r="DB54" s="513" t="s">
        <v>1280</v>
      </c>
      <c r="DC54" s="823" t="s">
        <v>64</v>
      </c>
      <c r="DD54" s="511">
        <v>1000000</v>
      </c>
      <c r="DE54" s="511">
        <v>1000000</v>
      </c>
      <c r="DF54" s="511"/>
      <c r="DG54" s="511"/>
      <c r="DH54" s="511"/>
      <c r="DI54" s="511">
        <v>1000000</v>
      </c>
    </row>
    <row r="55" spans="1:113" x14ac:dyDescent="0.35">
      <c r="D55" s="345" t="s">
        <v>471</v>
      </c>
      <c r="E55" s="346" t="s">
        <v>1261</v>
      </c>
      <c r="F55" s="346" t="s">
        <v>472</v>
      </c>
      <c r="G55" s="347">
        <v>8.5168800000000005</v>
      </c>
      <c r="I55" s="325">
        <v>58</v>
      </c>
      <c r="J55" s="326" t="s">
        <v>454</v>
      </c>
      <c r="K55" s="327" t="s">
        <v>1246</v>
      </c>
      <c r="L55" s="327" t="s">
        <v>455</v>
      </c>
      <c r="M55" s="328">
        <v>1</v>
      </c>
      <c r="N55" s="328">
        <v>1</v>
      </c>
      <c r="O55" s="329">
        <v>1</v>
      </c>
      <c r="P55" s="329">
        <v>1</v>
      </c>
      <c r="X55" s="325">
        <v>54</v>
      </c>
      <c r="Y55" s="427" t="s">
        <v>1247</v>
      </c>
      <c r="Z55" s="327"/>
      <c r="AA55" s="334" t="str">
        <f t="shared" si="1"/>
        <v xml:space="preserve">17. Technische Komponenten - </v>
      </c>
      <c r="AB55" s="329">
        <v>1.1494157290343789</v>
      </c>
      <c r="AC55" s="329">
        <v>1.1494157290343789</v>
      </c>
      <c r="AD55" s="458">
        <v>1.1494157290343789</v>
      </c>
      <c r="AE55" s="335">
        <v>1.1494157290343789</v>
      </c>
      <c r="AF55" s="329">
        <v>1.3211565181516329</v>
      </c>
      <c r="AG55" s="329">
        <v>1</v>
      </c>
      <c r="AH55" s="335">
        <v>1.2</v>
      </c>
      <c r="BA55" s="345" t="s">
        <v>1248</v>
      </c>
      <c r="BB55" s="346" t="s">
        <v>296</v>
      </c>
      <c r="BC55" s="346" t="s">
        <v>1249</v>
      </c>
      <c r="BD55" s="355">
        <v>1</v>
      </c>
      <c r="BE55" s="355">
        <v>1</v>
      </c>
      <c r="BF55" s="355">
        <v>1</v>
      </c>
      <c r="BG55" s="355">
        <v>1</v>
      </c>
      <c r="BH55" s="356">
        <v>10</v>
      </c>
      <c r="BJ55" s="352" t="str">
        <v>West Africa - Asia</v>
      </c>
      <c r="BK55" s="327" t="s">
        <v>976</v>
      </c>
      <c r="BL55" s="327" t="s">
        <v>274</v>
      </c>
      <c r="BM55" s="429">
        <v>1.520534086025485</v>
      </c>
      <c r="BN55" s="429">
        <v>1.520534086025485</v>
      </c>
      <c r="BO55" s="459">
        <v>1.520534086025485</v>
      </c>
      <c r="BP55" s="460">
        <v>1.520534086025485</v>
      </c>
      <c r="BQ55" s="468"/>
      <c r="BR55" s="877">
        <v>2.312023906765357</v>
      </c>
      <c r="BS55" s="74">
        <f t="shared" si="0"/>
        <v>1.4764512369022533</v>
      </c>
      <c r="BT55" s="345" t="s">
        <v>456</v>
      </c>
      <c r="BU55" s="412">
        <v>2E-3</v>
      </c>
      <c r="BV55" s="412">
        <v>4.0000000000000001E-3</v>
      </c>
      <c r="BW55" s="414">
        <v>2E-3</v>
      </c>
      <c r="CF55" s="345">
        <v>50</v>
      </c>
      <c r="CG55" s="353">
        <v>0.83333333333333337</v>
      </c>
      <c r="CH55" s="359">
        <v>1</v>
      </c>
      <c r="CI55" s="353">
        <v>0.83333333333333337</v>
      </c>
      <c r="CJ55" s="360">
        <v>1</v>
      </c>
      <c r="CS55" s="352" t="s">
        <v>1250</v>
      </c>
      <c r="CT55" s="485" t="s">
        <v>1251</v>
      </c>
      <c r="CU55" s="355" t="s">
        <v>1242</v>
      </c>
      <c r="DB55" s="514" t="s">
        <v>1287</v>
      </c>
      <c r="DC55" s="824" t="s">
        <v>64</v>
      </c>
      <c r="DD55" s="516" t="s">
        <v>934</v>
      </c>
      <c r="DE55" s="515"/>
      <c r="DF55" s="515"/>
      <c r="DG55" s="515"/>
      <c r="DH55" s="515"/>
      <c r="DI55" s="515"/>
    </row>
    <row r="56" spans="1:113" x14ac:dyDescent="0.35">
      <c r="D56" s="345" t="s">
        <v>476</v>
      </c>
      <c r="E56" s="346" t="s">
        <v>1268</v>
      </c>
      <c r="F56" s="346" t="s">
        <v>477</v>
      </c>
      <c r="G56" s="347">
        <v>231.3699</v>
      </c>
      <c r="I56" s="325">
        <v>59</v>
      </c>
      <c r="J56" s="326" t="s">
        <v>454</v>
      </c>
      <c r="K56" s="327" t="s">
        <v>1254</v>
      </c>
      <c r="L56" s="327" t="s">
        <v>459</v>
      </c>
      <c r="M56" s="328">
        <v>1</v>
      </c>
      <c r="N56" s="328">
        <v>1</v>
      </c>
      <c r="O56" s="329">
        <v>1</v>
      </c>
      <c r="P56" s="329">
        <v>1</v>
      </c>
      <c r="X56" s="325">
        <v>55</v>
      </c>
      <c r="Y56" s="333" t="s">
        <v>1255</v>
      </c>
      <c r="Z56" s="327"/>
      <c r="AA56" s="334" t="str">
        <f t="shared" si="1"/>
        <v xml:space="preserve">18. Textilien, Leder, Bekleidung, Schuhe - </v>
      </c>
      <c r="AB56" s="329">
        <v>2.0318991410067215</v>
      </c>
      <c r="AC56" s="329">
        <v>0.81275965640268855</v>
      </c>
      <c r="AD56" s="458">
        <v>2.0318991410067215</v>
      </c>
      <c r="AE56" s="335">
        <v>0.81275965640268855</v>
      </c>
      <c r="AF56" s="329">
        <v>1.6514456476895409</v>
      </c>
      <c r="AG56" s="329">
        <v>1</v>
      </c>
      <c r="AH56" s="335">
        <v>1.2</v>
      </c>
      <c r="BA56" s="345" t="s">
        <v>1256</v>
      </c>
      <c r="BB56" s="346" t="s">
        <v>460</v>
      </c>
      <c r="BC56" s="346" t="s">
        <v>1257</v>
      </c>
      <c r="BD56" s="355">
        <v>1</v>
      </c>
      <c r="BE56" s="355">
        <v>1</v>
      </c>
      <c r="BF56" s="355">
        <v>1</v>
      </c>
      <c r="BG56" s="355">
        <v>1</v>
      </c>
      <c r="BH56" s="356">
        <v>2.2000000000000002</v>
      </c>
      <c r="BJ56" s="352" t="str">
        <v>West Africa - SouthEast Asia</v>
      </c>
      <c r="BK56" s="327" t="s">
        <v>976</v>
      </c>
      <c r="BL56" s="327" t="s">
        <v>930</v>
      </c>
      <c r="BM56" s="429">
        <v>1.520534086025485</v>
      </c>
      <c r="BN56" s="429">
        <v>1.520534086025485</v>
      </c>
      <c r="BO56" s="459">
        <v>1.520534086025485</v>
      </c>
      <c r="BP56" s="460">
        <v>1.520534086025485</v>
      </c>
      <c r="BQ56" s="468"/>
      <c r="BR56" s="877">
        <v>2.312023906765357</v>
      </c>
      <c r="BS56" s="74">
        <f t="shared" si="0"/>
        <v>1.5633744140737755</v>
      </c>
      <c r="BT56" s="345" t="s">
        <v>461</v>
      </c>
      <c r="BU56" s="412">
        <v>2.5000000000000001E-3</v>
      </c>
      <c r="BV56" s="412">
        <v>4.4999999999999997E-3</v>
      </c>
      <c r="BW56" s="414">
        <v>2.5000000000000001E-3</v>
      </c>
      <c r="CF56" s="345">
        <v>51</v>
      </c>
      <c r="CG56" s="353">
        <v>0.85</v>
      </c>
      <c r="CH56" s="359">
        <v>1</v>
      </c>
      <c r="CI56" s="353">
        <v>0.85</v>
      </c>
      <c r="CJ56" s="360">
        <v>1</v>
      </c>
      <c r="CS56" s="352" t="s">
        <v>1258</v>
      </c>
      <c r="CT56" s="485" t="s">
        <v>1259</v>
      </c>
      <c r="CU56" s="355" t="s">
        <v>1242</v>
      </c>
      <c r="DB56" s="513" t="s">
        <v>1293</v>
      </c>
      <c r="DC56" s="823" t="s">
        <v>64</v>
      </c>
      <c r="DD56" s="517" t="s">
        <v>943</v>
      </c>
      <c r="DE56" s="511"/>
      <c r="DF56" s="511"/>
      <c r="DG56" s="511"/>
      <c r="DH56" s="511"/>
      <c r="DI56" s="511"/>
    </row>
    <row r="57" spans="1:113" x14ac:dyDescent="0.35">
      <c r="D57" s="345" t="s">
        <v>481</v>
      </c>
      <c r="E57" s="346" t="s">
        <v>1274</v>
      </c>
      <c r="F57" s="346" t="s">
        <v>482</v>
      </c>
      <c r="G57" s="347">
        <v>8.6343800000000002</v>
      </c>
      <c r="I57" s="325">
        <v>60</v>
      </c>
      <c r="J57" s="326" t="s">
        <v>454</v>
      </c>
      <c r="K57" s="327" t="s">
        <v>1262</v>
      </c>
      <c r="L57" s="327" t="s">
        <v>465</v>
      </c>
      <c r="M57" s="328">
        <v>1</v>
      </c>
      <c r="N57" s="328">
        <v>1</v>
      </c>
      <c r="O57" s="329">
        <v>1</v>
      </c>
      <c r="P57" s="329">
        <v>1</v>
      </c>
      <c r="X57" s="369">
        <v>56</v>
      </c>
      <c r="Y57" s="370" t="s">
        <v>1263</v>
      </c>
      <c r="Z57" s="371"/>
      <c r="AA57" s="372" t="str">
        <f t="shared" si="1"/>
        <v xml:space="preserve">19. Kabel &amp; Seile (Seekabel, Tragseile für Brücken, Spannkabel) - </v>
      </c>
      <c r="AB57" s="363">
        <v>0.34000175784584979</v>
      </c>
      <c r="AC57" s="363">
        <v>2.7200140627667984</v>
      </c>
      <c r="AD57" s="819">
        <v>0.34000175784584979</v>
      </c>
      <c r="AE57" s="364">
        <v>2.7200140627667984</v>
      </c>
      <c r="AF57" s="363">
        <v>0.92480956270614301</v>
      </c>
      <c r="AG57" s="363">
        <v>1</v>
      </c>
      <c r="AH57" s="364">
        <v>1.2</v>
      </c>
      <c r="BA57" s="345" t="s">
        <v>1264</v>
      </c>
      <c r="BB57" s="346" t="s">
        <v>466</v>
      </c>
      <c r="BC57" s="346" t="s">
        <v>1265</v>
      </c>
      <c r="BD57" s="355">
        <v>1</v>
      </c>
      <c r="BE57" s="355">
        <v>1</v>
      </c>
      <c r="BF57" s="355">
        <v>1</v>
      </c>
      <c r="BG57" s="355">
        <v>1</v>
      </c>
      <c r="BH57" s="356">
        <v>1</v>
      </c>
      <c r="BJ57" s="352" t="str">
        <v>West Africa - Australia</v>
      </c>
      <c r="BK57" s="327" t="s">
        <v>976</v>
      </c>
      <c r="BL57" s="327" t="s">
        <v>160</v>
      </c>
      <c r="BM57" s="429">
        <v>1.4764512369022533</v>
      </c>
      <c r="BN57" s="429">
        <v>1.4764512369022533</v>
      </c>
      <c r="BO57" s="459">
        <v>1.4764512369022533</v>
      </c>
      <c r="BP57" s="460">
        <v>1.4764512369022533</v>
      </c>
      <c r="BQ57" s="468"/>
      <c r="BR57" s="877">
        <v>2.1799082549501936</v>
      </c>
      <c r="BS57" s="74">
        <f t="shared" si="0"/>
        <v>1.4077410192316799</v>
      </c>
      <c r="BT57" s="345" t="s">
        <v>397</v>
      </c>
      <c r="BU57" s="412">
        <v>1.5E-3</v>
      </c>
      <c r="BV57" s="412">
        <v>3.5000000000000001E-3</v>
      </c>
      <c r="BW57" s="414">
        <v>1.5E-3</v>
      </c>
      <c r="CF57" s="345">
        <v>52</v>
      </c>
      <c r="CG57" s="353">
        <v>0.8666666666666667</v>
      </c>
      <c r="CH57" s="359">
        <v>1</v>
      </c>
      <c r="CI57" s="353">
        <v>0.8666666666666667</v>
      </c>
      <c r="CJ57" s="360">
        <v>1</v>
      </c>
      <c r="CS57" s="352" t="s">
        <v>1266</v>
      </c>
      <c r="CT57" s="485" t="s">
        <v>236</v>
      </c>
      <c r="CU57" s="355" t="s">
        <v>1242</v>
      </c>
      <c r="DB57" s="514" t="s">
        <v>1299</v>
      </c>
      <c r="DC57" s="824" t="s">
        <v>64</v>
      </c>
      <c r="DD57" s="516" t="s">
        <v>953</v>
      </c>
      <c r="DE57" s="515"/>
      <c r="DF57" s="515"/>
      <c r="DG57" s="515"/>
      <c r="DH57" s="515"/>
      <c r="DI57" s="515"/>
    </row>
    <row r="58" spans="1:113" x14ac:dyDescent="0.35">
      <c r="A58" s="74" t="s">
        <v>1236</v>
      </c>
      <c r="B58" s="521" t="b">
        <f xml:space="preserve"> \selected_MidMarketNewBusiness = "Yes"</f>
        <v>1</v>
      </c>
      <c r="D58" s="345" t="s">
        <v>486</v>
      </c>
      <c r="E58" s="346" t="s">
        <v>1281</v>
      </c>
      <c r="F58" s="346" t="s">
        <v>487</v>
      </c>
      <c r="G58" s="347">
        <v>28.571020000000001</v>
      </c>
      <c r="I58" s="325">
        <v>61</v>
      </c>
      <c r="J58" s="326" t="s">
        <v>454</v>
      </c>
      <c r="K58" s="327" t="s">
        <v>1269</v>
      </c>
      <c r="L58" s="327" t="s">
        <v>469</v>
      </c>
      <c r="M58" s="328">
        <v>1</v>
      </c>
      <c r="N58" s="328">
        <v>1</v>
      </c>
      <c r="O58" s="329">
        <v>1</v>
      </c>
      <c r="P58" s="329">
        <v>1</v>
      </c>
      <c r="BA58" s="345" t="s">
        <v>1270</v>
      </c>
      <c r="BB58" s="346" t="s">
        <v>359</v>
      </c>
      <c r="BC58" s="346" t="s">
        <v>1271</v>
      </c>
      <c r="BD58" s="355">
        <v>1</v>
      </c>
      <c r="BE58" s="355">
        <v>1</v>
      </c>
      <c r="BF58" s="355">
        <v>1</v>
      </c>
      <c r="BG58" s="355">
        <v>1</v>
      </c>
      <c r="BH58" s="356">
        <v>1</v>
      </c>
      <c r="BJ58" s="352" t="str">
        <v>West Africa - Near East</v>
      </c>
      <c r="BK58" s="327" t="s">
        <v>976</v>
      </c>
      <c r="BL58" s="327" t="s">
        <v>941</v>
      </c>
      <c r="BM58" s="429">
        <v>1.4764512369022533</v>
      </c>
      <c r="BN58" s="429">
        <v>1.4764512369022533</v>
      </c>
      <c r="BO58" s="459">
        <v>1.4764512369022533</v>
      </c>
      <c r="BP58" s="460">
        <v>1.4764512369022533</v>
      </c>
      <c r="BQ58" s="468"/>
      <c r="BR58" s="877">
        <v>2.1799082549501936</v>
      </c>
      <c r="BS58" s="74">
        <f t="shared" si="0"/>
        <v>1.4764512369022533</v>
      </c>
      <c r="BT58" s="345" t="s">
        <v>470</v>
      </c>
      <c r="BU58" s="412">
        <v>1.5E-3</v>
      </c>
      <c r="BV58" s="412">
        <v>3.5000000000000001E-3</v>
      </c>
      <c r="BW58" s="414">
        <v>1.5E-3</v>
      </c>
      <c r="CF58" s="345">
        <v>53</v>
      </c>
      <c r="CG58" s="353">
        <v>0.8833333333333333</v>
      </c>
      <c r="CH58" s="359">
        <v>1</v>
      </c>
      <c r="CI58" s="353">
        <v>0.8833333333333333</v>
      </c>
      <c r="CJ58" s="360">
        <v>1</v>
      </c>
      <c r="CS58" s="352" t="s">
        <v>1272</v>
      </c>
      <c r="CT58" s="485" t="s">
        <v>1273</v>
      </c>
      <c r="CU58" s="355" t="s">
        <v>1242</v>
      </c>
      <c r="DB58" s="513" t="s">
        <v>1306</v>
      </c>
      <c r="DC58" s="823" t="s">
        <v>64</v>
      </c>
      <c r="DD58" s="517" t="s">
        <v>962</v>
      </c>
      <c r="DE58" s="511"/>
      <c r="DF58" s="511"/>
      <c r="DG58" s="511"/>
      <c r="DH58" s="511"/>
      <c r="DI58" s="511"/>
    </row>
    <row r="59" spans="1:113" x14ac:dyDescent="0.35">
      <c r="A59" s="74" t="s">
        <v>1244</v>
      </c>
      <c r="B59" s="521" t="b">
        <f xml:space="preserve"> \selected_MidMarketNewBusiness = "Yes"</f>
        <v>1</v>
      </c>
      <c r="D59" s="345" t="s">
        <v>491</v>
      </c>
      <c r="E59" s="346" t="s">
        <v>1288</v>
      </c>
      <c r="F59" s="346" t="s">
        <v>492</v>
      </c>
      <c r="G59" s="347">
        <v>7.5345000000000004</v>
      </c>
      <c r="I59" s="325">
        <v>62</v>
      </c>
      <c r="J59" s="326" t="s">
        <v>454</v>
      </c>
      <c r="K59" s="327" t="s">
        <v>1275</v>
      </c>
      <c r="L59" s="327" t="s">
        <v>473</v>
      </c>
      <c r="M59" s="328">
        <v>1</v>
      </c>
      <c r="N59" s="328">
        <v>1</v>
      </c>
      <c r="O59" s="329">
        <v>1</v>
      </c>
      <c r="P59" s="329">
        <v>1</v>
      </c>
      <c r="BA59" s="345" t="s">
        <v>1276</v>
      </c>
      <c r="BB59" s="346" t="s">
        <v>474</v>
      </c>
      <c r="BC59" s="346" t="s">
        <v>1277</v>
      </c>
      <c r="BD59" s="355">
        <v>1</v>
      </c>
      <c r="BE59" s="355">
        <v>1</v>
      </c>
      <c r="BF59" s="355">
        <v>1</v>
      </c>
      <c r="BG59" s="355">
        <v>1</v>
      </c>
      <c r="BH59" s="356">
        <v>2.8</v>
      </c>
      <c r="BJ59" s="352" t="str">
        <v>West Africa - North Europe</v>
      </c>
      <c r="BK59" s="327" t="s">
        <v>976</v>
      </c>
      <c r="BL59" s="327" t="s">
        <v>856</v>
      </c>
      <c r="BM59" s="429">
        <v>1.5313565292638902</v>
      </c>
      <c r="BN59" s="429">
        <v>1.5313565292638902</v>
      </c>
      <c r="BO59" s="459">
        <v>1.5313565292638902</v>
      </c>
      <c r="BP59" s="460">
        <v>1.5313565292638902</v>
      </c>
      <c r="BQ59" s="468"/>
      <c r="BR59" s="877">
        <v>2.345052819719148</v>
      </c>
      <c r="BS59" s="74">
        <f t="shared" si="0"/>
        <v>1.4652233078941936</v>
      </c>
      <c r="BT59" s="345" t="s">
        <v>475</v>
      </c>
      <c r="BU59" s="412">
        <v>1.5E-3</v>
      </c>
      <c r="BV59" s="412">
        <v>3.5000000000000001E-3</v>
      </c>
      <c r="BW59" s="414">
        <v>1.5E-3</v>
      </c>
      <c r="CF59" s="345">
        <v>54</v>
      </c>
      <c r="CG59" s="353">
        <v>0.9</v>
      </c>
      <c r="CH59" s="359">
        <v>1</v>
      </c>
      <c r="CI59" s="353">
        <v>0.9</v>
      </c>
      <c r="CJ59" s="360">
        <v>1</v>
      </c>
      <c r="CS59" s="352" t="s">
        <v>1278</v>
      </c>
      <c r="CT59" s="485" t="s">
        <v>1279</v>
      </c>
      <c r="CU59" s="355" t="s">
        <v>1242</v>
      </c>
      <c r="DB59" s="514" t="s">
        <v>4637</v>
      </c>
      <c r="DC59" s="824" t="s">
        <v>4628</v>
      </c>
      <c r="DD59" s="515" t="s">
        <v>95</v>
      </c>
      <c r="DE59" s="515"/>
      <c r="DF59" s="515"/>
      <c r="DG59" s="515"/>
      <c r="DH59" s="515"/>
      <c r="DI59" s="515"/>
    </row>
    <row r="60" spans="1:113" x14ac:dyDescent="0.35">
      <c r="D60" s="345" t="s">
        <v>496</v>
      </c>
      <c r="E60" s="346" t="s">
        <v>1294</v>
      </c>
      <c r="F60" s="346" t="s">
        <v>497</v>
      </c>
      <c r="G60" s="347">
        <v>144.78693999999999</v>
      </c>
      <c r="I60" s="325">
        <v>63</v>
      </c>
      <c r="J60" s="326" t="s">
        <v>454</v>
      </c>
      <c r="K60" s="327" t="s">
        <v>1282</v>
      </c>
      <c r="L60" s="327" t="s">
        <v>478</v>
      </c>
      <c r="M60" s="328">
        <v>1</v>
      </c>
      <c r="N60" s="328">
        <v>1</v>
      </c>
      <c r="O60" s="329">
        <v>1</v>
      </c>
      <c r="P60" s="329">
        <v>1</v>
      </c>
      <c r="BA60" s="345" t="s">
        <v>1283</v>
      </c>
      <c r="BB60" s="346" t="s">
        <v>479</v>
      </c>
      <c r="BC60" s="346" t="s">
        <v>1284</v>
      </c>
      <c r="BD60" s="355">
        <v>1</v>
      </c>
      <c r="BE60" s="355">
        <v>1</v>
      </c>
      <c r="BF60" s="355">
        <v>1</v>
      </c>
      <c r="BG60" s="355">
        <v>1</v>
      </c>
      <c r="BH60" s="356">
        <v>4.5</v>
      </c>
      <c r="BJ60" s="352" t="str">
        <v>West Africa - East Europe</v>
      </c>
      <c r="BK60" s="327" t="s">
        <v>976</v>
      </c>
      <c r="BL60" s="327" t="s">
        <v>869</v>
      </c>
      <c r="BM60" s="429">
        <v>1.6050717150319744</v>
      </c>
      <c r="BN60" s="429">
        <v>1.6050717150319744</v>
      </c>
      <c r="BO60" s="459">
        <v>1.6050717150319744</v>
      </c>
      <c r="BP60" s="460">
        <v>1.6050717150319744</v>
      </c>
      <c r="BQ60" s="468"/>
      <c r="BR60" s="877">
        <v>2.5762552103956837</v>
      </c>
      <c r="BS60" s="74">
        <f t="shared" si="0"/>
        <v>1.5421030227170098</v>
      </c>
      <c r="BT60" s="345" t="s">
        <v>480</v>
      </c>
      <c r="BU60" s="412">
        <v>4.4999999999999997E-3</v>
      </c>
      <c r="BV60" s="412">
        <v>6.4999999999999997E-3</v>
      </c>
      <c r="BW60" s="414">
        <v>4.4999999999999997E-3</v>
      </c>
      <c r="CF60" s="345">
        <v>55</v>
      </c>
      <c r="CG60" s="353">
        <v>0.91666666666666663</v>
      </c>
      <c r="CH60" s="359">
        <v>1</v>
      </c>
      <c r="CI60" s="353">
        <v>0.91666666666666663</v>
      </c>
      <c r="CJ60" s="360">
        <v>1</v>
      </c>
      <c r="CS60" s="352" t="s">
        <v>1285</v>
      </c>
      <c r="CT60" s="485" t="s">
        <v>1286</v>
      </c>
      <c r="CU60" s="355" t="s">
        <v>1242</v>
      </c>
      <c r="DB60" s="513" t="s">
        <v>4646</v>
      </c>
      <c r="DC60" s="823" t="s">
        <v>64</v>
      </c>
      <c r="DD60" s="515" t="s">
        <v>95</v>
      </c>
      <c r="DE60" s="515"/>
      <c r="DF60" s="515"/>
      <c r="DG60" s="515"/>
      <c r="DH60" s="515"/>
      <c r="DI60" s="515"/>
    </row>
    <row r="61" spans="1:113" x14ac:dyDescent="0.35">
      <c r="D61" s="345" t="s">
        <v>502</v>
      </c>
      <c r="E61" s="346" t="s">
        <v>1300</v>
      </c>
      <c r="F61" s="346" t="s">
        <v>503</v>
      </c>
      <c r="G61" s="347">
        <v>402.80556000000001</v>
      </c>
      <c r="I61" s="325">
        <v>64</v>
      </c>
      <c r="J61" s="326" t="s">
        <v>483</v>
      </c>
      <c r="K61" s="327" t="s">
        <v>1289</v>
      </c>
      <c r="L61" s="327" t="s">
        <v>484</v>
      </c>
      <c r="M61" s="328">
        <v>1</v>
      </c>
      <c r="N61" s="328">
        <v>1</v>
      </c>
      <c r="O61" s="329">
        <v>1</v>
      </c>
      <c r="P61" s="329">
        <v>1</v>
      </c>
      <c r="BA61" s="345" t="s">
        <v>1290</v>
      </c>
      <c r="BB61" s="346" t="s">
        <v>303</v>
      </c>
      <c r="BC61" s="346" t="s">
        <v>1291</v>
      </c>
      <c r="BD61" s="355">
        <v>1</v>
      </c>
      <c r="BE61" s="355">
        <v>1</v>
      </c>
      <c r="BF61" s="355">
        <v>1</v>
      </c>
      <c r="BG61" s="355">
        <v>1</v>
      </c>
      <c r="BH61" s="356">
        <v>3</v>
      </c>
      <c r="BJ61" s="352" t="str">
        <v>West Africa - South Europe</v>
      </c>
      <c r="BK61" s="327" t="s">
        <v>976</v>
      </c>
      <c r="BL61" s="327" t="s">
        <v>882</v>
      </c>
      <c r="BM61" s="429">
        <v>1.520534086025485</v>
      </c>
      <c r="BN61" s="429">
        <v>1.520534086025485</v>
      </c>
      <c r="BO61" s="459">
        <v>1.520534086025485</v>
      </c>
      <c r="BP61" s="460">
        <v>1.520534086025485</v>
      </c>
      <c r="BQ61" s="468"/>
      <c r="BR61" s="877">
        <v>2.312023906765357</v>
      </c>
      <c r="BS61" s="74">
        <f t="shared" si="0"/>
        <v>1.453908672868627</v>
      </c>
      <c r="BT61" s="345" t="s">
        <v>485</v>
      </c>
      <c r="BU61" s="412">
        <v>6.0000000000000001E-3</v>
      </c>
      <c r="BV61" s="412">
        <v>8.0000000000000002E-3</v>
      </c>
      <c r="BW61" s="414">
        <v>6.0000000000000001E-3</v>
      </c>
      <c r="CF61" s="345">
        <v>56</v>
      </c>
      <c r="CG61" s="353">
        <v>0.93333333333333335</v>
      </c>
      <c r="CH61" s="359">
        <v>1</v>
      </c>
      <c r="CI61" s="353">
        <v>0.93333333333333335</v>
      </c>
      <c r="CJ61" s="360">
        <v>1</v>
      </c>
      <c r="CS61" s="352" t="s">
        <v>1292</v>
      </c>
      <c r="CT61" s="485" t="s">
        <v>250</v>
      </c>
      <c r="CU61" s="355" t="s">
        <v>1242</v>
      </c>
      <c r="DB61" s="513" t="s">
        <v>1338</v>
      </c>
      <c r="DC61" s="823" t="s">
        <v>64</v>
      </c>
      <c r="DD61" s="517" t="s">
        <v>1153</v>
      </c>
      <c r="DE61" s="511"/>
      <c r="DF61" s="511"/>
      <c r="DG61" s="511"/>
      <c r="DH61" s="511"/>
      <c r="DI61" s="511"/>
    </row>
    <row r="62" spans="1:113" x14ac:dyDescent="0.35">
      <c r="D62" s="345" t="s">
        <v>507</v>
      </c>
      <c r="E62" s="346" t="s">
        <v>1307</v>
      </c>
      <c r="F62" s="346" t="s">
        <v>508</v>
      </c>
      <c r="G62" s="347">
        <v>18172.009999999998</v>
      </c>
      <c r="I62" s="325">
        <v>65</v>
      </c>
      <c r="J62" s="326" t="s">
        <v>483</v>
      </c>
      <c r="K62" s="327" t="s">
        <v>1295</v>
      </c>
      <c r="L62" s="327" t="s">
        <v>488</v>
      </c>
      <c r="M62" s="328">
        <v>1</v>
      </c>
      <c r="N62" s="328">
        <v>1</v>
      </c>
      <c r="O62" s="329">
        <v>1</v>
      </c>
      <c r="P62" s="329">
        <v>1</v>
      </c>
      <c r="BA62" s="345" t="s">
        <v>1296</v>
      </c>
      <c r="BB62" s="346" t="s">
        <v>489</v>
      </c>
      <c r="BC62" s="346" t="s">
        <v>1297</v>
      </c>
      <c r="BD62" s="355">
        <v>1</v>
      </c>
      <c r="BE62" s="355">
        <v>1</v>
      </c>
      <c r="BF62" s="355">
        <v>1</v>
      </c>
      <c r="BG62" s="355">
        <v>1</v>
      </c>
      <c r="BH62" s="356">
        <v>1</v>
      </c>
      <c r="BJ62" s="352" t="str">
        <v>West Africa - West Europe</v>
      </c>
      <c r="BK62" s="327" t="s">
        <v>976</v>
      </c>
      <c r="BL62" s="327" t="s">
        <v>893</v>
      </c>
      <c r="BM62" s="429">
        <v>1.4764512369022533</v>
      </c>
      <c r="BN62" s="429">
        <v>1.4764512369022533</v>
      </c>
      <c r="BO62" s="459">
        <v>1.4764512369022533</v>
      </c>
      <c r="BP62" s="460">
        <v>1.4764512369022533</v>
      </c>
      <c r="BQ62" s="468"/>
      <c r="BR62" s="877">
        <v>2.1799082549501936</v>
      </c>
      <c r="BS62" s="74">
        <f t="shared" si="0"/>
        <v>1.453908672868627</v>
      </c>
      <c r="BT62" s="345" t="s">
        <v>490</v>
      </c>
      <c r="BU62" s="412">
        <v>1.5E-3</v>
      </c>
      <c r="BV62" s="412">
        <v>3.5000000000000001E-3</v>
      </c>
      <c r="BW62" s="414">
        <v>1.5E-3</v>
      </c>
      <c r="CF62" s="345">
        <v>57</v>
      </c>
      <c r="CG62" s="353">
        <v>0.95</v>
      </c>
      <c r="CH62" s="359">
        <v>1</v>
      </c>
      <c r="CI62" s="353">
        <v>0.95</v>
      </c>
      <c r="CJ62" s="360">
        <v>1</v>
      </c>
      <c r="CS62" s="352" t="s">
        <v>1298</v>
      </c>
      <c r="CT62" s="485" t="s">
        <v>243</v>
      </c>
      <c r="CU62" s="355" t="s">
        <v>1242</v>
      </c>
      <c r="DB62" s="514" t="s">
        <v>1343</v>
      </c>
      <c r="DC62" s="824" t="s">
        <v>64</v>
      </c>
      <c r="DD62" s="516" t="s">
        <v>934</v>
      </c>
      <c r="DE62" s="515"/>
      <c r="DF62" s="515"/>
      <c r="DG62" s="515"/>
      <c r="DH62" s="515"/>
      <c r="DI62" s="515"/>
    </row>
    <row r="63" spans="1:113" x14ac:dyDescent="0.35">
      <c r="D63" s="345" t="s">
        <v>512</v>
      </c>
      <c r="E63" s="346" t="s">
        <v>1311</v>
      </c>
      <c r="F63" s="346" t="s">
        <v>513</v>
      </c>
      <c r="G63" s="347">
        <v>3.9026399999999999</v>
      </c>
      <c r="I63" s="325">
        <v>66</v>
      </c>
      <c r="J63" s="326" t="s">
        <v>483</v>
      </c>
      <c r="K63" s="327" t="s">
        <v>1301</v>
      </c>
      <c r="L63" s="327" t="s">
        <v>493</v>
      </c>
      <c r="M63" s="328">
        <v>1</v>
      </c>
      <c r="N63" s="328">
        <v>1</v>
      </c>
      <c r="O63" s="329">
        <v>1</v>
      </c>
      <c r="P63" s="329">
        <v>1</v>
      </c>
      <c r="BA63" s="345" t="s">
        <v>1302</v>
      </c>
      <c r="BB63" s="346" t="s">
        <v>494</v>
      </c>
      <c r="BC63" s="346" t="s">
        <v>1303</v>
      </c>
      <c r="BD63" s="355">
        <v>1</v>
      </c>
      <c r="BE63" s="355">
        <v>1</v>
      </c>
      <c r="BF63" s="355">
        <v>1</v>
      </c>
      <c r="BG63" s="355">
        <v>1</v>
      </c>
      <c r="BH63" s="356">
        <v>4.5</v>
      </c>
      <c r="BJ63" s="352" t="str">
        <v>West Africa - North America</v>
      </c>
      <c r="BK63" s="327" t="s">
        <v>976</v>
      </c>
      <c r="BL63" s="327" t="s">
        <v>904</v>
      </c>
      <c r="BM63" s="429">
        <v>1.4986547570597357</v>
      </c>
      <c r="BN63" s="429">
        <v>1.4986547570597357</v>
      </c>
      <c r="BO63" s="459">
        <v>1.4986547570597357</v>
      </c>
      <c r="BP63" s="460">
        <v>1.4986547570597357</v>
      </c>
      <c r="BQ63" s="468"/>
      <c r="BR63" s="877">
        <v>2.2459660808577753</v>
      </c>
      <c r="BS63" s="74">
        <f t="shared" si="0"/>
        <v>1.4764512369022533</v>
      </c>
      <c r="BT63" s="345" t="s">
        <v>495</v>
      </c>
      <c r="BU63" s="412">
        <v>4.4999999999999997E-3</v>
      </c>
      <c r="BV63" s="412">
        <v>6.4999999999999997E-3</v>
      </c>
      <c r="BW63" s="414">
        <v>4.4999999999999997E-3</v>
      </c>
      <c r="CF63" s="345">
        <v>58</v>
      </c>
      <c r="CG63" s="353">
        <v>0.96666666666666667</v>
      </c>
      <c r="CH63" s="359">
        <v>1</v>
      </c>
      <c r="CI63" s="353">
        <v>0.96666666666666667</v>
      </c>
      <c r="CJ63" s="360">
        <v>1</v>
      </c>
      <c r="CS63" s="352" t="s">
        <v>1304</v>
      </c>
      <c r="CT63" s="485" t="s">
        <v>328</v>
      </c>
      <c r="CU63" s="355" t="s">
        <v>1305</v>
      </c>
      <c r="DB63" s="513" t="s">
        <v>1350</v>
      </c>
      <c r="DC63" s="823" t="s">
        <v>64</v>
      </c>
      <c r="DD63" s="517" t="s">
        <v>943</v>
      </c>
      <c r="DE63" s="511"/>
      <c r="DF63" s="511"/>
      <c r="DG63" s="511"/>
      <c r="DH63" s="511"/>
      <c r="DI63" s="511"/>
    </row>
    <row r="64" spans="1:113" x14ac:dyDescent="0.35">
      <c r="D64" s="345" t="s">
        <v>520</v>
      </c>
      <c r="E64" s="346" t="s">
        <v>1318</v>
      </c>
      <c r="F64" s="346" t="s">
        <v>521</v>
      </c>
      <c r="G64" s="347">
        <v>95.525319999999994</v>
      </c>
      <c r="I64" s="325">
        <v>68</v>
      </c>
      <c r="J64" s="326" t="s">
        <v>498</v>
      </c>
      <c r="K64" s="327" t="s">
        <v>1308</v>
      </c>
      <c r="L64" s="327" t="s">
        <v>499</v>
      </c>
      <c r="M64" s="328">
        <v>1</v>
      </c>
      <c r="N64" s="328">
        <v>1</v>
      </c>
      <c r="O64" s="329">
        <v>1</v>
      </c>
      <c r="P64" s="329">
        <v>1</v>
      </c>
      <c r="BA64" s="345" t="s">
        <v>1309</v>
      </c>
      <c r="BB64" s="346" t="s">
        <v>500</v>
      </c>
      <c r="BC64" s="346" t="s">
        <v>1310</v>
      </c>
      <c r="BD64" s="355">
        <v>1</v>
      </c>
      <c r="BE64" s="355">
        <v>1</v>
      </c>
      <c r="BF64" s="355">
        <v>1</v>
      </c>
      <c r="BG64" s="355">
        <v>1</v>
      </c>
      <c r="BH64" s="356">
        <v>1.2</v>
      </c>
      <c r="BJ64" s="352" t="str">
        <v>West Africa - South America</v>
      </c>
      <c r="BK64" s="327" t="s">
        <v>976</v>
      </c>
      <c r="BL64" s="327" t="s">
        <v>913</v>
      </c>
      <c r="BM64" s="429">
        <v>1.6050717150319744</v>
      </c>
      <c r="BN64" s="429">
        <v>1.6050717150319744</v>
      </c>
      <c r="BO64" s="459">
        <v>1.6050717150319744</v>
      </c>
      <c r="BP64" s="460">
        <v>1.6050717150319744</v>
      </c>
      <c r="BQ64" s="468"/>
      <c r="BR64" s="877">
        <v>2.5762552103956837</v>
      </c>
      <c r="BS64" s="74">
        <f t="shared" si="0"/>
        <v>1.520534086025485</v>
      </c>
      <c r="BT64" s="345" t="s">
        <v>501</v>
      </c>
      <c r="BU64" s="412">
        <v>3.5000000000000001E-3</v>
      </c>
      <c r="BV64" s="412">
        <v>5.4999999999999997E-3</v>
      </c>
      <c r="BW64" s="414">
        <v>3.5000000000000001E-3</v>
      </c>
      <c r="CF64" s="345">
        <v>59</v>
      </c>
      <c r="CG64" s="353">
        <v>0.98333333333333328</v>
      </c>
      <c r="CH64" s="359">
        <v>1</v>
      </c>
      <c r="CI64" s="353">
        <v>0.98333333333333328</v>
      </c>
      <c r="CJ64" s="360">
        <v>1</v>
      </c>
      <c r="CS64" s="352" t="s">
        <v>408</v>
      </c>
      <c r="CT64" s="485" t="s">
        <v>408</v>
      </c>
      <c r="CU64" s="355" t="s">
        <v>1305</v>
      </c>
      <c r="DB64" s="514" t="s">
        <v>1356</v>
      </c>
      <c r="DC64" s="824" t="s">
        <v>64</v>
      </c>
      <c r="DD64" s="516" t="s">
        <v>953</v>
      </c>
      <c r="DE64" s="515"/>
      <c r="DF64" s="515"/>
      <c r="DG64" s="515"/>
      <c r="DH64" s="515"/>
      <c r="DI64" s="515"/>
    </row>
    <row r="65" spans="4:113" x14ac:dyDescent="0.35">
      <c r="D65" s="345" t="s">
        <v>524</v>
      </c>
      <c r="E65" s="346" t="s">
        <v>1323</v>
      </c>
      <c r="F65" s="346" t="s">
        <v>525</v>
      </c>
      <c r="G65" s="347">
        <v>1450.09483</v>
      </c>
      <c r="I65" s="325">
        <v>69</v>
      </c>
      <c r="J65" s="326" t="s">
        <v>504</v>
      </c>
      <c r="K65" s="327" t="s">
        <v>1312</v>
      </c>
      <c r="L65" s="327" t="s">
        <v>505</v>
      </c>
      <c r="M65" s="328">
        <v>1</v>
      </c>
      <c r="N65" s="328">
        <v>1</v>
      </c>
      <c r="O65" s="329">
        <v>1</v>
      </c>
      <c r="P65" s="329">
        <v>1</v>
      </c>
      <c r="BA65" s="345" t="s">
        <v>1313</v>
      </c>
      <c r="BB65" s="346" t="s">
        <v>364</v>
      </c>
      <c r="BC65" s="346" t="s">
        <v>1314</v>
      </c>
      <c r="BD65" s="355">
        <v>1</v>
      </c>
      <c r="BE65" s="355">
        <v>1</v>
      </c>
      <c r="BF65" s="355">
        <v>1</v>
      </c>
      <c r="BG65" s="355">
        <v>1</v>
      </c>
      <c r="BH65" s="356">
        <v>1.4</v>
      </c>
      <c r="BJ65" s="352" t="str">
        <v>Central Africa - North Africa</v>
      </c>
      <c r="BK65" s="327" t="s">
        <v>985</v>
      </c>
      <c r="BL65" s="327" t="s">
        <v>950</v>
      </c>
      <c r="BM65" s="429">
        <v>1.3600070313833992</v>
      </c>
      <c r="BN65" s="429">
        <v>1.3600070313833992</v>
      </c>
      <c r="BO65" s="459">
        <v>1.3600070313833992</v>
      </c>
      <c r="BP65" s="460">
        <v>1.3600070313833992</v>
      </c>
      <c r="BQ65" s="468"/>
      <c r="BR65" s="877">
        <v>1.849619125412286</v>
      </c>
      <c r="BS65" s="74">
        <f t="shared" si="0"/>
        <v>1.3600070313833992</v>
      </c>
      <c r="BT65" s="345" t="s">
        <v>506</v>
      </c>
      <c r="BU65" s="412">
        <v>8.0000000000000002E-3</v>
      </c>
      <c r="BV65" s="412">
        <v>0.01</v>
      </c>
      <c r="BW65" s="414">
        <v>8.0000000000000002E-3</v>
      </c>
      <c r="CF65" s="345">
        <v>60</v>
      </c>
      <c r="CG65" s="353">
        <v>1</v>
      </c>
      <c r="CH65" s="359">
        <v>1</v>
      </c>
      <c r="CI65" s="353">
        <v>1</v>
      </c>
      <c r="CJ65" s="360">
        <v>1</v>
      </c>
      <c r="CS65" s="352" t="s">
        <v>427</v>
      </c>
      <c r="CT65" s="485" t="s">
        <v>427</v>
      </c>
      <c r="CU65" s="355" t="s">
        <v>1305</v>
      </c>
      <c r="DB65" s="513" t="s">
        <v>1362</v>
      </c>
      <c r="DC65" s="823" t="s">
        <v>64</v>
      </c>
      <c r="DD65" s="517" t="s">
        <v>962</v>
      </c>
      <c r="DE65" s="511"/>
      <c r="DF65" s="511"/>
      <c r="DG65" s="511"/>
      <c r="DH65" s="511"/>
      <c r="DI65" s="511"/>
    </row>
    <row r="66" spans="4:113" x14ac:dyDescent="0.35">
      <c r="D66" s="345" t="s">
        <v>529</v>
      </c>
      <c r="E66" s="346" t="s">
        <v>1327</v>
      </c>
      <c r="F66" s="346" t="s">
        <v>530</v>
      </c>
      <c r="G66" s="347">
        <v>46490.267359999998</v>
      </c>
      <c r="I66" s="325">
        <v>70</v>
      </c>
      <c r="J66" s="326" t="s">
        <v>504</v>
      </c>
      <c r="K66" s="327" t="s">
        <v>1315</v>
      </c>
      <c r="L66" s="327" t="s">
        <v>509</v>
      </c>
      <c r="M66" s="328">
        <v>1</v>
      </c>
      <c r="N66" s="328">
        <v>1</v>
      </c>
      <c r="O66" s="329">
        <v>1</v>
      </c>
      <c r="P66" s="329">
        <v>1</v>
      </c>
      <c r="BA66" s="345" t="s">
        <v>1316</v>
      </c>
      <c r="BB66" s="346" t="s">
        <v>510</v>
      </c>
      <c r="BC66" s="346" t="s">
        <v>1317</v>
      </c>
      <c r="BD66" s="355">
        <v>1</v>
      </c>
      <c r="BE66" s="355">
        <v>1</v>
      </c>
      <c r="BF66" s="355">
        <v>1</v>
      </c>
      <c r="BG66" s="355">
        <v>1</v>
      </c>
      <c r="BH66" s="356">
        <v>1.3</v>
      </c>
      <c r="BJ66" s="352" t="str">
        <v>Central Africa - East Africa</v>
      </c>
      <c r="BK66" s="327" t="s">
        <v>985</v>
      </c>
      <c r="BL66" s="327" t="s">
        <v>960</v>
      </c>
      <c r="BM66" s="429">
        <v>1.3600070313833992</v>
      </c>
      <c r="BN66" s="429">
        <v>1.3600070313833992</v>
      </c>
      <c r="BO66" s="459">
        <v>1.3600070313833992</v>
      </c>
      <c r="BP66" s="460">
        <v>1.3600070313833992</v>
      </c>
      <c r="BQ66" s="468"/>
      <c r="BR66" s="877">
        <v>1.849619125412286</v>
      </c>
      <c r="BS66" s="74">
        <f t="shared" si="0"/>
        <v>1.3600070313833992</v>
      </c>
      <c r="BT66" s="345" t="s">
        <v>511</v>
      </c>
      <c r="BU66" s="412">
        <v>2E-3</v>
      </c>
      <c r="BV66" s="412">
        <v>4.0000000000000001E-3</v>
      </c>
      <c r="BW66" s="414">
        <v>2E-3</v>
      </c>
      <c r="CF66" s="345">
        <v>61</v>
      </c>
      <c r="CG66" s="353">
        <v>1.0166666666666666</v>
      </c>
      <c r="CH66" s="359">
        <v>1</v>
      </c>
      <c r="CI66" s="353">
        <v>1.0166666666666666</v>
      </c>
      <c r="CJ66" s="360">
        <v>1</v>
      </c>
      <c r="CS66" s="352" t="s">
        <v>235</v>
      </c>
      <c r="CT66" s="485" t="s">
        <v>235</v>
      </c>
      <c r="CU66" s="355" t="s">
        <v>1305</v>
      </c>
    </row>
    <row r="67" spans="4:113" x14ac:dyDescent="0.35">
      <c r="D67" s="345" t="s">
        <v>534</v>
      </c>
      <c r="E67" s="346" t="s">
        <v>1331</v>
      </c>
      <c r="F67" s="346" t="s">
        <v>535</v>
      </c>
      <c r="G67" s="347">
        <v>144.03556</v>
      </c>
      <c r="I67" s="325">
        <v>71</v>
      </c>
      <c r="J67" s="326" t="s">
        <v>504</v>
      </c>
      <c r="K67" s="327" t="s">
        <v>1319</v>
      </c>
      <c r="L67" s="327" t="s">
        <v>514</v>
      </c>
      <c r="M67" s="328">
        <v>1</v>
      </c>
      <c r="N67" s="328">
        <v>1</v>
      </c>
      <c r="O67" s="329">
        <v>1</v>
      </c>
      <c r="P67" s="329">
        <v>1</v>
      </c>
      <c r="BA67" s="345" t="s">
        <v>1320</v>
      </c>
      <c r="BB67" s="346" t="s">
        <v>515</v>
      </c>
      <c r="BC67" s="346" t="s">
        <v>1321</v>
      </c>
      <c r="BD67" s="355">
        <v>1</v>
      </c>
      <c r="BE67" s="355">
        <v>1</v>
      </c>
      <c r="BF67" s="355">
        <v>1</v>
      </c>
      <c r="BG67" s="355">
        <v>1</v>
      </c>
      <c r="BH67" s="356">
        <v>2.7</v>
      </c>
      <c r="BJ67" s="352" t="str">
        <v>Central Africa - South Africa</v>
      </c>
      <c r="BK67" s="327" t="s">
        <v>985</v>
      </c>
      <c r="BL67" s="327" t="s">
        <v>777</v>
      </c>
      <c r="BM67" s="429">
        <v>1.6255193128053771</v>
      </c>
      <c r="BN67" s="429">
        <v>1.6255193128053771</v>
      </c>
      <c r="BO67" s="459">
        <v>1.6255193128053771</v>
      </c>
      <c r="BP67" s="460">
        <v>1.6255193128053771</v>
      </c>
      <c r="BQ67" s="468"/>
      <c r="BR67" s="877">
        <v>2.6423130363032654</v>
      </c>
      <c r="BS67" s="74">
        <f t="shared" si="0"/>
        <v>1.6255193128053771</v>
      </c>
      <c r="BT67" s="345" t="s">
        <v>516</v>
      </c>
      <c r="BU67" s="412">
        <v>3.0000000000000001E-3</v>
      </c>
      <c r="BV67" s="412">
        <v>5.0000000000000001E-3</v>
      </c>
      <c r="BW67" s="414">
        <v>3.0000000000000001E-3</v>
      </c>
      <c r="CF67" s="345">
        <v>62</v>
      </c>
      <c r="CG67" s="353">
        <v>1.0333333333333334</v>
      </c>
      <c r="CH67" s="359">
        <v>1</v>
      </c>
      <c r="CI67" s="353">
        <v>1.0333333333333334</v>
      </c>
      <c r="CJ67" s="360">
        <v>1</v>
      </c>
      <c r="CS67" s="352" t="s">
        <v>1322</v>
      </c>
      <c r="CT67" s="485" t="s">
        <v>376</v>
      </c>
      <c r="CU67" s="355" t="s">
        <v>1305</v>
      </c>
    </row>
    <row r="68" spans="4:113" x14ac:dyDescent="0.35">
      <c r="D68" s="345" t="s">
        <v>542</v>
      </c>
      <c r="E68" s="346" t="s">
        <v>1339</v>
      </c>
      <c r="F68" s="346" t="s">
        <v>543</v>
      </c>
      <c r="G68" s="347">
        <v>174.80456000000001</v>
      </c>
      <c r="I68" s="325">
        <v>72</v>
      </c>
      <c r="J68" s="326" t="s">
        <v>504</v>
      </c>
      <c r="K68" s="327" t="s">
        <v>1324</v>
      </c>
      <c r="L68" s="327" t="s">
        <v>517</v>
      </c>
      <c r="M68" s="328">
        <v>1</v>
      </c>
      <c r="N68" s="328">
        <v>1</v>
      </c>
      <c r="O68" s="329">
        <v>1</v>
      </c>
      <c r="P68" s="329">
        <v>1</v>
      </c>
      <c r="BA68" s="345" t="s">
        <v>1325</v>
      </c>
      <c r="BB68" s="346" t="s">
        <v>518</v>
      </c>
      <c r="BC68" s="346" t="s">
        <v>1326</v>
      </c>
      <c r="BD68" s="355">
        <v>1</v>
      </c>
      <c r="BE68" s="355">
        <v>1</v>
      </c>
      <c r="BF68" s="355">
        <v>1</v>
      </c>
      <c r="BG68" s="355">
        <v>1</v>
      </c>
      <c r="BH68" s="356">
        <v>2.5</v>
      </c>
      <c r="BJ68" s="352" t="str">
        <v>Central Africa - West Africa</v>
      </c>
      <c r="BK68" s="327" t="s">
        <v>985</v>
      </c>
      <c r="BL68" s="327" t="s">
        <v>976</v>
      </c>
      <c r="BM68" s="429">
        <v>1.4077410192316799</v>
      </c>
      <c r="BN68" s="429">
        <v>1.4077410192316799</v>
      </c>
      <c r="BO68" s="459">
        <v>1.4077410192316799</v>
      </c>
      <c r="BP68" s="460">
        <v>1.4077410192316799</v>
      </c>
      <c r="BQ68" s="468"/>
      <c r="BR68" s="877">
        <v>1.981734777227449</v>
      </c>
      <c r="BS68" s="74">
        <f t="shared" si="0"/>
        <v>1.4077410192316799</v>
      </c>
      <c r="BT68" s="345" t="s">
        <v>519</v>
      </c>
      <c r="BU68" s="412">
        <v>3.0000000000000001E-3</v>
      </c>
      <c r="BV68" s="412">
        <v>5.0000000000000001E-3</v>
      </c>
      <c r="BW68" s="414">
        <v>3.0000000000000001E-3</v>
      </c>
      <c r="CF68" s="345">
        <v>63</v>
      </c>
      <c r="CG68" s="353">
        <v>1.05</v>
      </c>
      <c r="CH68" s="359">
        <v>1</v>
      </c>
      <c r="CI68" s="353">
        <v>1.05</v>
      </c>
      <c r="CJ68" s="360">
        <v>1</v>
      </c>
      <c r="CS68" s="352" t="s">
        <v>435</v>
      </c>
      <c r="CT68" s="485" t="s">
        <v>435</v>
      </c>
      <c r="CU68" s="355" t="s">
        <v>1305</v>
      </c>
    </row>
    <row r="69" spans="4:113" x14ac:dyDescent="0.35">
      <c r="D69" s="345" t="s">
        <v>545</v>
      </c>
      <c r="E69" s="346" t="s">
        <v>1344</v>
      </c>
      <c r="F69" s="346" t="s">
        <v>546</v>
      </c>
      <c r="G69" s="347">
        <v>0.78481999999999996</v>
      </c>
      <c r="I69" s="325">
        <v>73</v>
      </c>
      <c r="J69" s="326" t="s">
        <v>504</v>
      </c>
      <c r="K69" s="327" t="s">
        <v>1328</v>
      </c>
      <c r="L69" s="327" t="s">
        <v>522</v>
      </c>
      <c r="M69" s="328">
        <v>1</v>
      </c>
      <c r="N69" s="328">
        <v>1</v>
      </c>
      <c r="O69" s="329">
        <v>1</v>
      </c>
      <c r="P69" s="329">
        <v>1</v>
      </c>
      <c r="BA69" s="345" t="s">
        <v>1329</v>
      </c>
      <c r="BB69" s="346" t="s">
        <v>310</v>
      </c>
      <c r="BC69" s="346" t="s">
        <v>1330</v>
      </c>
      <c r="BD69" s="355">
        <v>1</v>
      </c>
      <c r="BE69" s="355">
        <v>1</v>
      </c>
      <c r="BF69" s="355">
        <v>1</v>
      </c>
      <c r="BG69" s="355">
        <v>1</v>
      </c>
      <c r="BH69" s="356">
        <v>4.5</v>
      </c>
      <c r="BJ69" s="352" t="str">
        <v>Central Africa - Central Africa</v>
      </c>
      <c r="BK69" s="327" t="s">
        <v>985</v>
      </c>
      <c r="BL69" s="327" t="s">
        <v>985</v>
      </c>
      <c r="BM69" s="429">
        <v>1.3355003929257019</v>
      </c>
      <c r="BN69" s="429">
        <v>1.3355003929257019</v>
      </c>
      <c r="BO69" s="459">
        <v>1.3355003929257019</v>
      </c>
      <c r="BP69" s="460">
        <v>1.3355003929257019</v>
      </c>
      <c r="BQ69" s="468"/>
      <c r="BR69" s="877">
        <v>1.7835612995047041</v>
      </c>
      <c r="BS69" s="74">
        <f t="shared" ref="BS69:BS132" si="3">VLOOKUP(RIGHT(BJ69, LEN(BJ69) - FIND(" - ", BJ69) - 2) &amp; " - " &amp; LEFT(BJ69, FIND(" - ", BJ69) -1), \parameter_geoscope_int_int, 7, FALSE)</f>
        <v>1.3355003929257019</v>
      </c>
      <c r="BT69" s="345" t="s">
        <v>523</v>
      </c>
      <c r="BU69" s="412">
        <v>2.5000000000000001E-3</v>
      </c>
      <c r="BV69" s="412">
        <v>4.4999999999999997E-3</v>
      </c>
      <c r="BW69" s="414">
        <v>2.5000000000000001E-3</v>
      </c>
      <c r="CF69" s="345">
        <v>64</v>
      </c>
      <c r="CG69" s="353">
        <v>1.0666666666666667</v>
      </c>
      <c r="CH69" s="359">
        <v>1</v>
      </c>
      <c r="CI69" s="353">
        <v>1.0666666666666667</v>
      </c>
      <c r="CJ69" s="360">
        <v>1</v>
      </c>
      <c r="CS69" s="352" t="s">
        <v>518</v>
      </c>
      <c r="CT69" s="485" t="s">
        <v>518</v>
      </c>
      <c r="CU69" s="355" t="s">
        <v>1305</v>
      </c>
    </row>
    <row r="70" spans="4:113" x14ac:dyDescent="0.35">
      <c r="D70" s="345" t="s">
        <v>169</v>
      </c>
      <c r="E70" s="346" t="s">
        <v>1351</v>
      </c>
      <c r="F70" s="346" t="s">
        <v>170</v>
      </c>
      <c r="G70" s="347">
        <v>164.66889</v>
      </c>
      <c r="I70" s="325">
        <v>74</v>
      </c>
      <c r="J70" s="326" t="s">
        <v>504</v>
      </c>
      <c r="K70" s="327" t="s">
        <v>1332</v>
      </c>
      <c r="L70" s="327" t="s">
        <v>526</v>
      </c>
      <c r="M70" s="328">
        <v>1</v>
      </c>
      <c r="N70" s="328">
        <v>1</v>
      </c>
      <c r="O70" s="329">
        <v>1</v>
      </c>
      <c r="P70" s="329">
        <v>1</v>
      </c>
      <c r="BA70" s="345" t="s">
        <v>1333</v>
      </c>
      <c r="BB70" s="346" t="s">
        <v>527</v>
      </c>
      <c r="BC70" s="346" t="s">
        <v>1334</v>
      </c>
      <c r="BD70" s="355">
        <v>1</v>
      </c>
      <c r="BE70" s="355">
        <v>1</v>
      </c>
      <c r="BF70" s="355">
        <v>1</v>
      </c>
      <c r="BG70" s="355">
        <v>1</v>
      </c>
      <c r="BH70" s="356">
        <v>4.5</v>
      </c>
      <c r="BJ70" s="352" t="str">
        <v>Central Africa - Asia</v>
      </c>
      <c r="BK70" s="327" t="s">
        <v>985</v>
      </c>
      <c r="BL70" s="327" t="s">
        <v>274</v>
      </c>
      <c r="BM70" s="429">
        <v>1.5843602445429201</v>
      </c>
      <c r="BN70" s="429">
        <v>1.5843602445429201</v>
      </c>
      <c r="BO70" s="459">
        <v>1.5843602445429201</v>
      </c>
      <c r="BP70" s="460">
        <v>1.5843602445429201</v>
      </c>
      <c r="BQ70" s="468"/>
      <c r="BR70" s="877">
        <v>2.5101973844881016</v>
      </c>
      <c r="BS70" s="74">
        <f t="shared" si="3"/>
        <v>1.5421030227170098</v>
      </c>
      <c r="BT70" s="345" t="s">
        <v>528</v>
      </c>
      <c r="BU70" s="412">
        <v>2.5000000000000001E-3</v>
      </c>
      <c r="BV70" s="412">
        <v>4.4999999999999997E-3</v>
      </c>
      <c r="BW70" s="414">
        <v>2.5000000000000001E-3</v>
      </c>
      <c r="CF70" s="345">
        <v>65</v>
      </c>
      <c r="CG70" s="353">
        <v>1.0833333333333333</v>
      </c>
      <c r="CH70" s="359">
        <v>1</v>
      </c>
      <c r="CI70" s="353">
        <v>1.0833333333333333</v>
      </c>
      <c r="CJ70" s="360">
        <v>1</v>
      </c>
      <c r="CS70" s="352" t="s">
        <v>541</v>
      </c>
      <c r="CT70" s="485" t="s">
        <v>541</v>
      </c>
      <c r="CU70" s="355" t="s">
        <v>1305</v>
      </c>
    </row>
    <row r="71" spans="4:113" x14ac:dyDescent="0.35">
      <c r="D71" s="345" t="s">
        <v>549</v>
      </c>
      <c r="E71" s="346" t="s">
        <v>1357</v>
      </c>
      <c r="F71" s="346" t="s">
        <v>550</v>
      </c>
      <c r="G71" s="347">
        <v>143.05110999999999</v>
      </c>
      <c r="I71" s="325">
        <v>75</v>
      </c>
      <c r="J71" s="326" t="s">
        <v>504</v>
      </c>
      <c r="K71" s="327" t="s">
        <v>1335</v>
      </c>
      <c r="L71" s="327" t="s">
        <v>531</v>
      </c>
      <c r="M71" s="328">
        <v>1</v>
      </c>
      <c r="N71" s="328">
        <v>1</v>
      </c>
      <c r="O71" s="329">
        <v>1</v>
      </c>
      <c r="P71" s="329">
        <v>1</v>
      </c>
      <c r="BA71" s="345" t="s">
        <v>1336</v>
      </c>
      <c r="BB71" s="346" t="s">
        <v>532</v>
      </c>
      <c r="BC71" s="346" t="s">
        <v>1337</v>
      </c>
      <c r="BD71" s="355">
        <v>1</v>
      </c>
      <c r="BE71" s="355">
        <v>1</v>
      </c>
      <c r="BF71" s="355">
        <v>1</v>
      </c>
      <c r="BG71" s="355">
        <v>1</v>
      </c>
      <c r="BH71" s="356">
        <v>2.5</v>
      </c>
      <c r="BJ71" s="352" t="str">
        <v>Central Africa - SouthEast Asia</v>
      </c>
      <c r="BK71" s="327" t="s">
        <v>985</v>
      </c>
      <c r="BL71" s="327" t="s">
        <v>930</v>
      </c>
      <c r="BM71" s="429">
        <v>1.5843602445429201</v>
      </c>
      <c r="BN71" s="429">
        <v>1.5843602445429201</v>
      </c>
      <c r="BO71" s="459">
        <v>1.5843602445429201</v>
      </c>
      <c r="BP71" s="460">
        <v>1.5843602445429201</v>
      </c>
      <c r="BQ71" s="468"/>
      <c r="BR71" s="877">
        <v>2.5101973844881016</v>
      </c>
      <c r="BS71" s="74">
        <f t="shared" si="3"/>
        <v>1.5843602445429201</v>
      </c>
      <c r="BT71" s="345" t="s">
        <v>533</v>
      </c>
      <c r="BU71" s="412">
        <v>0.01</v>
      </c>
      <c r="BV71" s="412">
        <v>1.2E-2</v>
      </c>
      <c r="BW71" s="414">
        <v>0.01</v>
      </c>
      <c r="CF71" s="345">
        <v>66</v>
      </c>
      <c r="CG71" s="353">
        <v>1.1000000000000001</v>
      </c>
      <c r="CH71" s="359">
        <v>1</v>
      </c>
      <c r="CI71" s="353">
        <v>1.1000000000000001</v>
      </c>
      <c r="CJ71" s="360">
        <v>1</v>
      </c>
      <c r="CS71" s="352" t="s">
        <v>704</v>
      </c>
      <c r="CT71" s="485" t="s">
        <v>704</v>
      </c>
      <c r="CU71" s="355" t="s">
        <v>1305</v>
      </c>
    </row>
    <row r="72" spans="4:113" x14ac:dyDescent="0.35">
      <c r="D72" s="345" t="s">
        <v>553</v>
      </c>
      <c r="E72" s="346" t="s">
        <v>1363</v>
      </c>
      <c r="F72" s="346" t="s">
        <v>554</v>
      </c>
      <c r="G72" s="347">
        <v>96.544030000000006</v>
      </c>
      <c r="I72" s="325">
        <v>77</v>
      </c>
      <c r="J72" s="326" t="s">
        <v>536</v>
      </c>
      <c r="K72" s="327" t="s">
        <v>1340</v>
      </c>
      <c r="L72" s="327" t="s">
        <v>537</v>
      </c>
      <c r="M72" s="328">
        <v>1</v>
      </c>
      <c r="N72" s="328">
        <v>1</v>
      </c>
      <c r="O72" s="329">
        <v>1</v>
      </c>
      <c r="P72" s="329">
        <v>1</v>
      </c>
      <c r="BA72" s="345" t="s">
        <v>1341</v>
      </c>
      <c r="BB72" s="346" t="s">
        <v>538</v>
      </c>
      <c r="BC72" s="346" t="s">
        <v>1342</v>
      </c>
      <c r="BD72" s="355">
        <v>1</v>
      </c>
      <c r="BE72" s="355">
        <v>1</v>
      </c>
      <c r="BF72" s="355">
        <v>1</v>
      </c>
      <c r="BG72" s="355">
        <v>1</v>
      </c>
      <c r="BH72" s="356">
        <v>2.8</v>
      </c>
      <c r="BJ72" s="352" t="str">
        <v>Central Africa - Australia</v>
      </c>
      <c r="BK72" s="327" t="s">
        <v>985</v>
      </c>
      <c r="BL72" s="327" t="s">
        <v>160</v>
      </c>
      <c r="BM72" s="429">
        <v>1.520534086025485</v>
      </c>
      <c r="BN72" s="429">
        <v>1.520534086025485</v>
      </c>
      <c r="BO72" s="459">
        <v>1.520534086025485</v>
      </c>
      <c r="BP72" s="460">
        <v>1.520534086025485</v>
      </c>
      <c r="BQ72" s="468"/>
      <c r="BR72" s="877">
        <v>2.312023906765357</v>
      </c>
      <c r="BS72" s="74">
        <f t="shared" si="3"/>
        <v>1.453908672868627</v>
      </c>
      <c r="BT72" s="375" t="s">
        <v>539</v>
      </c>
      <c r="BU72" s="415">
        <v>1.15E-2</v>
      </c>
      <c r="BV72" s="415">
        <v>1.35E-2</v>
      </c>
      <c r="BW72" s="416">
        <v>1.15E-2</v>
      </c>
      <c r="CF72" s="345">
        <v>67</v>
      </c>
      <c r="CG72" s="353">
        <v>1.1166666666666667</v>
      </c>
      <c r="CH72" s="359">
        <v>1</v>
      </c>
      <c r="CI72" s="353">
        <v>1.1166666666666667</v>
      </c>
      <c r="CJ72" s="360">
        <v>1</v>
      </c>
      <c r="CS72" s="352" t="s">
        <v>719</v>
      </c>
      <c r="CT72" s="485" t="s">
        <v>719</v>
      </c>
      <c r="CU72" s="355" t="s">
        <v>1305</v>
      </c>
    </row>
    <row r="73" spans="4:113" x14ac:dyDescent="0.35">
      <c r="D73" s="345" t="s">
        <v>558</v>
      </c>
      <c r="E73" s="346" t="s">
        <v>1372</v>
      </c>
      <c r="F73" s="346" t="s">
        <v>559</v>
      </c>
      <c r="G73" s="347">
        <v>1571.73667</v>
      </c>
      <c r="I73" s="325">
        <v>78</v>
      </c>
      <c r="J73" s="326" t="s">
        <v>536</v>
      </c>
      <c r="K73" s="327" t="s">
        <v>1345</v>
      </c>
      <c r="L73" s="327" t="s">
        <v>540</v>
      </c>
      <c r="M73" s="328">
        <v>1</v>
      </c>
      <c r="N73" s="328">
        <v>1</v>
      </c>
      <c r="O73" s="329">
        <v>1</v>
      </c>
      <c r="P73" s="329">
        <v>1</v>
      </c>
      <c r="BA73" s="345" t="s">
        <v>1346</v>
      </c>
      <c r="BB73" s="346" t="s">
        <v>541</v>
      </c>
      <c r="BC73" s="346" t="s">
        <v>1347</v>
      </c>
      <c r="BD73" s="355">
        <v>1</v>
      </c>
      <c r="BE73" s="355">
        <v>1</v>
      </c>
      <c r="BF73" s="355">
        <v>1</v>
      </c>
      <c r="BG73" s="355">
        <v>1</v>
      </c>
      <c r="BH73" s="356">
        <v>2.5</v>
      </c>
      <c r="BJ73" s="352" t="str">
        <v>Central Africa - Near East</v>
      </c>
      <c r="BK73" s="327" t="s">
        <v>985</v>
      </c>
      <c r="BL73" s="327" t="s">
        <v>941</v>
      </c>
      <c r="BM73" s="429">
        <v>1.520534086025485</v>
      </c>
      <c r="BN73" s="429">
        <v>1.520534086025485</v>
      </c>
      <c r="BO73" s="459">
        <v>1.520534086025485</v>
      </c>
      <c r="BP73" s="460">
        <v>1.520534086025485</v>
      </c>
      <c r="BQ73" s="468"/>
      <c r="BR73" s="877">
        <v>2.312023906765357</v>
      </c>
      <c r="BS73" s="74">
        <f t="shared" si="3"/>
        <v>1.520534086025485</v>
      </c>
      <c r="CF73" s="345">
        <v>68</v>
      </c>
      <c r="CG73" s="353">
        <v>1.1333333333333333</v>
      </c>
      <c r="CH73" s="359">
        <v>1</v>
      </c>
      <c r="CI73" s="353">
        <v>1.1333333333333333</v>
      </c>
      <c r="CJ73" s="360">
        <v>1</v>
      </c>
      <c r="CS73" s="352" t="s">
        <v>1348</v>
      </c>
      <c r="CT73" s="485" t="s">
        <v>1349</v>
      </c>
      <c r="CU73" s="355" t="s">
        <v>1305</v>
      </c>
    </row>
    <row r="74" spans="4:113" x14ac:dyDescent="0.35">
      <c r="D74" s="345" t="s">
        <v>562</v>
      </c>
      <c r="E74" s="346" t="s">
        <v>1377</v>
      </c>
      <c r="F74" s="346" t="s">
        <v>563</v>
      </c>
      <c r="G74" s="347">
        <v>0.33989999999999998</v>
      </c>
      <c r="I74" s="325">
        <v>79</v>
      </c>
      <c r="J74" s="326" t="s">
        <v>536</v>
      </c>
      <c r="K74" s="327" t="s">
        <v>1352</v>
      </c>
      <c r="L74" s="327" t="s">
        <v>544</v>
      </c>
      <c r="M74" s="328">
        <v>1</v>
      </c>
      <c r="N74" s="328">
        <v>1</v>
      </c>
      <c r="O74" s="329">
        <v>1</v>
      </c>
      <c r="P74" s="329">
        <v>1</v>
      </c>
      <c r="BA74" s="345" t="s">
        <v>1353</v>
      </c>
      <c r="BB74" s="346" t="s">
        <v>371</v>
      </c>
      <c r="BC74" s="346" t="s">
        <v>1354</v>
      </c>
      <c r="BD74" s="355">
        <v>1</v>
      </c>
      <c r="BE74" s="355">
        <v>1</v>
      </c>
      <c r="BF74" s="355">
        <v>1</v>
      </c>
      <c r="BG74" s="355">
        <v>1</v>
      </c>
      <c r="BH74" s="356">
        <v>2.4</v>
      </c>
      <c r="BJ74" s="352" t="str">
        <v>Central Africa - North Europe</v>
      </c>
      <c r="BK74" s="327" t="s">
        <v>985</v>
      </c>
      <c r="BL74" s="327" t="s">
        <v>856</v>
      </c>
      <c r="BM74" s="429">
        <v>1.6153278686847059</v>
      </c>
      <c r="BN74" s="429">
        <v>1.6153278686847059</v>
      </c>
      <c r="BO74" s="459">
        <v>1.6153278686847059</v>
      </c>
      <c r="BP74" s="460">
        <v>1.6153278686847059</v>
      </c>
      <c r="BQ74" s="468"/>
      <c r="BR74" s="877">
        <v>2.6092841233494743</v>
      </c>
      <c r="BS74" s="74">
        <f t="shared" si="3"/>
        <v>1.5313565292638902</v>
      </c>
      <c r="CF74" s="345">
        <v>69</v>
      </c>
      <c r="CG74" s="353">
        <v>1.1499999999999999</v>
      </c>
      <c r="CH74" s="359">
        <v>1</v>
      </c>
      <c r="CI74" s="353">
        <v>1.1499999999999999</v>
      </c>
      <c r="CJ74" s="360">
        <v>1</v>
      </c>
      <c r="CS74" s="352" t="s">
        <v>1355</v>
      </c>
      <c r="CT74" s="485" t="s">
        <v>1355</v>
      </c>
      <c r="CU74" s="355" t="s">
        <v>1305</v>
      </c>
    </row>
    <row r="75" spans="4:113" x14ac:dyDescent="0.35">
      <c r="D75" s="345" t="s">
        <v>566</v>
      </c>
      <c r="E75" s="346" t="s">
        <v>1381</v>
      </c>
      <c r="F75" s="346" t="s">
        <v>567</v>
      </c>
      <c r="G75" s="347">
        <v>0.90751999999999999</v>
      </c>
      <c r="I75" s="325">
        <v>80</v>
      </c>
      <c r="J75" s="326" t="s">
        <v>536</v>
      </c>
      <c r="K75" s="327" t="s">
        <v>1358</v>
      </c>
      <c r="L75" s="327" t="s">
        <v>547</v>
      </c>
      <c r="M75" s="328">
        <v>1</v>
      </c>
      <c r="N75" s="328">
        <v>1</v>
      </c>
      <c r="O75" s="329">
        <v>1</v>
      </c>
      <c r="P75" s="329">
        <v>1</v>
      </c>
      <c r="BA75" s="345" t="s">
        <v>1359</v>
      </c>
      <c r="BB75" s="346" t="s">
        <v>548</v>
      </c>
      <c r="BC75" s="346" t="s">
        <v>1360</v>
      </c>
      <c r="BD75" s="355">
        <v>1</v>
      </c>
      <c r="BE75" s="355">
        <v>1</v>
      </c>
      <c r="BF75" s="355">
        <v>1</v>
      </c>
      <c r="BG75" s="355">
        <v>1</v>
      </c>
      <c r="BH75" s="356">
        <v>1.8</v>
      </c>
      <c r="BJ75" s="352" t="str">
        <v>Central Africa - East Europe</v>
      </c>
      <c r="BK75" s="327" t="s">
        <v>985</v>
      </c>
      <c r="BL75" s="327" t="s">
        <v>869</v>
      </c>
      <c r="BM75" s="429">
        <v>1.7241235935515682</v>
      </c>
      <c r="BN75" s="429">
        <v>1.7241235935515682</v>
      </c>
      <c r="BO75" s="459">
        <v>1.7241235935515682</v>
      </c>
      <c r="BP75" s="460">
        <v>1.7241235935515682</v>
      </c>
      <c r="BQ75" s="468"/>
      <c r="BR75" s="877">
        <v>2.972602165841173</v>
      </c>
      <c r="BS75" s="74">
        <f t="shared" si="3"/>
        <v>1.6457128735629574</v>
      </c>
      <c r="CF75" s="345">
        <v>70</v>
      </c>
      <c r="CG75" s="353">
        <v>1.1666666666666667</v>
      </c>
      <c r="CH75" s="359">
        <v>1</v>
      </c>
      <c r="CI75" s="353">
        <v>1.1666666666666667</v>
      </c>
      <c r="CJ75" s="360">
        <v>1</v>
      </c>
      <c r="CS75" s="352" t="s">
        <v>1361</v>
      </c>
      <c r="CT75" s="485" t="s">
        <v>1361</v>
      </c>
      <c r="CU75" s="355" t="s">
        <v>1305</v>
      </c>
    </row>
    <row r="76" spans="4:113" x14ac:dyDescent="0.35">
      <c r="D76" s="345" t="s">
        <v>570</v>
      </c>
      <c r="E76" s="346" t="s">
        <v>1386</v>
      </c>
      <c r="F76" s="346" t="s">
        <v>571</v>
      </c>
      <c r="G76" s="347">
        <v>574.58222000000001</v>
      </c>
      <c r="I76" s="325">
        <v>81</v>
      </c>
      <c r="J76" s="326" t="s">
        <v>536</v>
      </c>
      <c r="K76" s="327" t="s">
        <v>1364</v>
      </c>
      <c r="L76" s="327" t="s">
        <v>551</v>
      </c>
      <c r="M76" s="328">
        <v>1</v>
      </c>
      <c r="N76" s="328">
        <v>1</v>
      </c>
      <c r="O76" s="329">
        <v>1</v>
      </c>
      <c r="P76" s="329">
        <v>1</v>
      </c>
      <c r="BA76" s="345" t="s">
        <v>1365</v>
      </c>
      <c r="BB76" s="346" t="s">
        <v>552</v>
      </c>
      <c r="BC76" s="346" t="s">
        <v>1366</v>
      </c>
      <c r="BD76" s="355">
        <v>1</v>
      </c>
      <c r="BE76" s="355">
        <v>1</v>
      </c>
      <c r="BF76" s="355">
        <v>1</v>
      </c>
      <c r="BG76" s="355">
        <v>1</v>
      </c>
      <c r="BH76" s="356">
        <v>1.2</v>
      </c>
      <c r="BJ76" s="352" t="str">
        <v>Central Africa - South Europe</v>
      </c>
      <c r="BK76" s="327" t="s">
        <v>985</v>
      </c>
      <c r="BL76" s="327" t="s">
        <v>882</v>
      </c>
      <c r="BM76" s="429">
        <v>1.6457128735629574</v>
      </c>
      <c r="BN76" s="429">
        <v>1.6457128735629574</v>
      </c>
      <c r="BO76" s="459">
        <v>1.6457128735629574</v>
      </c>
      <c r="BP76" s="460">
        <v>1.6457128735629574</v>
      </c>
      <c r="BQ76" s="468"/>
      <c r="BR76" s="877">
        <v>2.7083708622108467</v>
      </c>
      <c r="BS76" s="74">
        <f t="shared" si="3"/>
        <v>1.5633744140737755</v>
      </c>
      <c r="CF76" s="345">
        <v>71</v>
      </c>
      <c r="CG76" s="353">
        <v>1.1833333333333333</v>
      </c>
      <c r="CH76" s="359">
        <v>1</v>
      </c>
      <c r="CI76" s="353">
        <v>1.1833333333333333</v>
      </c>
      <c r="CJ76" s="360">
        <v>1</v>
      </c>
      <c r="CS76" s="352" t="s">
        <v>1367</v>
      </c>
      <c r="CT76" s="485" t="s">
        <v>1367</v>
      </c>
      <c r="CU76" s="355" t="s">
        <v>1305</v>
      </c>
    </row>
    <row r="77" spans="4:113" x14ac:dyDescent="0.35">
      <c r="D77" s="345" t="s">
        <v>573</v>
      </c>
      <c r="E77" s="346" t="s">
        <v>1391</v>
      </c>
      <c r="F77" s="346" t="s">
        <v>574</v>
      </c>
      <c r="G77" s="347">
        <v>23972.19011</v>
      </c>
      <c r="I77" s="325">
        <v>82</v>
      </c>
      <c r="J77" s="326" t="s">
        <v>536</v>
      </c>
      <c r="K77" s="327" t="s">
        <v>1368</v>
      </c>
      <c r="L77" s="327" t="s">
        <v>555</v>
      </c>
      <c r="M77" s="328">
        <v>1</v>
      </c>
      <c r="N77" s="328">
        <v>1</v>
      </c>
      <c r="O77" s="329">
        <v>1</v>
      </c>
      <c r="P77" s="329">
        <v>1</v>
      </c>
      <c r="BA77" s="345" t="s">
        <v>1369</v>
      </c>
      <c r="BB77" s="346" t="s">
        <v>329</v>
      </c>
      <c r="BC77" s="346" t="s">
        <v>1370</v>
      </c>
      <c r="BD77" s="355">
        <v>1</v>
      </c>
      <c r="BE77" s="355">
        <v>1</v>
      </c>
      <c r="BF77" s="355">
        <v>1</v>
      </c>
      <c r="BG77" s="355">
        <v>1</v>
      </c>
      <c r="BH77" s="356">
        <v>3</v>
      </c>
      <c r="BJ77" s="352" t="str">
        <v>Central Africa - West Europe</v>
      </c>
      <c r="BK77" s="327" t="s">
        <v>985</v>
      </c>
      <c r="BL77" s="327" t="s">
        <v>893</v>
      </c>
      <c r="BM77" s="429">
        <v>1.6050717150319744</v>
      </c>
      <c r="BN77" s="429">
        <v>1.6050717150319744</v>
      </c>
      <c r="BO77" s="459">
        <v>1.6050717150319744</v>
      </c>
      <c r="BP77" s="460">
        <v>1.6050717150319744</v>
      </c>
      <c r="BQ77" s="468"/>
      <c r="BR77" s="877">
        <v>2.5762552103956837</v>
      </c>
      <c r="BS77" s="74">
        <f t="shared" si="3"/>
        <v>1.520534086025485</v>
      </c>
      <c r="CF77" s="345">
        <v>72</v>
      </c>
      <c r="CG77" s="353">
        <v>1.2</v>
      </c>
      <c r="CH77" s="359">
        <v>1</v>
      </c>
      <c r="CI77" s="353">
        <v>1.2</v>
      </c>
      <c r="CJ77" s="360">
        <v>1</v>
      </c>
      <c r="CS77" s="352" t="s">
        <v>1371</v>
      </c>
      <c r="CT77" s="485" t="s">
        <v>420</v>
      </c>
      <c r="CU77" s="355" t="s">
        <v>1305</v>
      </c>
    </row>
    <row r="78" spans="4:113" x14ac:dyDescent="0.35">
      <c r="D78" s="345" t="s">
        <v>577</v>
      </c>
      <c r="E78" s="346" t="s">
        <v>1397</v>
      </c>
      <c r="F78" s="346" t="s">
        <v>578</v>
      </c>
      <c r="G78" s="347">
        <v>99119.503830000001</v>
      </c>
      <c r="I78" s="325">
        <v>84</v>
      </c>
      <c r="J78" s="326" t="s">
        <v>556</v>
      </c>
      <c r="K78" s="327" t="s">
        <v>1373</v>
      </c>
      <c r="L78" s="327" t="s">
        <v>557</v>
      </c>
      <c r="M78" s="328">
        <v>1</v>
      </c>
      <c r="N78" s="328">
        <v>1</v>
      </c>
      <c r="O78" s="329">
        <v>1</v>
      </c>
      <c r="P78" s="329">
        <v>1</v>
      </c>
      <c r="BA78" s="345" t="s">
        <v>1374</v>
      </c>
      <c r="BB78" s="346" t="s">
        <v>338</v>
      </c>
      <c r="BC78" s="346" t="s">
        <v>1375</v>
      </c>
      <c r="BD78" s="355">
        <v>1</v>
      </c>
      <c r="BE78" s="355">
        <v>1</v>
      </c>
      <c r="BF78" s="355">
        <v>1</v>
      </c>
      <c r="BG78" s="355">
        <v>1</v>
      </c>
      <c r="BH78" s="356">
        <v>2.8</v>
      </c>
      <c r="BJ78" s="352" t="str">
        <v>Central Africa - North America</v>
      </c>
      <c r="BK78" s="327" t="s">
        <v>985</v>
      </c>
      <c r="BL78" s="327" t="s">
        <v>904</v>
      </c>
      <c r="BM78" s="429">
        <v>1.6255193128053771</v>
      </c>
      <c r="BN78" s="429">
        <v>1.6255193128053771</v>
      </c>
      <c r="BO78" s="459">
        <v>1.6255193128053771</v>
      </c>
      <c r="BP78" s="460">
        <v>1.6255193128053771</v>
      </c>
      <c r="BQ78" s="468"/>
      <c r="BR78" s="877">
        <v>2.6423130363032654</v>
      </c>
      <c r="BS78" s="74">
        <f t="shared" si="3"/>
        <v>1.5421030227170098</v>
      </c>
      <c r="CF78" s="345">
        <v>73</v>
      </c>
      <c r="CG78" s="353">
        <v>1.2166666666666666</v>
      </c>
      <c r="CH78" s="359">
        <v>1</v>
      </c>
      <c r="CI78" s="353">
        <v>1.2166666666666666</v>
      </c>
      <c r="CJ78" s="360">
        <v>1</v>
      </c>
      <c r="CS78" s="352" t="s">
        <v>1376</v>
      </c>
      <c r="CT78" s="485" t="s">
        <v>1376</v>
      </c>
      <c r="CU78" s="355" t="s">
        <v>1305</v>
      </c>
    </row>
    <row r="79" spans="4:113" x14ac:dyDescent="0.35">
      <c r="D79" s="345" t="s">
        <v>581</v>
      </c>
      <c r="E79" s="346" t="s">
        <v>1403</v>
      </c>
      <c r="F79" s="346" t="s">
        <v>582</v>
      </c>
      <c r="G79" s="347">
        <v>330.15453000000002</v>
      </c>
      <c r="I79" s="325">
        <v>85</v>
      </c>
      <c r="J79" s="326" t="s">
        <v>560</v>
      </c>
      <c r="K79" s="327" t="s">
        <v>1378</v>
      </c>
      <c r="L79" s="327" t="s">
        <v>561</v>
      </c>
      <c r="M79" s="328">
        <v>1</v>
      </c>
      <c r="N79" s="328">
        <v>1</v>
      </c>
      <c r="O79" s="329">
        <v>1</v>
      </c>
      <c r="P79" s="329">
        <v>1</v>
      </c>
      <c r="BA79" s="345" t="s">
        <v>1379</v>
      </c>
      <c r="BB79" s="346" t="s">
        <v>344</v>
      </c>
      <c r="BC79" s="346" t="s">
        <v>1380</v>
      </c>
      <c r="BD79" s="355">
        <v>1</v>
      </c>
      <c r="BE79" s="355">
        <v>1</v>
      </c>
      <c r="BF79" s="355">
        <v>1</v>
      </c>
      <c r="BG79" s="355">
        <v>1</v>
      </c>
      <c r="BH79" s="356">
        <v>10</v>
      </c>
      <c r="BJ79" s="352" t="str">
        <v>Central Africa - South America</v>
      </c>
      <c r="BK79" s="327" t="s">
        <v>985</v>
      </c>
      <c r="BL79" s="327" t="s">
        <v>913</v>
      </c>
      <c r="BM79" s="429">
        <v>1.7048590381417439</v>
      </c>
      <c r="BN79" s="429">
        <v>1.7048590381417439</v>
      </c>
      <c r="BO79" s="459">
        <v>1.7048590381417439</v>
      </c>
      <c r="BP79" s="460">
        <v>1.7048590381417439</v>
      </c>
      <c r="BQ79" s="468"/>
      <c r="BR79" s="877">
        <v>2.9065443399335922</v>
      </c>
      <c r="BS79" s="74">
        <f t="shared" si="3"/>
        <v>1.6255193128053771</v>
      </c>
      <c r="CF79" s="345">
        <v>74</v>
      </c>
      <c r="CG79" s="353">
        <v>1.2333333333333334</v>
      </c>
      <c r="CH79" s="359">
        <v>1</v>
      </c>
      <c r="CI79" s="353">
        <v>1.2333333333333334</v>
      </c>
      <c r="CJ79" s="360">
        <v>1</v>
      </c>
      <c r="CS79" s="352" t="s">
        <v>538</v>
      </c>
      <c r="CT79" s="485" t="s">
        <v>538</v>
      </c>
      <c r="CU79" s="355" t="s">
        <v>1305</v>
      </c>
    </row>
    <row r="80" spans="4:113" x14ac:dyDescent="0.35">
      <c r="D80" s="345" t="s">
        <v>585</v>
      </c>
      <c r="E80" s="346" t="s">
        <v>1409</v>
      </c>
      <c r="F80" s="346" t="s">
        <v>586</v>
      </c>
      <c r="G80" s="347">
        <v>218.38283999999999</v>
      </c>
      <c r="I80" s="325">
        <v>86</v>
      </c>
      <c r="J80" s="326" t="s">
        <v>564</v>
      </c>
      <c r="K80" s="327" t="s">
        <v>1382</v>
      </c>
      <c r="L80" s="327" t="s">
        <v>565</v>
      </c>
      <c r="M80" s="328">
        <v>1</v>
      </c>
      <c r="N80" s="328">
        <v>1</v>
      </c>
      <c r="O80" s="329">
        <v>1</v>
      </c>
      <c r="P80" s="329">
        <v>1</v>
      </c>
      <c r="BA80" s="345" t="s">
        <v>1383</v>
      </c>
      <c r="BB80" s="346" t="s">
        <v>350</v>
      </c>
      <c r="BC80" s="346" t="s">
        <v>1384</v>
      </c>
      <c r="BD80" s="355">
        <v>1</v>
      </c>
      <c r="BE80" s="355">
        <v>1</v>
      </c>
      <c r="BF80" s="355">
        <v>1</v>
      </c>
      <c r="BG80" s="355">
        <v>1</v>
      </c>
      <c r="BH80" s="356">
        <v>10</v>
      </c>
      <c r="BJ80" s="352" t="str">
        <v>Asia - North Africa</v>
      </c>
      <c r="BK80" s="327" t="s">
        <v>274</v>
      </c>
      <c r="BL80" s="327" t="s">
        <v>950</v>
      </c>
      <c r="BM80" s="429">
        <v>1.4764512369022533</v>
      </c>
      <c r="BN80" s="429">
        <v>1.4764512369022533</v>
      </c>
      <c r="BO80" s="459">
        <v>1.4764512369022533</v>
      </c>
      <c r="BP80" s="460">
        <v>1.4764512369022533</v>
      </c>
      <c r="BQ80" s="468"/>
      <c r="BR80" s="877">
        <v>2.1799082549501936</v>
      </c>
      <c r="BS80" s="74">
        <f t="shared" si="3"/>
        <v>1.520534086025485</v>
      </c>
      <c r="CF80" s="345">
        <v>75</v>
      </c>
      <c r="CG80" s="353">
        <v>1.25</v>
      </c>
      <c r="CH80" s="359">
        <v>1</v>
      </c>
      <c r="CI80" s="353">
        <v>1.25</v>
      </c>
      <c r="CJ80" s="360">
        <v>1</v>
      </c>
      <c r="CS80" s="352" t="s">
        <v>1385</v>
      </c>
      <c r="CT80" s="485" t="s">
        <v>584</v>
      </c>
      <c r="CU80" s="355" t="s">
        <v>1305</v>
      </c>
    </row>
    <row r="81" spans="4:99" x14ac:dyDescent="0.35">
      <c r="D81" s="345" t="s">
        <v>588</v>
      </c>
      <c r="E81" s="346" t="s">
        <v>1415</v>
      </c>
      <c r="F81" s="346" t="s">
        <v>589</v>
      </c>
      <c r="G81" s="347">
        <v>5.7637099999999997</v>
      </c>
      <c r="I81" s="325">
        <v>87</v>
      </c>
      <c r="J81" s="326" t="s">
        <v>564</v>
      </c>
      <c r="K81" s="327" t="s">
        <v>1387</v>
      </c>
      <c r="L81" s="327" t="s">
        <v>568</v>
      </c>
      <c r="M81" s="328">
        <v>1</v>
      </c>
      <c r="N81" s="328">
        <v>1</v>
      </c>
      <c r="O81" s="329">
        <v>1</v>
      </c>
      <c r="P81" s="329">
        <v>1</v>
      </c>
      <c r="BA81" s="345" t="s">
        <v>1388</v>
      </c>
      <c r="BB81" s="346" t="s">
        <v>569</v>
      </c>
      <c r="BC81" s="346" t="s">
        <v>1389</v>
      </c>
      <c r="BD81" s="355">
        <v>1</v>
      </c>
      <c r="BE81" s="355">
        <v>1</v>
      </c>
      <c r="BF81" s="355">
        <v>1</v>
      </c>
      <c r="BG81" s="355">
        <v>1</v>
      </c>
      <c r="BH81" s="356">
        <v>1</v>
      </c>
      <c r="BJ81" s="352" t="str">
        <v>Asia - East Africa</v>
      </c>
      <c r="BK81" s="327" t="s">
        <v>274</v>
      </c>
      <c r="BL81" s="327" t="s">
        <v>960</v>
      </c>
      <c r="BM81" s="429">
        <v>1.6255193128053771</v>
      </c>
      <c r="BN81" s="429">
        <v>1.6255193128053771</v>
      </c>
      <c r="BO81" s="459">
        <v>1.6255193128053771</v>
      </c>
      <c r="BP81" s="460">
        <v>1.6255193128053771</v>
      </c>
      <c r="BQ81" s="468"/>
      <c r="BR81" s="877">
        <v>2.6423130363032654</v>
      </c>
      <c r="BS81" s="74">
        <f t="shared" si="3"/>
        <v>1.6656616367433181</v>
      </c>
      <c r="CF81" s="345">
        <v>76</v>
      </c>
      <c r="CG81" s="353">
        <v>1.2666666666666666</v>
      </c>
      <c r="CH81" s="359">
        <v>1</v>
      </c>
      <c r="CI81" s="353">
        <v>1.2666666666666666</v>
      </c>
      <c r="CJ81" s="360">
        <v>1</v>
      </c>
      <c r="CS81" s="352" t="s">
        <v>1390</v>
      </c>
      <c r="CT81" s="485" t="s">
        <v>389</v>
      </c>
      <c r="CU81" s="355" t="s">
        <v>1305</v>
      </c>
    </row>
    <row r="82" spans="4:99" x14ac:dyDescent="0.35">
      <c r="D82" s="345" t="s">
        <v>593</v>
      </c>
      <c r="E82" s="346" t="s">
        <v>1421</v>
      </c>
      <c r="F82" s="346" t="s">
        <v>594</v>
      </c>
      <c r="G82" s="347">
        <v>10.479889999999999</v>
      </c>
      <c r="I82" s="325">
        <v>88</v>
      </c>
      <c r="J82" s="326" t="s">
        <v>564</v>
      </c>
      <c r="K82" s="327" t="s">
        <v>1392</v>
      </c>
      <c r="L82" s="327" t="s">
        <v>572</v>
      </c>
      <c r="M82" s="328">
        <v>1</v>
      </c>
      <c r="N82" s="328">
        <v>1</v>
      </c>
      <c r="O82" s="329">
        <v>1</v>
      </c>
      <c r="P82" s="329">
        <v>1</v>
      </c>
      <c r="BA82" s="345" t="s">
        <v>1393</v>
      </c>
      <c r="BB82" s="346" t="s">
        <v>358</v>
      </c>
      <c r="BC82" s="346" t="s">
        <v>1394</v>
      </c>
      <c r="BD82" s="355">
        <v>1</v>
      </c>
      <c r="BE82" s="355">
        <v>1</v>
      </c>
      <c r="BF82" s="355">
        <v>1</v>
      </c>
      <c r="BG82" s="355">
        <v>1</v>
      </c>
      <c r="BH82" s="356">
        <v>1.5</v>
      </c>
      <c r="BJ82" s="352" t="str">
        <v>Asia - South Africa</v>
      </c>
      <c r="BK82" s="327" t="s">
        <v>274</v>
      </c>
      <c r="BL82" s="327" t="s">
        <v>777</v>
      </c>
      <c r="BM82" s="429">
        <v>1.384079821151897</v>
      </c>
      <c r="BN82" s="429">
        <v>1.384079821151897</v>
      </c>
      <c r="BO82" s="459">
        <v>1.384079821151897</v>
      </c>
      <c r="BP82" s="460">
        <v>1.384079821151897</v>
      </c>
      <c r="BQ82" s="468"/>
      <c r="BR82" s="877">
        <v>1.915676951319867</v>
      </c>
      <c r="BS82" s="74">
        <f t="shared" si="3"/>
        <v>1.431011042282704</v>
      </c>
      <c r="CF82" s="345">
        <v>77</v>
      </c>
      <c r="CG82" s="353">
        <v>1.2833333333333334</v>
      </c>
      <c r="CH82" s="359">
        <v>1</v>
      </c>
      <c r="CI82" s="353">
        <v>1.2833333333333334</v>
      </c>
      <c r="CJ82" s="360">
        <v>1</v>
      </c>
      <c r="CS82" s="352" t="s">
        <v>1395</v>
      </c>
      <c r="CT82" s="485" t="s">
        <v>1396</v>
      </c>
      <c r="CU82" s="355" t="s">
        <v>1305</v>
      </c>
    </row>
    <row r="83" spans="4:99" x14ac:dyDescent="0.35">
      <c r="D83" s="345" t="s">
        <v>597</v>
      </c>
      <c r="E83" s="346" t="s">
        <v>1426</v>
      </c>
      <c r="F83" s="346" t="s">
        <v>598</v>
      </c>
      <c r="G83" s="347">
        <v>19.510670000000001</v>
      </c>
      <c r="I83" s="325">
        <v>90</v>
      </c>
      <c r="J83" s="326" t="s">
        <v>575</v>
      </c>
      <c r="K83" s="327" t="s">
        <v>1398</v>
      </c>
      <c r="L83" s="327" t="s">
        <v>576</v>
      </c>
      <c r="M83" s="328">
        <v>1</v>
      </c>
      <c r="N83" s="328">
        <v>1</v>
      </c>
      <c r="O83" s="329">
        <v>1</v>
      </c>
      <c r="P83" s="329">
        <v>1</v>
      </c>
      <c r="BA83" s="345" t="s">
        <v>1399</v>
      </c>
      <c r="BB83" s="346" t="s">
        <v>363</v>
      </c>
      <c r="BC83" s="346" t="s">
        <v>1400</v>
      </c>
      <c r="BD83" s="355">
        <v>1</v>
      </c>
      <c r="BE83" s="355">
        <v>1</v>
      </c>
      <c r="BF83" s="355">
        <v>1</v>
      </c>
      <c r="BG83" s="355">
        <v>1</v>
      </c>
      <c r="BH83" s="356">
        <v>1.2</v>
      </c>
      <c r="BJ83" s="352" t="str">
        <v>Asia - West Africa</v>
      </c>
      <c r="BK83" s="327" t="s">
        <v>274</v>
      </c>
      <c r="BL83" s="327" t="s">
        <v>976</v>
      </c>
      <c r="BM83" s="429">
        <v>1.4764512369022533</v>
      </c>
      <c r="BN83" s="429">
        <v>1.4764512369022533</v>
      </c>
      <c r="BO83" s="459">
        <v>1.4764512369022533</v>
      </c>
      <c r="BP83" s="460">
        <v>1.4764512369022533</v>
      </c>
      <c r="BQ83" s="468"/>
      <c r="BR83" s="877">
        <v>2.1799082549501936</v>
      </c>
      <c r="BS83" s="74">
        <f t="shared" si="3"/>
        <v>1.520534086025485</v>
      </c>
      <c r="CF83" s="345">
        <v>78</v>
      </c>
      <c r="CG83" s="353">
        <v>1.3</v>
      </c>
      <c r="CH83" s="359">
        <v>1</v>
      </c>
      <c r="CI83" s="353">
        <v>1.3</v>
      </c>
      <c r="CJ83" s="360">
        <v>1</v>
      </c>
      <c r="CS83" s="352" t="s">
        <v>1401</v>
      </c>
      <c r="CT83" s="485" t="s">
        <v>1402</v>
      </c>
      <c r="CU83" s="355" t="s">
        <v>1305</v>
      </c>
    </row>
    <row r="84" spans="4:99" x14ac:dyDescent="0.35">
      <c r="D84" s="345" t="s">
        <v>601</v>
      </c>
      <c r="E84" s="346" t="s">
        <v>1431</v>
      </c>
      <c r="F84" s="346" t="s">
        <v>602</v>
      </c>
      <c r="G84" s="347">
        <v>5027.1216299999996</v>
      </c>
      <c r="I84" s="325">
        <v>91</v>
      </c>
      <c r="J84" s="326" t="s">
        <v>575</v>
      </c>
      <c r="K84" s="327" t="s">
        <v>1404</v>
      </c>
      <c r="L84" s="327" t="s">
        <v>579</v>
      </c>
      <c r="M84" s="328">
        <v>1</v>
      </c>
      <c r="N84" s="328">
        <v>1</v>
      </c>
      <c r="O84" s="329">
        <v>1</v>
      </c>
      <c r="P84" s="329">
        <v>1</v>
      </c>
      <c r="BA84" s="345" t="s">
        <v>1405</v>
      </c>
      <c r="BB84" s="346" t="s">
        <v>580</v>
      </c>
      <c r="BC84" s="346" t="s">
        <v>1406</v>
      </c>
      <c r="BD84" s="355">
        <v>1</v>
      </c>
      <c r="BE84" s="355">
        <v>1</v>
      </c>
      <c r="BF84" s="355">
        <v>1</v>
      </c>
      <c r="BG84" s="355">
        <v>1</v>
      </c>
      <c r="BH84" s="356">
        <v>4.5</v>
      </c>
      <c r="BJ84" s="352" t="str">
        <v>Asia - Central Africa</v>
      </c>
      <c r="BK84" s="327" t="s">
        <v>274</v>
      </c>
      <c r="BL84" s="327" t="s">
        <v>985</v>
      </c>
      <c r="BM84" s="429">
        <v>1.5421030227170098</v>
      </c>
      <c r="BN84" s="429">
        <v>1.5421030227170098</v>
      </c>
      <c r="BO84" s="459">
        <v>1.5421030227170098</v>
      </c>
      <c r="BP84" s="460">
        <v>1.5421030227170098</v>
      </c>
      <c r="BQ84" s="468"/>
      <c r="BR84" s="877">
        <v>2.3780817326729387</v>
      </c>
      <c r="BS84" s="74">
        <f t="shared" si="3"/>
        <v>1.5843602445429201</v>
      </c>
      <c r="CF84" s="345">
        <v>79</v>
      </c>
      <c r="CG84" s="353">
        <v>1.3166666666666667</v>
      </c>
      <c r="CH84" s="359">
        <v>1</v>
      </c>
      <c r="CI84" s="353">
        <v>1.3166666666666667</v>
      </c>
      <c r="CJ84" s="360">
        <v>1</v>
      </c>
      <c r="CS84" s="352" t="s">
        <v>1407</v>
      </c>
      <c r="CT84" s="485" t="s">
        <v>1408</v>
      </c>
      <c r="CU84" s="355" t="s">
        <v>1305</v>
      </c>
    </row>
    <row r="85" spans="4:99" x14ac:dyDescent="0.35">
      <c r="D85" s="345" t="s">
        <v>605</v>
      </c>
      <c r="E85" s="346" t="s">
        <v>1436</v>
      </c>
      <c r="F85" s="346" t="s">
        <v>606</v>
      </c>
      <c r="G85" s="347">
        <v>61.587060000000001</v>
      </c>
      <c r="I85" s="325">
        <v>92</v>
      </c>
      <c r="J85" s="326" t="s">
        <v>575</v>
      </c>
      <c r="K85" s="327" t="s">
        <v>1410</v>
      </c>
      <c r="L85" s="327" t="s">
        <v>583</v>
      </c>
      <c r="M85" s="328">
        <v>1</v>
      </c>
      <c r="N85" s="328">
        <v>1</v>
      </c>
      <c r="O85" s="329">
        <v>1</v>
      </c>
      <c r="P85" s="329">
        <v>1</v>
      </c>
      <c r="BA85" s="345" t="s">
        <v>1411</v>
      </c>
      <c r="BB85" s="346" t="s">
        <v>584</v>
      </c>
      <c r="BC85" s="346" t="s">
        <v>1412</v>
      </c>
      <c r="BD85" s="355">
        <v>1</v>
      </c>
      <c r="BE85" s="355">
        <v>1</v>
      </c>
      <c r="BF85" s="355">
        <v>1</v>
      </c>
      <c r="BG85" s="355">
        <v>1</v>
      </c>
      <c r="BH85" s="356">
        <v>2.7</v>
      </c>
      <c r="BJ85" s="352" t="str">
        <v>Asia - Asia</v>
      </c>
      <c r="BK85" s="327" t="s">
        <v>274</v>
      </c>
      <c r="BL85" s="327" t="s">
        <v>274</v>
      </c>
      <c r="BM85" s="429">
        <v>1.1494157290343789</v>
      </c>
      <c r="BN85" s="429">
        <v>1.1494157290343789</v>
      </c>
      <c r="BO85" s="459">
        <v>1.1494157290343789</v>
      </c>
      <c r="BP85" s="460">
        <v>1.1494157290343789</v>
      </c>
      <c r="BQ85" s="468"/>
      <c r="BR85" s="877">
        <v>1.3211565181516329</v>
      </c>
      <c r="BS85" s="74">
        <f t="shared" si="3"/>
        <v>1.1494157290343789</v>
      </c>
      <c r="CF85" s="345">
        <v>80</v>
      </c>
      <c r="CG85" s="353">
        <v>1.3333333333333333</v>
      </c>
      <c r="CH85" s="359">
        <v>1</v>
      </c>
      <c r="CI85" s="353">
        <v>1.3333333333333333</v>
      </c>
      <c r="CJ85" s="360">
        <v>1</v>
      </c>
      <c r="CS85" s="352" t="s">
        <v>1413</v>
      </c>
      <c r="CT85" s="485" t="s">
        <v>1414</v>
      </c>
      <c r="CU85" s="355" t="s">
        <v>1305</v>
      </c>
    </row>
    <row r="86" spans="4:99" x14ac:dyDescent="0.35">
      <c r="D86" s="345" t="s">
        <v>609</v>
      </c>
      <c r="E86" s="346" t="s">
        <v>1441</v>
      </c>
      <c r="F86" s="346" t="s">
        <v>610</v>
      </c>
      <c r="G86" s="347">
        <v>2326.0617099999999</v>
      </c>
      <c r="I86" s="325">
        <v>93</v>
      </c>
      <c r="J86" s="326" t="s">
        <v>575</v>
      </c>
      <c r="K86" s="327" t="s">
        <v>1416</v>
      </c>
      <c r="L86" s="327" t="s">
        <v>587</v>
      </c>
      <c r="M86" s="328">
        <v>1</v>
      </c>
      <c r="N86" s="328">
        <v>1</v>
      </c>
      <c r="O86" s="329">
        <v>1</v>
      </c>
      <c r="P86" s="329">
        <v>1</v>
      </c>
      <c r="BA86" s="345" t="s">
        <v>1417</v>
      </c>
      <c r="BB86" s="346" t="s">
        <v>385</v>
      </c>
      <c r="BC86" s="346" t="s">
        <v>1418</v>
      </c>
      <c r="BD86" s="355">
        <v>1</v>
      </c>
      <c r="BE86" s="355">
        <v>1</v>
      </c>
      <c r="BF86" s="355">
        <v>1</v>
      </c>
      <c r="BG86" s="355">
        <v>1</v>
      </c>
      <c r="BH86" s="356">
        <v>2.2000000000000002</v>
      </c>
      <c r="BJ86" s="352" t="str">
        <v>Asia - SouthEast Asia</v>
      </c>
      <c r="BK86" s="327" t="s">
        <v>274</v>
      </c>
      <c r="BL86" s="327" t="s">
        <v>930</v>
      </c>
      <c r="BM86" s="429">
        <v>1.205517386837202</v>
      </c>
      <c r="BN86" s="429">
        <v>1.205517386837202</v>
      </c>
      <c r="BO86" s="459">
        <v>1.205517386837202</v>
      </c>
      <c r="BP86" s="460">
        <v>1.205517386837202</v>
      </c>
      <c r="BQ86" s="468"/>
      <c r="BR86" s="877">
        <v>1.4532721699667961</v>
      </c>
      <c r="BS86" s="74">
        <f t="shared" si="3"/>
        <v>1.205517386837202</v>
      </c>
      <c r="CF86" s="345">
        <v>81</v>
      </c>
      <c r="CG86" s="353">
        <v>1.35</v>
      </c>
      <c r="CH86" s="359">
        <v>1</v>
      </c>
      <c r="CI86" s="353">
        <v>1.35</v>
      </c>
      <c r="CJ86" s="360">
        <v>1</v>
      </c>
      <c r="CS86" s="352" t="s">
        <v>1419</v>
      </c>
      <c r="CT86" s="485" t="s">
        <v>198</v>
      </c>
      <c r="CU86" s="355" t="s">
        <v>1420</v>
      </c>
    </row>
    <row r="87" spans="4:99" x14ac:dyDescent="0.35">
      <c r="D87" s="345" t="s">
        <v>614</v>
      </c>
      <c r="E87" s="346" t="s">
        <v>1445</v>
      </c>
      <c r="F87" s="346" t="s">
        <v>615</v>
      </c>
      <c r="G87" s="347">
        <v>3899.24611</v>
      </c>
      <c r="I87" s="325">
        <v>94</v>
      </c>
      <c r="J87" s="326" t="s">
        <v>590</v>
      </c>
      <c r="K87" s="327" t="s">
        <v>1422</v>
      </c>
      <c r="L87" s="327" t="s">
        <v>591</v>
      </c>
      <c r="M87" s="328">
        <v>1</v>
      </c>
      <c r="N87" s="328">
        <v>1</v>
      </c>
      <c r="O87" s="329">
        <v>1</v>
      </c>
      <c r="P87" s="329">
        <v>1</v>
      </c>
      <c r="BA87" s="345" t="s">
        <v>1423</v>
      </c>
      <c r="BB87" s="346" t="s">
        <v>592</v>
      </c>
      <c r="BC87" s="346" t="s">
        <v>1424</v>
      </c>
      <c r="BD87" s="355">
        <v>1</v>
      </c>
      <c r="BE87" s="355">
        <v>1</v>
      </c>
      <c r="BF87" s="355">
        <v>1</v>
      </c>
      <c r="BG87" s="355">
        <v>1</v>
      </c>
      <c r="BH87" s="356">
        <v>2.9</v>
      </c>
      <c r="BJ87" s="352" t="str">
        <v>Asia - Australia</v>
      </c>
      <c r="BK87" s="327" t="s">
        <v>274</v>
      </c>
      <c r="BL87" s="327" t="s">
        <v>160</v>
      </c>
      <c r="BM87" s="429">
        <v>1.177800638503484</v>
      </c>
      <c r="BN87" s="429">
        <v>1.177800638503484</v>
      </c>
      <c r="BO87" s="459">
        <v>1.177800638503484</v>
      </c>
      <c r="BP87" s="460">
        <v>1.177800638503484</v>
      </c>
      <c r="BQ87" s="468"/>
      <c r="BR87" s="877">
        <v>1.3872143440592146</v>
      </c>
      <c r="BS87" s="74">
        <f t="shared" si="3"/>
        <v>1.1203118727586756</v>
      </c>
      <c r="CF87" s="345">
        <v>82</v>
      </c>
      <c r="CG87" s="353">
        <v>1.3666666666666667</v>
      </c>
      <c r="CH87" s="359">
        <v>1</v>
      </c>
      <c r="CI87" s="353">
        <v>1.3666666666666667</v>
      </c>
      <c r="CJ87" s="360">
        <v>1</v>
      </c>
      <c r="CS87" s="352" t="s">
        <v>1425</v>
      </c>
      <c r="CT87" s="485" t="s">
        <v>1425</v>
      </c>
      <c r="CU87" s="355" t="s">
        <v>1420</v>
      </c>
    </row>
    <row r="88" spans="4:99" x14ac:dyDescent="0.35">
      <c r="D88" s="345" t="s">
        <v>617</v>
      </c>
      <c r="E88" s="346" t="s">
        <v>1450</v>
      </c>
      <c r="F88" s="346" t="s">
        <v>618</v>
      </c>
      <c r="G88" s="347">
        <v>8.8932000000000002</v>
      </c>
      <c r="I88" s="325">
        <v>95</v>
      </c>
      <c r="J88" s="326" t="s">
        <v>590</v>
      </c>
      <c r="K88" s="327" t="s">
        <v>1427</v>
      </c>
      <c r="L88" s="327" t="s">
        <v>595</v>
      </c>
      <c r="M88" s="328">
        <v>1</v>
      </c>
      <c r="N88" s="328">
        <v>1</v>
      </c>
      <c r="O88" s="329">
        <v>1</v>
      </c>
      <c r="P88" s="329">
        <v>1</v>
      </c>
      <c r="BA88" s="345" t="s">
        <v>1428</v>
      </c>
      <c r="BB88" s="346" t="s">
        <v>596</v>
      </c>
      <c r="BC88" s="346" t="s">
        <v>1429</v>
      </c>
      <c r="BD88" s="355">
        <v>1</v>
      </c>
      <c r="BE88" s="355">
        <v>1</v>
      </c>
      <c r="BF88" s="355">
        <v>1</v>
      </c>
      <c r="BG88" s="355">
        <v>1</v>
      </c>
      <c r="BH88" s="356">
        <v>2.7</v>
      </c>
      <c r="BJ88" s="352" t="str">
        <v>Asia - Near East</v>
      </c>
      <c r="BK88" s="327" t="s">
        <v>274</v>
      </c>
      <c r="BL88" s="327" t="s">
        <v>941</v>
      </c>
      <c r="BM88" s="429">
        <v>1.285085852264175</v>
      </c>
      <c r="BN88" s="429">
        <v>1.285085852264175</v>
      </c>
      <c r="BO88" s="459">
        <v>1.285085852264175</v>
      </c>
      <c r="BP88" s="460">
        <v>1.285085852264175</v>
      </c>
      <c r="BQ88" s="468"/>
      <c r="BR88" s="877">
        <v>1.6514456476895412</v>
      </c>
      <c r="BS88" s="74">
        <f t="shared" si="3"/>
        <v>1.285085852264175</v>
      </c>
      <c r="CF88" s="345">
        <v>83</v>
      </c>
      <c r="CG88" s="353">
        <v>1.3833333333333333</v>
      </c>
      <c r="CH88" s="359">
        <v>1</v>
      </c>
      <c r="CI88" s="353">
        <v>1.3833333333333333</v>
      </c>
      <c r="CJ88" s="360">
        <v>1</v>
      </c>
      <c r="CS88" s="352" t="s">
        <v>1430</v>
      </c>
      <c r="CT88" s="485" t="s">
        <v>256</v>
      </c>
      <c r="CU88" s="355" t="s">
        <v>1420</v>
      </c>
    </row>
    <row r="89" spans="4:99" x14ac:dyDescent="0.35">
      <c r="D89" s="345" t="s">
        <v>620</v>
      </c>
      <c r="E89" s="346" t="s">
        <v>1453</v>
      </c>
      <c r="F89" s="346" t="s">
        <v>621</v>
      </c>
      <c r="G89" s="347">
        <v>43.991810000000001</v>
      </c>
      <c r="I89" s="325">
        <v>96</v>
      </c>
      <c r="J89" s="326" t="s">
        <v>590</v>
      </c>
      <c r="K89" s="327" t="s">
        <v>1432</v>
      </c>
      <c r="L89" s="327" t="s">
        <v>599</v>
      </c>
      <c r="M89" s="328">
        <v>1</v>
      </c>
      <c r="N89" s="328">
        <v>1</v>
      </c>
      <c r="O89" s="329">
        <v>1</v>
      </c>
      <c r="P89" s="329">
        <v>1</v>
      </c>
      <c r="BA89" s="345" t="s">
        <v>1433</v>
      </c>
      <c r="BB89" s="346" t="s">
        <v>600</v>
      </c>
      <c r="BC89" s="346" t="s">
        <v>1434</v>
      </c>
      <c r="BD89" s="355">
        <v>1</v>
      </c>
      <c r="BE89" s="355">
        <v>1</v>
      </c>
      <c r="BF89" s="355">
        <v>1</v>
      </c>
      <c r="BG89" s="355">
        <v>1</v>
      </c>
      <c r="BH89" s="356">
        <v>3</v>
      </c>
      <c r="BJ89" s="352" t="str">
        <v>Asia - North Europe</v>
      </c>
      <c r="BK89" s="327" t="s">
        <v>274</v>
      </c>
      <c r="BL89" s="327" t="s">
        <v>856</v>
      </c>
      <c r="BM89" s="429">
        <v>1.2978730911161274</v>
      </c>
      <c r="BN89" s="429">
        <v>1.2978730911161274</v>
      </c>
      <c r="BO89" s="459">
        <v>1.2978730911161274</v>
      </c>
      <c r="BP89" s="460">
        <v>1.2978730911161274</v>
      </c>
      <c r="BQ89" s="468"/>
      <c r="BR89" s="877">
        <v>1.6844745606433313</v>
      </c>
      <c r="BS89" s="74">
        <f t="shared" si="3"/>
        <v>1.2721700887600487</v>
      </c>
      <c r="CF89" s="345">
        <v>84</v>
      </c>
      <c r="CG89" s="353">
        <v>1.4</v>
      </c>
      <c r="CH89" s="359">
        <v>1</v>
      </c>
      <c r="CI89" s="353">
        <v>1.4</v>
      </c>
      <c r="CJ89" s="360">
        <v>1</v>
      </c>
      <c r="CS89" s="352" t="s">
        <v>1435</v>
      </c>
      <c r="CT89" s="485" t="s">
        <v>1435</v>
      </c>
      <c r="CU89" s="355" t="s">
        <v>1420</v>
      </c>
    </row>
    <row r="90" spans="4:99" x14ac:dyDescent="0.35">
      <c r="D90" s="345" t="s">
        <v>623</v>
      </c>
      <c r="E90" s="346" t="s">
        <v>1458</v>
      </c>
      <c r="F90" s="346" t="s">
        <v>624</v>
      </c>
      <c r="G90" s="347">
        <v>50.976080000000003</v>
      </c>
      <c r="I90" s="325">
        <v>97</v>
      </c>
      <c r="J90" s="326" t="s">
        <v>603</v>
      </c>
      <c r="K90" s="327" t="s">
        <v>1437</v>
      </c>
      <c r="L90" s="327" t="s">
        <v>604</v>
      </c>
      <c r="M90" s="328">
        <v>1</v>
      </c>
      <c r="N90" s="328">
        <v>1</v>
      </c>
      <c r="O90" s="329">
        <v>1</v>
      </c>
      <c r="P90" s="329">
        <v>1</v>
      </c>
      <c r="BA90" s="345" t="s">
        <v>1438</v>
      </c>
      <c r="BB90" s="346" t="s">
        <v>370</v>
      </c>
      <c r="BC90" s="346" t="s">
        <v>1439</v>
      </c>
      <c r="BD90" s="355">
        <v>1</v>
      </c>
      <c r="BE90" s="355">
        <v>1</v>
      </c>
      <c r="BF90" s="355">
        <v>1</v>
      </c>
      <c r="BG90" s="355">
        <v>1</v>
      </c>
      <c r="BH90" s="356">
        <v>3.5</v>
      </c>
      <c r="BJ90" s="352" t="str">
        <v>Asia - East Europe</v>
      </c>
      <c r="BK90" s="327" t="s">
        <v>274</v>
      </c>
      <c r="BL90" s="327" t="s">
        <v>869</v>
      </c>
      <c r="BM90" s="429">
        <v>1.384079821151897</v>
      </c>
      <c r="BN90" s="429">
        <v>1.384079821151897</v>
      </c>
      <c r="BO90" s="459">
        <v>1.384079821151897</v>
      </c>
      <c r="BP90" s="460">
        <v>1.384079821151897</v>
      </c>
      <c r="BQ90" s="468"/>
      <c r="BR90" s="877">
        <v>1.915676951319867</v>
      </c>
      <c r="BS90" s="74">
        <f t="shared" si="3"/>
        <v>1.3600070313833992</v>
      </c>
      <c r="CF90" s="345">
        <v>85</v>
      </c>
      <c r="CG90" s="353">
        <v>1.4166666666666667</v>
      </c>
      <c r="CH90" s="359">
        <v>1</v>
      </c>
      <c r="CI90" s="353">
        <v>1.4166666666666667</v>
      </c>
      <c r="CJ90" s="360">
        <v>1</v>
      </c>
      <c r="CS90" s="352" t="s">
        <v>1440</v>
      </c>
      <c r="CT90" s="485" t="s">
        <v>211</v>
      </c>
      <c r="CU90" s="355" t="s">
        <v>1420</v>
      </c>
    </row>
    <row r="91" spans="4:99" x14ac:dyDescent="0.35">
      <c r="D91" s="345" t="s">
        <v>626</v>
      </c>
      <c r="E91" s="346" t="s">
        <v>1463</v>
      </c>
      <c r="F91" s="346" t="s">
        <v>627</v>
      </c>
      <c r="G91" s="347">
        <v>1920.4283499999999</v>
      </c>
      <c r="I91" s="325">
        <v>98</v>
      </c>
      <c r="J91" s="326" t="s">
        <v>603</v>
      </c>
      <c r="K91" s="327" t="s">
        <v>1442</v>
      </c>
      <c r="L91" s="327" t="s">
        <v>607</v>
      </c>
      <c r="M91" s="328">
        <v>1</v>
      </c>
      <c r="N91" s="328">
        <v>1</v>
      </c>
      <c r="O91" s="329">
        <v>1</v>
      </c>
      <c r="P91" s="329">
        <v>1</v>
      </c>
      <c r="BA91" s="345" t="s">
        <v>1443</v>
      </c>
      <c r="BB91" s="346" t="s">
        <v>608</v>
      </c>
      <c r="BC91" s="346" t="s">
        <v>1444</v>
      </c>
      <c r="BD91" s="355">
        <v>1</v>
      </c>
      <c r="BE91" s="355">
        <v>1</v>
      </c>
      <c r="BF91" s="355">
        <v>1</v>
      </c>
      <c r="BG91" s="355">
        <v>1</v>
      </c>
      <c r="BH91" s="356">
        <v>2.4</v>
      </c>
      <c r="BJ91" s="352" t="str">
        <v>Asia - South Europe</v>
      </c>
      <c r="BK91" s="327" t="s">
        <v>274</v>
      </c>
      <c r="BL91" s="327" t="s">
        <v>882</v>
      </c>
      <c r="BM91" s="429">
        <v>1.3355003929257019</v>
      </c>
      <c r="BN91" s="429">
        <v>1.3355003929257019</v>
      </c>
      <c r="BO91" s="459">
        <v>1.3355003929257019</v>
      </c>
      <c r="BP91" s="460">
        <v>1.3355003929257019</v>
      </c>
      <c r="BQ91" s="468"/>
      <c r="BR91" s="877">
        <v>1.7835612995047041</v>
      </c>
      <c r="BS91" s="74">
        <f t="shared" si="3"/>
        <v>1.3105355674674086</v>
      </c>
      <c r="CF91" s="345">
        <v>86</v>
      </c>
      <c r="CG91" s="353">
        <v>1.4333333333333333</v>
      </c>
      <c r="CH91" s="359">
        <v>1</v>
      </c>
      <c r="CI91" s="353">
        <v>1.4333333333333333</v>
      </c>
      <c r="CJ91" s="360">
        <v>1</v>
      </c>
      <c r="CS91" s="352" t="s">
        <v>343</v>
      </c>
      <c r="CT91" s="485" t="s">
        <v>343</v>
      </c>
      <c r="CU91" s="355" t="s">
        <v>1420</v>
      </c>
    </row>
    <row r="92" spans="4:99" x14ac:dyDescent="0.35">
      <c r="D92" s="345" t="s">
        <v>628</v>
      </c>
      <c r="E92" s="346" t="s">
        <v>1466</v>
      </c>
      <c r="F92" s="346" t="s">
        <v>629</v>
      </c>
      <c r="G92" s="347">
        <v>21.729030000000002</v>
      </c>
      <c r="I92" s="325">
        <v>99</v>
      </c>
      <c r="J92" s="326" t="s">
        <v>611</v>
      </c>
      <c r="K92" s="327" t="s">
        <v>1446</v>
      </c>
      <c r="L92" s="327" t="s">
        <v>612</v>
      </c>
      <c r="M92" s="328">
        <v>1</v>
      </c>
      <c r="N92" s="328">
        <v>1</v>
      </c>
      <c r="O92" s="329">
        <v>1</v>
      </c>
      <c r="P92" s="329">
        <v>1</v>
      </c>
      <c r="BA92" s="345" t="s">
        <v>1447</v>
      </c>
      <c r="BB92" s="346" t="s">
        <v>613</v>
      </c>
      <c r="BC92" s="346" t="s">
        <v>1448</v>
      </c>
      <c r="BD92" s="355">
        <v>1</v>
      </c>
      <c r="BE92" s="355">
        <v>1</v>
      </c>
      <c r="BF92" s="355">
        <v>1</v>
      </c>
      <c r="BG92" s="355">
        <v>1</v>
      </c>
      <c r="BH92" s="356">
        <v>1.8</v>
      </c>
      <c r="BJ92" s="352" t="str">
        <v>Asia - West Europe</v>
      </c>
      <c r="BK92" s="327" t="s">
        <v>274</v>
      </c>
      <c r="BL92" s="327" t="s">
        <v>893</v>
      </c>
      <c r="BM92" s="429">
        <v>1.285085852264175</v>
      </c>
      <c r="BN92" s="429">
        <v>1.285085852264175</v>
      </c>
      <c r="BO92" s="459">
        <v>1.285085852264175</v>
      </c>
      <c r="BP92" s="460">
        <v>1.285085852264175</v>
      </c>
      <c r="BQ92" s="468"/>
      <c r="BR92" s="877">
        <v>1.6514456476895412</v>
      </c>
      <c r="BS92" s="74">
        <f t="shared" si="3"/>
        <v>1.2591218454867501</v>
      </c>
      <c r="CF92" s="345">
        <v>87</v>
      </c>
      <c r="CG92" s="353">
        <v>1.45</v>
      </c>
      <c r="CH92" s="359">
        <v>1</v>
      </c>
      <c r="CI92" s="353">
        <v>1.45</v>
      </c>
      <c r="CJ92" s="360">
        <v>1</v>
      </c>
      <c r="CS92" s="352" t="s">
        <v>1449</v>
      </c>
      <c r="CT92" s="485" t="s">
        <v>1449</v>
      </c>
      <c r="CU92" s="355" t="s">
        <v>1420</v>
      </c>
    </row>
    <row r="93" spans="4:99" x14ac:dyDescent="0.35">
      <c r="D93" s="345" t="s">
        <v>631</v>
      </c>
      <c r="E93" s="346" t="s">
        <v>1470</v>
      </c>
      <c r="F93" s="346" t="s">
        <v>632</v>
      </c>
      <c r="G93" s="347">
        <v>4.8030400000000002</v>
      </c>
      <c r="I93" s="369">
        <v>0</v>
      </c>
      <c r="J93" s="373"/>
      <c r="K93" s="370" t="s">
        <v>330</v>
      </c>
      <c r="L93" s="370" t="s">
        <v>330</v>
      </c>
      <c r="M93" s="374">
        <v>1</v>
      </c>
      <c r="N93" s="374">
        <v>1</v>
      </c>
      <c r="O93" s="363">
        <v>1</v>
      </c>
      <c r="P93" s="363">
        <v>1</v>
      </c>
      <c r="BA93" s="345" t="s">
        <v>1451</v>
      </c>
      <c r="BB93" s="346" t="s">
        <v>616</v>
      </c>
      <c r="BC93" s="346" t="s">
        <v>1452</v>
      </c>
      <c r="BD93" s="355">
        <v>1</v>
      </c>
      <c r="BE93" s="355">
        <v>1</v>
      </c>
      <c r="BF93" s="355">
        <v>1</v>
      </c>
      <c r="BG93" s="355">
        <v>1</v>
      </c>
      <c r="BH93" s="356">
        <v>3</v>
      </c>
      <c r="BJ93" s="352" t="str">
        <v>Asia - North America</v>
      </c>
      <c r="BK93" s="327" t="s">
        <v>274</v>
      </c>
      <c r="BL93" s="327" t="s">
        <v>904</v>
      </c>
      <c r="BM93" s="429">
        <v>1.3105355674674086</v>
      </c>
      <c r="BN93" s="429">
        <v>1.3105355674674086</v>
      </c>
      <c r="BO93" s="459">
        <v>1.3105355674674086</v>
      </c>
      <c r="BP93" s="460">
        <v>1.3105355674674086</v>
      </c>
      <c r="BQ93" s="468"/>
      <c r="BR93" s="877">
        <v>1.7175034735971226</v>
      </c>
      <c r="BS93" s="74">
        <f t="shared" si="3"/>
        <v>1.285085852264175</v>
      </c>
      <c r="CF93" s="345">
        <v>88</v>
      </c>
      <c r="CG93" s="353">
        <v>1.4666666666666666</v>
      </c>
      <c r="CH93" s="359">
        <v>1</v>
      </c>
      <c r="CI93" s="353">
        <v>1.4666666666666666</v>
      </c>
      <c r="CJ93" s="360">
        <v>1</v>
      </c>
      <c r="CS93" s="352" t="s">
        <v>425</v>
      </c>
      <c r="CT93" s="485" t="s">
        <v>425</v>
      </c>
      <c r="CU93" s="355" t="s">
        <v>1420</v>
      </c>
    </row>
    <row r="94" spans="4:99" x14ac:dyDescent="0.35">
      <c r="D94" s="345" t="s">
        <v>634</v>
      </c>
      <c r="E94" s="346" t="s">
        <v>1473</v>
      </c>
      <c r="F94" s="346" t="s">
        <v>635</v>
      </c>
      <c r="G94" s="347">
        <v>70.634720000000002</v>
      </c>
      <c r="BA94" s="345" t="s">
        <v>1454</v>
      </c>
      <c r="BB94" s="346" t="s">
        <v>619</v>
      </c>
      <c r="BC94" s="346" t="s">
        <v>1455</v>
      </c>
      <c r="BD94" s="355">
        <v>1</v>
      </c>
      <c r="BE94" s="355">
        <v>1</v>
      </c>
      <c r="BF94" s="355">
        <v>1</v>
      </c>
      <c r="BG94" s="355">
        <v>1</v>
      </c>
      <c r="BH94" s="356">
        <v>3</v>
      </c>
      <c r="BJ94" s="352" t="str">
        <v>Asia - South America</v>
      </c>
      <c r="BK94" s="327" t="s">
        <v>274</v>
      </c>
      <c r="BL94" s="327" t="s">
        <v>913</v>
      </c>
      <c r="BM94" s="429">
        <v>1.4077410192316799</v>
      </c>
      <c r="BN94" s="429">
        <v>1.4077410192316799</v>
      </c>
      <c r="BO94" s="459">
        <v>1.4077410192316799</v>
      </c>
      <c r="BP94" s="460">
        <v>1.4077410192316799</v>
      </c>
      <c r="BQ94" s="468"/>
      <c r="BR94" s="877">
        <v>1.981734777227449</v>
      </c>
      <c r="BS94" s="74">
        <f t="shared" si="3"/>
        <v>1.384079821151897</v>
      </c>
      <c r="CF94" s="345">
        <v>89</v>
      </c>
      <c r="CG94" s="353">
        <v>1.4833333333333334</v>
      </c>
      <c r="CH94" s="359">
        <v>1</v>
      </c>
      <c r="CI94" s="353">
        <v>1.4833333333333334</v>
      </c>
      <c r="CJ94" s="360">
        <v>1</v>
      </c>
      <c r="CS94" s="352" t="s">
        <v>1456</v>
      </c>
      <c r="CT94" s="485" t="s">
        <v>1457</v>
      </c>
      <c r="CU94" s="355" t="s">
        <v>1420</v>
      </c>
    </row>
    <row r="95" spans="4:99" x14ac:dyDescent="0.35">
      <c r="D95" s="345" t="s">
        <v>636</v>
      </c>
      <c r="E95" s="346" t="s">
        <v>1476</v>
      </c>
      <c r="F95" s="346" t="s">
        <v>637</v>
      </c>
      <c r="G95" s="347">
        <v>1706.3435199999999</v>
      </c>
      <c r="BA95" s="345" t="s">
        <v>1459</v>
      </c>
      <c r="BB95" s="346" t="s">
        <v>622</v>
      </c>
      <c r="BC95" s="346" t="s">
        <v>1460</v>
      </c>
      <c r="BD95" s="355">
        <v>1</v>
      </c>
      <c r="BE95" s="355">
        <v>1</v>
      </c>
      <c r="BF95" s="355">
        <v>1</v>
      </c>
      <c r="BG95" s="355">
        <v>1</v>
      </c>
      <c r="BH95" s="356">
        <v>3.2</v>
      </c>
      <c r="BJ95" s="352" t="str">
        <v>SouthEast Asia - North Africa</v>
      </c>
      <c r="BK95" s="327" t="s">
        <v>930</v>
      </c>
      <c r="BL95" s="327" t="s">
        <v>950</v>
      </c>
      <c r="BM95" s="429">
        <v>1.520534086025485</v>
      </c>
      <c r="BN95" s="429">
        <v>1.520534086025485</v>
      </c>
      <c r="BO95" s="459">
        <v>1.520534086025485</v>
      </c>
      <c r="BP95" s="460">
        <v>1.520534086025485</v>
      </c>
      <c r="BQ95" s="468"/>
      <c r="BR95" s="877">
        <v>2.312023906765357</v>
      </c>
      <c r="BS95" s="74">
        <f t="shared" si="3"/>
        <v>1.520534086025485</v>
      </c>
      <c r="CF95" s="375">
        <v>90</v>
      </c>
      <c r="CG95" s="350">
        <v>1.5</v>
      </c>
      <c r="CH95" s="376">
        <v>1</v>
      </c>
      <c r="CI95" s="350">
        <v>1.5</v>
      </c>
      <c r="CJ95" s="377">
        <v>1</v>
      </c>
      <c r="CS95" s="352" t="s">
        <v>1461</v>
      </c>
      <c r="CT95" s="485" t="s">
        <v>1462</v>
      </c>
      <c r="CU95" s="355" t="s">
        <v>1420</v>
      </c>
    </row>
    <row r="96" spans="4:99" x14ac:dyDescent="0.35">
      <c r="D96" s="345" t="s">
        <v>639</v>
      </c>
      <c r="E96" s="346" t="s">
        <v>1481</v>
      </c>
      <c r="F96" s="346" t="s">
        <v>640</v>
      </c>
      <c r="G96" s="347">
        <v>40.75318</v>
      </c>
      <c r="BA96" s="345" t="s">
        <v>1464</v>
      </c>
      <c r="BB96" s="346" t="s">
        <v>625</v>
      </c>
      <c r="BC96" s="346" t="s">
        <v>1465</v>
      </c>
      <c r="BD96" s="355">
        <v>1</v>
      </c>
      <c r="BE96" s="355">
        <v>1</v>
      </c>
      <c r="BF96" s="355">
        <v>1</v>
      </c>
      <c r="BG96" s="355">
        <v>1</v>
      </c>
      <c r="BH96" s="356">
        <v>2</v>
      </c>
      <c r="BJ96" s="352" t="str">
        <v>SouthEast Asia - East Africa</v>
      </c>
      <c r="BK96" s="327" t="s">
        <v>930</v>
      </c>
      <c r="BL96" s="327" t="s">
        <v>960</v>
      </c>
      <c r="BM96" s="429">
        <v>1.6656616367433181</v>
      </c>
      <c r="BN96" s="429">
        <v>1.6656616367433181</v>
      </c>
      <c r="BO96" s="459">
        <v>1.6656616367433181</v>
      </c>
      <c r="BP96" s="460">
        <v>1.6656616367433181</v>
      </c>
      <c r="BQ96" s="468"/>
      <c r="BR96" s="877">
        <v>2.7744286881184297</v>
      </c>
      <c r="BS96" s="74">
        <f t="shared" si="3"/>
        <v>1.6656616367433181</v>
      </c>
      <c r="CS96" s="352" t="s">
        <v>532</v>
      </c>
      <c r="CT96" s="485" t="s">
        <v>532</v>
      </c>
      <c r="CU96" s="355" t="s">
        <v>1420</v>
      </c>
    </row>
    <row r="97" spans="4:99" x14ac:dyDescent="0.35">
      <c r="D97" s="345" t="s">
        <v>642</v>
      </c>
      <c r="E97" s="346" t="s">
        <v>1484</v>
      </c>
      <c r="F97" s="346" t="s">
        <v>643</v>
      </c>
      <c r="G97" s="347">
        <v>11.708920000000001</v>
      </c>
      <c r="BA97" s="345" t="s">
        <v>1467</v>
      </c>
      <c r="BB97" s="346" t="s">
        <v>377</v>
      </c>
      <c r="BC97" s="346" t="s">
        <v>1468</v>
      </c>
      <c r="BD97" s="355">
        <v>1</v>
      </c>
      <c r="BE97" s="355">
        <v>1</v>
      </c>
      <c r="BF97" s="355">
        <v>1</v>
      </c>
      <c r="BG97" s="355">
        <v>1</v>
      </c>
      <c r="BH97" s="356">
        <v>3.5</v>
      </c>
      <c r="BJ97" s="352" t="str">
        <v>SouthEast Asia - South Africa</v>
      </c>
      <c r="BK97" s="327" t="s">
        <v>930</v>
      </c>
      <c r="BL97" s="327" t="s">
        <v>777</v>
      </c>
      <c r="BM97" s="429">
        <v>1.4764512369022533</v>
      </c>
      <c r="BN97" s="429">
        <v>1.4764512369022533</v>
      </c>
      <c r="BO97" s="459">
        <v>1.4764512369022533</v>
      </c>
      <c r="BP97" s="460">
        <v>1.4764512369022533</v>
      </c>
      <c r="BQ97" s="468"/>
      <c r="BR97" s="877">
        <v>2.1799082549501936</v>
      </c>
      <c r="BS97" s="74">
        <f t="shared" si="3"/>
        <v>1.431011042282704</v>
      </c>
      <c r="CS97" s="352" t="s">
        <v>1469</v>
      </c>
      <c r="CT97" s="485" t="s">
        <v>257</v>
      </c>
      <c r="CU97" s="355" t="s">
        <v>1420</v>
      </c>
    </row>
    <row r="98" spans="4:99" x14ac:dyDescent="0.35">
      <c r="D98" s="345" t="s">
        <v>645</v>
      </c>
      <c r="E98" s="346" t="s">
        <v>1487</v>
      </c>
      <c r="F98" s="346" t="s">
        <v>646</v>
      </c>
      <c r="G98" s="347">
        <v>152.83962</v>
      </c>
      <c r="BA98" s="345" t="s">
        <v>1471</v>
      </c>
      <c r="BB98" s="346" t="s">
        <v>630</v>
      </c>
      <c r="BC98" s="346" t="s">
        <v>1472</v>
      </c>
      <c r="BD98" s="355">
        <v>1</v>
      </c>
      <c r="BE98" s="355">
        <v>1</v>
      </c>
      <c r="BF98" s="355">
        <v>1</v>
      </c>
      <c r="BG98" s="355">
        <v>1</v>
      </c>
      <c r="BH98" s="356">
        <v>4.5</v>
      </c>
      <c r="BJ98" s="352" t="str">
        <v>SouthEast Asia - West Africa</v>
      </c>
      <c r="BK98" s="327" t="s">
        <v>930</v>
      </c>
      <c r="BL98" s="327" t="s">
        <v>976</v>
      </c>
      <c r="BM98" s="429">
        <v>1.5633744140737755</v>
      </c>
      <c r="BN98" s="429">
        <v>1.5633744140737755</v>
      </c>
      <c r="BO98" s="459">
        <v>1.5633744140737755</v>
      </c>
      <c r="BP98" s="460">
        <v>1.5633744140737755</v>
      </c>
      <c r="BQ98" s="468"/>
      <c r="BR98" s="877">
        <v>2.4441395585805208</v>
      </c>
      <c r="BS98" s="74">
        <f t="shared" si="3"/>
        <v>1.520534086025485</v>
      </c>
      <c r="CS98" s="352" t="s">
        <v>725</v>
      </c>
      <c r="CT98" s="485" t="s">
        <v>725</v>
      </c>
      <c r="CU98" s="355" t="s">
        <v>1420</v>
      </c>
    </row>
    <row r="99" spans="4:99" x14ac:dyDescent="0.35">
      <c r="D99" s="345" t="s">
        <v>648</v>
      </c>
      <c r="E99" s="346" t="s">
        <v>1490</v>
      </c>
      <c r="F99" s="346" t="s">
        <v>649</v>
      </c>
      <c r="G99" s="347">
        <v>1.90259</v>
      </c>
      <c r="BA99" s="345" t="s">
        <v>1474</v>
      </c>
      <c r="BB99" s="346" t="s">
        <v>633</v>
      </c>
      <c r="BC99" s="346" t="s">
        <v>1475</v>
      </c>
      <c r="BD99" s="355">
        <v>1</v>
      </c>
      <c r="BE99" s="355">
        <v>1</v>
      </c>
      <c r="BF99" s="355">
        <v>1</v>
      </c>
      <c r="BG99" s="355">
        <v>1</v>
      </c>
      <c r="BH99" s="356">
        <v>4.5</v>
      </c>
      <c r="BJ99" s="352" t="str">
        <v>SouthEast Asia - Central Africa</v>
      </c>
      <c r="BK99" s="327" t="s">
        <v>930</v>
      </c>
      <c r="BL99" s="327" t="s">
        <v>985</v>
      </c>
      <c r="BM99" s="429">
        <v>1.5843602445429201</v>
      </c>
      <c r="BN99" s="429">
        <v>1.5843602445429201</v>
      </c>
      <c r="BO99" s="459">
        <v>1.5843602445429201</v>
      </c>
      <c r="BP99" s="460">
        <v>1.5843602445429201</v>
      </c>
      <c r="BQ99" s="468"/>
      <c r="BR99" s="877">
        <v>2.5101973844881016</v>
      </c>
      <c r="BS99" s="74">
        <f t="shared" si="3"/>
        <v>1.5843602445429201</v>
      </c>
      <c r="CS99" s="352" t="s">
        <v>456</v>
      </c>
      <c r="CT99" s="485" t="s">
        <v>456</v>
      </c>
      <c r="CU99" s="355" t="s">
        <v>1420</v>
      </c>
    </row>
    <row r="100" spans="4:99" x14ac:dyDescent="0.35">
      <c r="D100" s="345" t="s">
        <v>651</v>
      </c>
      <c r="E100" s="346" t="s">
        <v>1496</v>
      </c>
      <c r="F100" s="346" t="s">
        <v>652</v>
      </c>
      <c r="G100" s="347">
        <v>0.42607</v>
      </c>
      <c r="BA100" s="345" t="s">
        <v>1477</v>
      </c>
      <c r="BB100" s="346" t="s">
        <v>384</v>
      </c>
      <c r="BC100" s="346" t="s">
        <v>1478</v>
      </c>
      <c r="BD100" s="355">
        <v>1</v>
      </c>
      <c r="BE100" s="355">
        <v>1</v>
      </c>
      <c r="BF100" s="355">
        <v>1</v>
      </c>
      <c r="BG100" s="355">
        <v>1</v>
      </c>
      <c r="BH100" s="356">
        <v>4</v>
      </c>
      <c r="BJ100" s="352" t="str">
        <v>SouthEast Asia - Asia</v>
      </c>
      <c r="BK100" s="327" t="s">
        <v>930</v>
      </c>
      <c r="BL100" s="327" t="s">
        <v>274</v>
      </c>
      <c r="BM100" s="429">
        <v>1.205517386837202</v>
      </c>
      <c r="BN100" s="429">
        <v>1.205517386837202</v>
      </c>
      <c r="BO100" s="459">
        <v>1.205517386837202</v>
      </c>
      <c r="BP100" s="460">
        <v>1.205517386837202</v>
      </c>
      <c r="BQ100" s="468"/>
      <c r="BR100" s="877">
        <v>1.4532721699667961</v>
      </c>
      <c r="BS100" s="74">
        <f t="shared" si="3"/>
        <v>1.205517386837202</v>
      </c>
      <c r="CS100" s="352" t="s">
        <v>1479</v>
      </c>
      <c r="CT100" s="485" t="s">
        <v>1480</v>
      </c>
      <c r="CU100" s="355" t="s">
        <v>1420</v>
      </c>
    </row>
    <row r="101" spans="4:99" x14ac:dyDescent="0.35">
      <c r="D101" s="345" t="s">
        <v>654</v>
      </c>
      <c r="E101" s="346" t="s">
        <v>1499</v>
      </c>
      <c r="F101" s="346" t="s">
        <v>655</v>
      </c>
      <c r="G101" s="347">
        <v>1.10673</v>
      </c>
      <c r="BA101" s="345" t="s">
        <v>1482</v>
      </c>
      <c r="BB101" s="346" t="s">
        <v>638</v>
      </c>
      <c r="BC101" s="346" t="s">
        <v>1483</v>
      </c>
      <c r="BD101" s="355">
        <v>1</v>
      </c>
      <c r="BE101" s="355">
        <v>1</v>
      </c>
      <c r="BF101" s="355">
        <v>1</v>
      </c>
      <c r="BG101" s="355">
        <v>1</v>
      </c>
      <c r="BH101" s="356">
        <v>1</v>
      </c>
      <c r="BJ101" s="352" t="str">
        <v>SouthEast Asia - SouthEast Asia</v>
      </c>
      <c r="BK101" s="327" t="s">
        <v>930</v>
      </c>
      <c r="BL101" s="327" t="s">
        <v>930</v>
      </c>
      <c r="BM101" s="429">
        <v>1.0597089413744172</v>
      </c>
      <c r="BN101" s="429">
        <v>1.0597089413744172</v>
      </c>
      <c r="BO101" s="459">
        <v>1.0597089413744172</v>
      </c>
      <c r="BP101" s="460">
        <v>1.0597089413744172</v>
      </c>
      <c r="BQ101" s="468"/>
      <c r="BR101" s="877">
        <v>1.1229830404288879</v>
      </c>
      <c r="BS101" s="74">
        <f t="shared" si="3"/>
        <v>1.0597089413744172</v>
      </c>
      <c r="CS101" s="352" t="s">
        <v>779</v>
      </c>
      <c r="CT101" s="485" t="s">
        <v>779</v>
      </c>
      <c r="CU101" s="355" t="s">
        <v>1420</v>
      </c>
    </row>
    <row r="102" spans="4:99" x14ac:dyDescent="0.35">
      <c r="D102" s="345" t="s">
        <v>657</v>
      </c>
      <c r="E102" s="346" t="s">
        <v>1503</v>
      </c>
      <c r="F102" s="346" t="s">
        <v>658</v>
      </c>
      <c r="G102" s="347">
        <v>4.0238800000000001</v>
      </c>
      <c r="BA102" s="345" t="s">
        <v>1485</v>
      </c>
      <c r="BB102" s="346" t="s">
        <v>641</v>
      </c>
      <c r="BC102" s="346" t="s">
        <v>1486</v>
      </c>
      <c r="BD102" s="355">
        <v>1</v>
      </c>
      <c r="BE102" s="355">
        <v>1</v>
      </c>
      <c r="BF102" s="355">
        <v>1</v>
      </c>
      <c r="BG102" s="355">
        <v>1</v>
      </c>
      <c r="BH102" s="356">
        <v>2</v>
      </c>
      <c r="BJ102" s="352" t="str">
        <v>SouthEast Asia - Australia</v>
      </c>
      <c r="BK102" s="327" t="s">
        <v>930</v>
      </c>
      <c r="BL102" s="327" t="s">
        <v>160</v>
      </c>
      <c r="BM102" s="429">
        <v>1.1494157290343789</v>
      </c>
      <c r="BN102" s="429">
        <v>1.1494157290343789</v>
      </c>
      <c r="BO102" s="459">
        <v>1.1494157290343789</v>
      </c>
      <c r="BP102" s="460">
        <v>1.1494157290343789</v>
      </c>
      <c r="BQ102" s="468"/>
      <c r="BR102" s="877">
        <v>1.3211565181516329</v>
      </c>
      <c r="BS102" s="74">
        <f t="shared" si="3"/>
        <v>1.0904315046514703</v>
      </c>
      <c r="CS102" s="352" t="s">
        <v>794</v>
      </c>
      <c r="CT102" s="485" t="s">
        <v>794</v>
      </c>
      <c r="CU102" s="355" t="s">
        <v>1420</v>
      </c>
    </row>
    <row r="103" spans="4:99" x14ac:dyDescent="0.35">
      <c r="D103" s="345" t="s">
        <v>660</v>
      </c>
      <c r="E103" s="346" t="s">
        <v>1506</v>
      </c>
      <c r="F103" s="346" t="s">
        <v>661</v>
      </c>
      <c r="G103" s="347">
        <v>4.4986899999999999</v>
      </c>
      <c r="BA103" s="345" t="s">
        <v>1488</v>
      </c>
      <c r="BB103" s="346" t="s">
        <v>644</v>
      </c>
      <c r="BC103" s="346" t="s">
        <v>1489</v>
      </c>
      <c r="BD103" s="355">
        <v>1</v>
      </c>
      <c r="BE103" s="355">
        <v>1</v>
      </c>
      <c r="BF103" s="355">
        <v>1</v>
      </c>
      <c r="BG103" s="355">
        <v>1</v>
      </c>
      <c r="BH103" s="356">
        <v>1</v>
      </c>
      <c r="BJ103" s="352" t="str">
        <v>SouthEast Asia - Near East</v>
      </c>
      <c r="BK103" s="327" t="s">
        <v>930</v>
      </c>
      <c r="BL103" s="327" t="s">
        <v>941</v>
      </c>
      <c r="BM103" s="429">
        <v>1.285085852264175</v>
      </c>
      <c r="BN103" s="429">
        <v>1.285085852264175</v>
      </c>
      <c r="BO103" s="459">
        <v>1.285085852264175</v>
      </c>
      <c r="BP103" s="460">
        <v>1.285085852264175</v>
      </c>
      <c r="BQ103" s="468"/>
      <c r="BR103" s="877">
        <v>1.6514456476895412</v>
      </c>
      <c r="BS103" s="74">
        <f t="shared" si="3"/>
        <v>1.2326110480903445</v>
      </c>
      <c r="CS103" s="352" t="s">
        <v>528</v>
      </c>
      <c r="CT103" s="485" t="s">
        <v>528</v>
      </c>
      <c r="CU103" s="355" t="s">
        <v>1420</v>
      </c>
    </row>
    <row r="104" spans="4:99" x14ac:dyDescent="0.35">
      <c r="D104" s="345" t="s">
        <v>663</v>
      </c>
      <c r="E104" s="346" t="s">
        <v>1510</v>
      </c>
      <c r="F104" s="346" t="s">
        <v>664</v>
      </c>
      <c r="G104" s="347">
        <v>63.302500000000002</v>
      </c>
      <c r="BA104" s="345" t="s">
        <v>1491</v>
      </c>
      <c r="BB104" s="346" t="s">
        <v>647</v>
      </c>
      <c r="BC104" s="346" t="s">
        <v>1492</v>
      </c>
      <c r="BD104" s="355">
        <v>1</v>
      </c>
      <c r="BE104" s="355">
        <v>1</v>
      </c>
      <c r="BF104" s="355">
        <v>1</v>
      </c>
      <c r="BG104" s="355">
        <v>1</v>
      </c>
      <c r="BH104" s="356">
        <v>2.4</v>
      </c>
      <c r="BJ104" s="352" t="str">
        <v>SouthEast Asia - North Europe</v>
      </c>
      <c r="BK104" s="327" t="s">
        <v>930</v>
      </c>
      <c r="BL104" s="327" t="s">
        <v>856</v>
      </c>
      <c r="BM104" s="429">
        <v>1.4875944231893266</v>
      </c>
      <c r="BN104" s="429">
        <v>1.4875944231893266</v>
      </c>
      <c r="BO104" s="459">
        <v>1.4875944231893266</v>
      </c>
      <c r="BP104" s="460">
        <v>1.4875944231893266</v>
      </c>
      <c r="BQ104" s="468"/>
      <c r="BR104" s="877">
        <v>2.2129371679039851</v>
      </c>
      <c r="BS104" s="74">
        <f t="shared" si="3"/>
        <v>1.4194237176337585</v>
      </c>
      <c r="CS104" s="352" t="s">
        <v>1493</v>
      </c>
      <c r="CT104" s="485" t="s">
        <v>1494</v>
      </c>
      <c r="CU104" s="355" t="s">
        <v>1495</v>
      </c>
    </row>
    <row r="105" spans="4:99" x14ac:dyDescent="0.35">
      <c r="D105" s="345" t="s">
        <v>665</v>
      </c>
      <c r="E105" s="346" t="s">
        <v>1514</v>
      </c>
      <c r="F105" s="346" t="s">
        <v>666</v>
      </c>
      <c r="G105" s="347">
        <v>311.13952999999998</v>
      </c>
      <c r="BA105" s="345" t="s">
        <v>605</v>
      </c>
      <c r="BB105" s="346" t="s">
        <v>650</v>
      </c>
      <c r="BC105" s="346" t="s">
        <v>1497</v>
      </c>
      <c r="BD105" s="355">
        <v>1</v>
      </c>
      <c r="BE105" s="355">
        <v>1</v>
      </c>
      <c r="BF105" s="355">
        <v>1</v>
      </c>
      <c r="BG105" s="355">
        <v>1</v>
      </c>
      <c r="BH105" s="356">
        <v>1.8</v>
      </c>
      <c r="BJ105" s="352" t="str">
        <v>SouthEast Asia - East Europe</v>
      </c>
      <c r="BK105" s="327" t="s">
        <v>930</v>
      </c>
      <c r="BL105" s="327" t="s">
        <v>869</v>
      </c>
      <c r="BM105" s="429">
        <v>1.5633744140737755</v>
      </c>
      <c r="BN105" s="429">
        <v>1.5633744140737755</v>
      </c>
      <c r="BO105" s="459">
        <v>1.5633744140737755</v>
      </c>
      <c r="BP105" s="460">
        <v>1.5633744140737755</v>
      </c>
      <c r="BQ105" s="468"/>
      <c r="BR105" s="877">
        <v>2.4441395585805208</v>
      </c>
      <c r="BS105" s="74">
        <f t="shared" si="3"/>
        <v>1.4986547570597357</v>
      </c>
      <c r="CS105" s="352" t="s">
        <v>1498</v>
      </c>
      <c r="CT105" s="485" t="s">
        <v>1498</v>
      </c>
      <c r="CU105" s="355" t="s">
        <v>1495</v>
      </c>
    </row>
    <row r="106" spans="4:99" x14ac:dyDescent="0.35">
      <c r="D106" s="345" t="s">
        <v>668</v>
      </c>
      <c r="E106" s="346" t="s">
        <v>1518</v>
      </c>
      <c r="F106" s="346" t="s">
        <v>669</v>
      </c>
      <c r="G106" s="347">
        <v>4.23543</v>
      </c>
      <c r="BA106" s="345" t="s">
        <v>1500</v>
      </c>
      <c r="BB106" s="346" t="s">
        <v>653</v>
      </c>
      <c r="BC106" s="346" t="s">
        <v>1501</v>
      </c>
      <c r="BD106" s="355">
        <v>1</v>
      </c>
      <c r="BE106" s="355">
        <v>1</v>
      </c>
      <c r="BF106" s="355">
        <v>1</v>
      </c>
      <c r="BG106" s="355">
        <v>1</v>
      </c>
      <c r="BH106" s="356">
        <v>4</v>
      </c>
      <c r="BJ106" s="352" t="str">
        <v>SouthEast Asia - South Europe</v>
      </c>
      <c r="BK106" s="327" t="s">
        <v>930</v>
      </c>
      <c r="BL106" s="327" t="s">
        <v>882</v>
      </c>
      <c r="BM106" s="429">
        <v>1.520534086025485</v>
      </c>
      <c r="BN106" s="429">
        <v>1.520534086025485</v>
      </c>
      <c r="BO106" s="459">
        <v>1.520534086025485</v>
      </c>
      <c r="BP106" s="460">
        <v>1.520534086025485</v>
      </c>
      <c r="BQ106" s="468"/>
      <c r="BR106" s="877">
        <v>2.312023906765357</v>
      </c>
      <c r="BS106" s="74">
        <f t="shared" si="3"/>
        <v>1.453908672868627</v>
      </c>
      <c r="CS106" s="352" t="s">
        <v>1502</v>
      </c>
      <c r="CT106" s="485" t="s">
        <v>371</v>
      </c>
      <c r="CU106" s="355" t="s">
        <v>1495</v>
      </c>
    </row>
    <row r="107" spans="4:99" x14ac:dyDescent="0.35">
      <c r="D107" s="345" t="s">
        <v>671</v>
      </c>
      <c r="E107" s="346" t="s">
        <v>1522</v>
      </c>
      <c r="F107" s="346" t="s">
        <v>672</v>
      </c>
      <c r="G107" s="347">
        <v>8630.1901899999993</v>
      </c>
      <c r="BA107" s="345" t="s">
        <v>1504</v>
      </c>
      <c r="BB107" s="346" t="s">
        <v>656</v>
      </c>
      <c r="BC107" s="346" t="s">
        <v>1505</v>
      </c>
      <c r="BD107" s="355">
        <v>1</v>
      </c>
      <c r="BE107" s="355">
        <v>1</v>
      </c>
      <c r="BF107" s="355">
        <v>1</v>
      </c>
      <c r="BG107" s="355">
        <v>1</v>
      </c>
      <c r="BH107" s="356">
        <v>4.5</v>
      </c>
      <c r="BJ107" s="352" t="str">
        <v>SouthEast Asia - West Europe</v>
      </c>
      <c r="BK107" s="327" t="s">
        <v>930</v>
      </c>
      <c r="BL107" s="327" t="s">
        <v>893</v>
      </c>
      <c r="BM107" s="429">
        <v>1.4764512369022533</v>
      </c>
      <c r="BN107" s="429">
        <v>1.4764512369022533</v>
      </c>
      <c r="BO107" s="459">
        <v>1.4764512369022533</v>
      </c>
      <c r="BP107" s="460">
        <v>1.4764512369022533</v>
      </c>
      <c r="BQ107" s="468"/>
      <c r="BR107" s="877">
        <v>2.1799082549501936</v>
      </c>
      <c r="BS107" s="74">
        <f t="shared" si="3"/>
        <v>1.4077410192316799</v>
      </c>
      <c r="CS107" s="352" t="s">
        <v>385</v>
      </c>
      <c r="CT107" s="485" t="s">
        <v>385</v>
      </c>
      <c r="CU107" s="355" t="s">
        <v>1495</v>
      </c>
    </row>
    <row r="108" spans="4:99" x14ac:dyDescent="0.35">
      <c r="D108" s="345" t="s">
        <v>674</v>
      </c>
      <c r="E108" s="346" t="s">
        <v>1526</v>
      </c>
      <c r="F108" s="346" t="s">
        <v>675</v>
      </c>
      <c r="G108" s="347">
        <v>4.0345700000000004</v>
      </c>
      <c r="BA108" s="345" t="s">
        <v>1507</v>
      </c>
      <c r="BB108" s="346" t="s">
        <v>659</v>
      </c>
      <c r="BC108" s="346" t="s">
        <v>1508</v>
      </c>
      <c r="BD108" s="355">
        <v>1</v>
      </c>
      <c r="BE108" s="355">
        <v>1</v>
      </c>
      <c r="BF108" s="355">
        <v>1</v>
      </c>
      <c r="BG108" s="355">
        <v>1</v>
      </c>
      <c r="BH108" s="356">
        <v>2.8</v>
      </c>
      <c r="BJ108" s="352" t="str">
        <v>SouthEast Asia - North America</v>
      </c>
      <c r="BK108" s="327" t="s">
        <v>930</v>
      </c>
      <c r="BL108" s="327" t="s">
        <v>904</v>
      </c>
      <c r="BM108" s="429">
        <v>1.4986547570597357</v>
      </c>
      <c r="BN108" s="429">
        <v>1.4986547570597357</v>
      </c>
      <c r="BO108" s="459">
        <v>1.4986547570597357</v>
      </c>
      <c r="BP108" s="460">
        <v>1.4986547570597357</v>
      </c>
      <c r="BQ108" s="468"/>
      <c r="BR108" s="877">
        <v>2.2459660808577753</v>
      </c>
      <c r="BS108" s="74">
        <f t="shared" si="3"/>
        <v>1.431011042282704</v>
      </c>
      <c r="CS108" s="352" t="s">
        <v>1509</v>
      </c>
      <c r="CT108" s="485" t="s">
        <v>1509</v>
      </c>
      <c r="CU108" s="355" t="s">
        <v>1495</v>
      </c>
    </row>
    <row r="109" spans="4:99" x14ac:dyDescent="0.35">
      <c r="D109" s="345" t="s">
        <v>676</v>
      </c>
      <c r="E109" s="346" t="s">
        <v>1530</v>
      </c>
      <c r="F109" s="346" t="s">
        <v>677</v>
      </c>
      <c r="G109" s="347">
        <v>5.01877</v>
      </c>
      <c r="BA109" s="345" t="s">
        <v>1511</v>
      </c>
      <c r="BB109" s="346" t="s">
        <v>662</v>
      </c>
      <c r="BC109" s="346" t="s">
        <v>1512</v>
      </c>
      <c r="BD109" s="355">
        <v>1</v>
      </c>
      <c r="BE109" s="355">
        <v>1</v>
      </c>
      <c r="BF109" s="355">
        <v>1</v>
      </c>
      <c r="BG109" s="355">
        <v>1</v>
      </c>
      <c r="BH109" s="356">
        <v>4</v>
      </c>
      <c r="BJ109" s="352" t="str">
        <v>SouthEast Asia - South America</v>
      </c>
      <c r="BK109" s="327" t="s">
        <v>930</v>
      </c>
      <c r="BL109" s="327" t="s">
        <v>913</v>
      </c>
      <c r="BM109" s="429">
        <v>1.5843602445429201</v>
      </c>
      <c r="BN109" s="429">
        <v>1.5843602445429201</v>
      </c>
      <c r="BO109" s="459">
        <v>1.5843602445429201</v>
      </c>
      <c r="BP109" s="460">
        <v>1.5843602445429201</v>
      </c>
      <c r="BQ109" s="468"/>
      <c r="BR109" s="877">
        <v>2.5101973844881016</v>
      </c>
      <c r="BS109" s="74">
        <f t="shared" si="3"/>
        <v>1.520534086025485</v>
      </c>
      <c r="CS109" s="352" t="s">
        <v>1513</v>
      </c>
      <c r="CT109" s="485" t="s">
        <v>684</v>
      </c>
      <c r="CU109" s="355" t="s">
        <v>1495</v>
      </c>
    </row>
    <row r="110" spans="4:99" x14ac:dyDescent="0.35">
      <c r="D110" s="345" t="s">
        <v>679</v>
      </c>
      <c r="E110" s="346" t="s">
        <v>1534</v>
      </c>
      <c r="F110" s="346" t="s">
        <v>680</v>
      </c>
      <c r="G110" s="347">
        <v>117.16508</v>
      </c>
      <c r="BA110" s="345" t="s">
        <v>1515</v>
      </c>
      <c r="BB110" s="346" t="s">
        <v>403</v>
      </c>
      <c r="BC110" s="346" t="s">
        <v>1516</v>
      </c>
      <c r="BD110" s="355">
        <v>1</v>
      </c>
      <c r="BE110" s="355">
        <v>1</v>
      </c>
      <c r="BF110" s="355">
        <v>1</v>
      </c>
      <c r="BG110" s="355">
        <v>1</v>
      </c>
      <c r="BH110" s="356">
        <v>4.5</v>
      </c>
      <c r="BJ110" s="352" t="str">
        <v>Australia - North Africa</v>
      </c>
      <c r="BK110" s="327" t="s">
        <v>160</v>
      </c>
      <c r="BL110" s="327" t="s">
        <v>950</v>
      </c>
      <c r="BM110" s="429">
        <v>1.384079821151897</v>
      </c>
      <c r="BN110" s="429">
        <v>1.384079821151897</v>
      </c>
      <c r="BO110" s="459">
        <v>1.384079821151897</v>
      </c>
      <c r="BP110" s="460">
        <v>1.384079821151897</v>
      </c>
      <c r="BQ110" s="468"/>
      <c r="BR110" s="877">
        <v>1.915676951319867</v>
      </c>
      <c r="BS110" s="74">
        <f t="shared" si="3"/>
        <v>1.453908672868627</v>
      </c>
      <c r="CS110" s="352" t="s">
        <v>1517</v>
      </c>
      <c r="CT110" s="485" t="s">
        <v>436</v>
      </c>
      <c r="CU110" s="355" t="s">
        <v>1495</v>
      </c>
    </row>
    <row r="111" spans="4:99" x14ac:dyDescent="0.35">
      <c r="D111" s="345" t="s">
        <v>682</v>
      </c>
      <c r="E111" s="346" t="s">
        <v>1538</v>
      </c>
      <c r="F111" s="346" t="s">
        <v>683</v>
      </c>
      <c r="G111" s="347">
        <v>95.410889999999995</v>
      </c>
      <c r="BA111" s="345" t="s">
        <v>1519</v>
      </c>
      <c r="BB111" s="346" t="s">
        <v>667</v>
      </c>
      <c r="BC111" s="346" t="s">
        <v>1520</v>
      </c>
      <c r="BD111" s="355">
        <v>1</v>
      </c>
      <c r="BE111" s="355">
        <v>1</v>
      </c>
      <c r="BF111" s="355">
        <v>1</v>
      </c>
      <c r="BG111" s="355">
        <v>1</v>
      </c>
      <c r="BH111" s="356">
        <v>1.8</v>
      </c>
      <c r="BJ111" s="352" t="str">
        <v>Australia - East Africa</v>
      </c>
      <c r="BK111" s="327" t="s">
        <v>160</v>
      </c>
      <c r="BL111" s="327" t="s">
        <v>960</v>
      </c>
      <c r="BM111" s="429">
        <v>1.5421030227170098</v>
      </c>
      <c r="BN111" s="429">
        <v>1.5421030227170098</v>
      </c>
      <c r="BO111" s="459">
        <v>1.5421030227170098</v>
      </c>
      <c r="BP111" s="460">
        <v>1.5421030227170098</v>
      </c>
      <c r="BQ111" s="468"/>
      <c r="BR111" s="877">
        <v>2.3780817326729387</v>
      </c>
      <c r="BS111" s="74">
        <f t="shared" si="3"/>
        <v>1.6050717150319744</v>
      </c>
      <c r="CS111" s="352" t="s">
        <v>1521</v>
      </c>
      <c r="CT111" s="485" t="s">
        <v>490</v>
      </c>
      <c r="CU111" s="355" t="s">
        <v>1495</v>
      </c>
    </row>
    <row r="112" spans="4:99" x14ac:dyDescent="0.35">
      <c r="D112" s="345" t="s">
        <v>685</v>
      </c>
      <c r="E112" s="346" t="s">
        <v>1542</v>
      </c>
      <c r="F112" s="346" t="s">
        <v>686</v>
      </c>
      <c r="G112" s="347">
        <v>1570.3984499999999</v>
      </c>
      <c r="BA112" s="345" t="s">
        <v>1523</v>
      </c>
      <c r="BB112" s="346" t="s">
        <v>670</v>
      </c>
      <c r="BC112" s="346" t="s">
        <v>1524</v>
      </c>
      <c r="BD112" s="355">
        <v>1</v>
      </c>
      <c r="BE112" s="355">
        <v>1</v>
      </c>
      <c r="BF112" s="355">
        <v>1</v>
      </c>
      <c r="BG112" s="355">
        <v>1</v>
      </c>
      <c r="BH112" s="356">
        <v>4</v>
      </c>
      <c r="BJ112" s="352" t="str">
        <v>Australia - South Africa</v>
      </c>
      <c r="BK112" s="327" t="s">
        <v>160</v>
      </c>
      <c r="BL112" s="327" t="s">
        <v>777</v>
      </c>
      <c r="BM112" s="429">
        <v>1.3600070313833992</v>
      </c>
      <c r="BN112" s="429">
        <v>1.3600070313833992</v>
      </c>
      <c r="BO112" s="459">
        <v>1.3600070313833992</v>
      </c>
      <c r="BP112" s="460">
        <v>1.3600070313833992</v>
      </c>
      <c r="BQ112" s="468"/>
      <c r="BR112" s="877">
        <v>1.849619125412286</v>
      </c>
      <c r="BS112" s="74">
        <f t="shared" si="3"/>
        <v>1.431011042282704</v>
      </c>
      <c r="CS112" s="352" t="s">
        <v>1525</v>
      </c>
      <c r="CT112" s="485" t="s">
        <v>1525</v>
      </c>
      <c r="CU112" s="355" t="s">
        <v>1495</v>
      </c>
    </row>
    <row r="113" spans="4:99" x14ac:dyDescent="0.35">
      <c r="D113" s="345" t="s">
        <v>688</v>
      </c>
      <c r="E113" s="346" t="s">
        <v>1545</v>
      </c>
      <c r="F113" s="346" t="s">
        <v>689</v>
      </c>
      <c r="G113" s="347">
        <v>4.1521600000000003</v>
      </c>
      <c r="BA113" s="345" t="s">
        <v>1527</v>
      </c>
      <c r="BB113" s="346" t="s">
        <v>673</v>
      </c>
      <c r="BC113" s="346" t="s">
        <v>1528</v>
      </c>
      <c r="BD113" s="355">
        <v>1</v>
      </c>
      <c r="BE113" s="355">
        <v>1</v>
      </c>
      <c r="BF113" s="355">
        <v>1</v>
      </c>
      <c r="BG113" s="355">
        <v>1</v>
      </c>
      <c r="BH113" s="356">
        <v>4</v>
      </c>
      <c r="BJ113" s="352" t="str">
        <v>Australia - West Africa</v>
      </c>
      <c r="BK113" s="327" t="s">
        <v>160</v>
      </c>
      <c r="BL113" s="327" t="s">
        <v>976</v>
      </c>
      <c r="BM113" s="429">
        <v>1.4077410192316799</v>
      </c>
      <c r="BN113" s="429">
        <v>1.4077410192316799</v>
      </c>
      <c r="BO113" s="459">
        <v>1.4077410192316799</v>
      </c>
      <c r="BP113" s="460">
        <v>1.4077410192316799</v>
      </c>
      <c r="BQ113" s="468"/>
      <c r="BR113" s="877">
        <v>1.981734777227449</v>
      </c>
      <c r="BS113" s="74">
        <f t="shared" si="3"/>
        <v>1.4764512369022533</v>
      </c>
      <c r="CS113" s="352" t="s">
        <v>1529</v>
      </c>
      <c r="CT113" s="485" t="s">
        <v>783</v>
      </c>
      <c r="CU113" s="355" t="s">
        <v>1495</v>
      </c>
    </row>
    <row r="114" spans="4:99" x14ac:dyDescent="0.35">
      <c r="D114" s="345" t="s">
        <v>690</v>
      </c>
      <c r="E114" s="346" t="s">
        <v>1548</v>
      </c>
      <c r="F114" s="346" t="s">
        <v>691</v>
      </c>
      <c r="G114" s="347">
        <v>16.050329999999999</v>
      </c>
      <c r="BA114" s="345" t="s">
        <v>1531</v>
      </c>
      <c r="BB114" s="346" t="s">
        <v>408</v>
      </c>
      <c r="BC114" s="346" t="s">
        <v>1532</v>
      </c>
      <c r="BD114" s="355">
        <v>1</v>
      </c>
      <c r="BE114" s="355">
        <v>1</v>
      </c>
      <c r="BF114" s="355">
        <v>1</v>
      </c>
      <c r="BG114" s="355">
        <v>1</v>
      </c>
      <c r="BH114" s="356">
        <v>3</v>
      </c>
      <c r="BJ114" s="352" t="str">
        <v>Australia - Central Africa</v>
      </c>
      <c r="BK114" s="327" t="s">
        <v>160</v>
      </c>
      <c r="BL114" s="327" t="s">
        <v>985</v>
      </c>
      <c r="BM114" s="429">
        <v>1.453908672868627</v>
      </c>
      <c r="BN114" s="429">
        <v>1.453908672868627</v>
      </c>
      <c r="BO114" s="459">
        <v>1.453908672868627</v>
      </c>
      <c r="BP114" s="460">
        <v>1.453908672868627</v>
      </c>
      <c r="BQ114" s="468"/>
      <c r="BR114" s="877">
        <v>2.1138504290426123</v>
      </c>
      <c r="BS114" s="74">
        <f t="shared" si="3"/>
        <v>1.520534086025485</v>
      </c>
      <c r="CS114" s="352" t="s">
        <v>1533</v>
      </c>
      <c r="CT114" s="485" t="s">
        <v>600</v>
      </c>
      <c r="CU114" s="355" t="s">
        <v>1495</v>
      </c>
    </row>
    <row r="115" spans="4:99" x14ac:dyDescent="0.35">
      <c r="D115" s="345" t="s">
        <v>693</v>
      </c>
      <c r="E115" s="346" t="s">
        <v>1550</v>
      </c>
      <c r="F115" s="346" t="s">
        <v>694</v>
      </c>
      <c r="G115" s="347">
        <v>2350.8569299999999</v>
      </c>
      <c r="BA115" s="345" t="s">
        <v>1535</v>
      </c>
      <c r="BB115" s="346" t="s">
        <v>678</v>
      </c>
      <c r="BC115" s="346" t="s">
        <v>1536</v>
      </c>
      <c r="BD115" s="355">
        <v>1</v>
      </c>
      <c r="BE115" s="355">
        <v>1</v>
      </c>
      <c r="BF115" s="355">
        <v>1</v>
      </c>
      <c r="BG115" s="355">
        <v>1</v>
      </c>
      <c r="BH115" s="356">
        <v>3</v>
      </c>
      <c r="BJ115" s="352" t="str">
        <v>Australia - Asia</v>
      </c>
      <c r="BK115" s="327" t="s">
        <v>160</v>
      </c>
      <c r="BL115" s="327" t="s">
        <v>274</v>
      </c>
      <c r="BM115" s="429">
        <v>1.1203118727586756</v>
      </c>
      <c r="BN115" s="429">
        <v>1.1203118727586756</v>
      </c>
      <c r="BO115" s="459">
        <v>1.1203118727586756</v>
      </c>
      <c r="BP115" s="460">
        <v>1.1203118727586756</v>
      </c>
      <c r="BQ115" s="468"/>
      <c r="BR115" s="877">
        <v>1.255098692244051</v>
      </c>
      <c r="BS115" s="74">
        <f t="shared" si="3"/>
        <v>1.177800638503484</v>
      </c>
      <c r="CS115" s="352" t="s">
        <v>1537</v>
      </c>
      <c r="CT115" s="485" t="s">
        <v>619</v>
      </c>
      <c r="CU115" s="355" t="s">
        <v>1495</v>
      </c>
    </row>
    <row r="116" spans="4:99" x14ac:dyDescent="0.35">
      <c r="D116" s="345" t="s">
        <v>695</v>
      </c>
      <c r="E116" s="346" t="s">
        <v>1553</v>
      </c>
      <c r="F116" s="346" t="s">
        <v>696</v>
      </c>
      <c r="G116" s="347">
        <v>11.13198</v>
      </c>
      <c r="BA116" s="345" t="s">
        <v>1539</v>
      </c>
      <c r="BB116" s="346" t="s">
        <v>681</v>
      </c>
      <c r="BC116" s="346" t="s">
        <v>1540</v>
      </c>
      <c r="BD116" s="355">
        <v>1</v>
      </c>
      <c r="BE116" s="355">
        <v>1</v>
      </c>
      <c r="BF116" s="355">
        <v>1</v>
      </c>
      <c r="BG116" s="355">
        <v>1</v>
      </c>
      <c r="BH116" s="356">
        <v>1</v>
      </c>
      <c r="BJ116" s="352" t="str">
        <v>Australia - SouthEast Asia</v>
      </c>
      <c r="BK116" s="327" t="s">
        <v>160</v>
      </c>
      <c r="BL116" s="327" t="s">
        <v>930</v>
      </c>
      <c r="BM116" s="429">
        <v>1.0904315046514703</v>
      </c>
      <c r="BN116" s="429">
        <v>1.0904315046514703</v>
      </c>
      <c r="BO116" s="459">
        <v>1.0904315046514703</v>
      </c>
      <c r="BP116" s="460">
        <v>1.0904315046514703</v>
      </c>
      <c r="BQ116" s="468"/>
      <c r="BR116" s="877">
        <v>1.1890408663364695</v>
      </c>
      <c r="BS116" s="74">
        <f t="shared" si="3"/>
        <v>1.1494157290343789</v>
      </c>
      <c r="CS116" s="352" t="s">
        <v>1541</v>
      </c>
      <c r="CT116" s="485" t="s">
        <v>795</v>
      </c>
      <c r="CU116" s="355" t="s">
        <v>1495</v>
      </c>
    </row>
    <row r="117" spans="4:99" x14ac:dyDescent="0.35">
      <c r="D117" s="345" t="s">
        <v>698</v>
      </c>
      <c r="E117" s="346" t="s">
        <v>1557</v>
      </c>
      <c r="F117" s="346" t="s">
        <v>699</v>
      </c>
      <c r="G117" s="347">
        <v>1.4563200000000001</v>
      </c>
      <c r="BA117" s="345" t="s">
        <v>1543</v>
      </c>
      <c r="BB117" s="346" t="s">
        <v>684</v>
      </c>
      <c r="BC117" s="346" t="s">
        <v>1544</v>
      </c>
      <c r="BD117" s="355">
        <v>1</v>
      </c>
      <c r="BE117" s="355">
        <v>1</v>
      </c>
      <c r="BF117" s="355">
        <v>1</v>
      </c>
      <c r="BG117" s="355">
        <v>1</v>
      </c>
      <c r="BH117" s="356">
        <v>3.5</v>
      </c>
      <c r="BJ117" s="352" t="str">
        <v>Australia - Australia</v>
      </c>
      <c r="BK117" s="327" t="s">
        <v>160</v>
      </c>
      <c r="BL117" s="327" t="s">
        <v>160</v>
      </c>
      <c r="BM117" s="429">
        <v>0.89033359528380118</v>
      </c>
      <c r="BN117" s="429">
        <v>0.89033359528380118</v>
      </c>
      <c r="BO117" s="459">
        <v>0.89033359528380118</v>
      </c>
      <c r="BP117" s="460">
        <v>0.89033359528380118</v>
      </c>
      <c r="BQ117" s="468"/>
      <c r="BR117" s="877">
        <v>0.79269391089097951</v>
      </c>
      <c r="BS117" s="74">
        <f t="shared" si="3"/>
        <v>0.89033359528380118</v>
      </c>
      <c r="CS117" s="352" t="s">
        <v>790</v>
      </c>
      <c r="CT117" s="485" t="s">
        <v>790</v>
      </c>
      <c r="CU117" s="355" t="s">
        <v>1495</v>
      </c>
    </row>
    <row r="118" spans="4:99" x14ac:dyDescent="0.35">
      <c r="D118" s="345" t="s">
        <v>702</v>
      </c>
      <c r="E118" s="346" t="s">
        <v>1565</v>
      </c>
      <c r="F118" s="346" t="s">
        <v>703</v>
      </c>
      <c r="G118" s="347">
        <v>632.64184</v>
      </c>
      <c r="BA118" s="345" t="s">
        <v>1546</v>
      </c>
      <c r="BB118" s="346" t="s">
        <v>687</v>
      </c>
      <c r="BC118" s="346" t="s">
        <v>1547</v>
      </c>
      <c r="BD118" s="355">
        <v>1</v>
      </c>
      <c r="BE118" s="355">
        <v>1</v>
      </c>
      <c r="BF118" s="355">
        <v>1</v>
      </c>
      <c r="BG118" s="355">
        <v>1</v>
      </c>
      <c r="BH118" s="356">
        <v>1.8</v>
      </c>
      <c r="BJ118" s="352" t="str">
        <v>Australia - Near East</v>
      </c>
      <c r="BK118" s="327" t="s">
        <v>160</v>
      </c>
      <c r="BL118" s="327" t="s">
        <v>941</v>
      </c>
      <c r="BM118" s="429">
        <v>1.3478094125129469</v>
      </c>
      <c r="BN118" s="429">
        <v>1.3478094125129469</v>
      </c>
      <c r="BO118" s="459">
        <v>1.3478094125129469</v>
      </c>
      <c r="BP118" s="460">
        <v>1.3478094125129469</v>
      </c>
      <c r="BQ118" s="468"/>
      <c r="BR118" s="877">
        <v>1.8165902124584952</v>
      </c>
      <c r="BS118" s="74">
        <f t="shared" si="3"/>
        <v>1.3478094125129469</v>
      </c>
      <c r="CS118" s="352" t="s">
        <v>146</v>
      </c>
      <c r="CT118" s="485" t="s">
        <v>146</v>
      </c>
      <c r="CU118" s="355" t="s">
        <v>1495</v>
      </c>
    </row>
    <row r="119" spans="4:99" x14ac:dyDescent="0.35">
      <c r="D119" s="345" t="s">
        <v>705</v>
      </c>
      <c r="E119" s="346" t="s">
        <v>1571</v>
      </c>
      <c r="F119" s="346" t="s">
        <v>706</v>
      </c>
      <c r="G119" s="347">
        <v>24.5</v>
      </c>
      <c r="BA119" s="345" t="s">
        <v>1546</v>
      </c>
      <c r="BB119" s="346" t="s">
        <v>687</v>
      </c>
      <c r="BC119" s="346" t="s">
        <v>1547</v>
      </c>
      <c r="BD119" s="355">
        <v>1</v>
      </c>
      <c r="BE119" s="355">
        <v>1</v>
      </c>
      <c r="BF119" s="355">
        <v>1</v>
      </c>
      <c r="BG119" s="355">
        <v>1</v>
      </c>
      <c r="BH119" s="356">
        <v>1.8</v>
      </c>
      <c r="BJ119" s="352" t="str">
        <v>Australia - North Europe</v>
      </c>
      <c r="BK119" s="327" t="s">
        <v>160</v>
      </c>
      <c r="BL119" s="327" t="s">
        <v>856</v>
      </c>
      <c r="BM119" s="429">
        <v>1.2978730911161274</v>
      </c>
      <c r="BN119" s="429">
        <v>1.2978730911161274</v>
      </c>
      <c r="BO119" s="459">
        <v>1.2978730911161274</v>
      </c>
      <c r="BP119" s="460">
        <v>1.2978730911161274</v>
      </c>
      <c r="BQ119" s="468"/>
      <c r="BR119" s="877">
        <v>1.6844745606433313</v>
      </c>
      <c r="BS119" s="425">
        <f t="shared" si="3"/>
        <v>1.2978730911161274</v>
      </c>
      <c r="CS119" s="352" t="s">
        <v>1549</v>
      </c>
      <c r="CT119" s="485" t="s">
        <v>204</v>
      </c>
      <c r="CU119" s="355" t="s">
        <v>1495</v>
      </c>
    </row>
    <row r="120" spans="4:99" x14ac:dyDescent="0.35">
      <c r="D120" s="345" t="s">
        <v>707</v>
      </c>
      <c r="E120" s="346" t="s">
        <v>1575</v>
      </c>
      <c r="F120" s="346" t="s">
        <v>708</v>
      </c>
      <c r="G120" s="347">
        <v>9.6839200000000005</v>
      </c>
      <c r="BA120" s="345" t="s">
        <v>1551</v>
      </c>
      <c r="BB120" s="346" t="s">
        <v>692</v>
      </c>
      <c r="BC120" s="346" t="s">
        <v>1552</v>
      </c>
      <c r="BD120" s="355">
        <v>1</v>
      </c>
      <c r="BE120" s="355">
        <v>1</v>
      </c>
      <c r="BF120" s="355">
        <v>1</v>
      </c>
      <c r="BG120" s="355">
        <v>1</v>
      </c>
      <c r="BH120" s="356">
        <v>4</v>
      </c>
      <c r="BJ120" s="352" t="str">
        <v>Australia - East Europe</v>
      </c>
      <c r="BK120" s="327" t="s">
        <v>160</v>
      </c>
      <c r="BL120" s="327" t="s">
        <v>869</v>
      </c>
      <c r="BM120" s="429">
        <v>1.3478094125129469</v>
      </c>
      <c r="BN120" s="429">
        <v>1.3478094125129469</v>
      </c>
      <c r="BO120" s="459">
        <v>1.3478094125129469</v>
      </c>
      <c r="BP120" s="460">
        <v>1.3478094125129469</v>
      </c>
      <c r="BQ120" s="468"/>
      <c r="BR120" s="877">
        <v>1.8165902124584952</v>
      </c>
      <c r="BS120" s="425">
        <f t="shared" si="3"/>
        <v>1.3478094125129469</v>
      </c>
      <c r="CS120" s="352" t="s">
        <v>249</v>
      </c>
      <c r="CT120" s="485" t="s">
        <v>249</v>
      </c>
      <c r="CU120" s="355" t="s">
        <v>1495</v>
      </c>
    </row>
    <row r="121" spans="4:99" x14ac:dyDescent="0.35">
      <c r="D121" s="345" t="s">
        <v>709</v>
      </c>
      <c r="E121" s="346" t="s">
        <v>1579</v>
      </c>
      <c r="F121" s="346" t="s">
        <v>710</v>
      </c>
      <c r="G121" s="347">
        <v>13347.228220000001</v>
      </c>
      <c r="BA121" s="345" t="s">
        <v>1554</v>
      </c>
      <c r="BB121" s="346" t="s">
        <v>421</v>
      </c>
      <c r="BC121" s="346" t="s">
        <v>1555</v>
      </c>
      <c r="BD121" s="355">
        <v>1</v>
      </c>
      <c r="BE121" s="355">
        <v>1</v>
      </c>
      <c r="BF121" s="355">
        <v>1</v>
      </c>
      <c r="BG121" s="355">
        <v>1</v>
      </c>
      <c r="BH121" s="356">
        <v>4.5</v>
      </c>
      <c r="BJ121" s="352" t="str">
        <v>Australia - South Europe</v>
      </c>
      <c r="BK121" s="327" t="s">
        <v>160</v>
      </c>
      <c r="BL121" s="327" t="s">
        <v>882</v>
      </c>
      <c r="BM121" s="429">
        <v>1.2978730911161274</v>
      </c>
      <c r="BN121" s="429">
        <v>1.2978730911161274</v>
      </c>
      <c r="BO121" s="459">
        <v>1.2978730911161274</v>
      </c>
      <c r="BP121" s="460">
        <v>1.2978730911161274</v>
      </c>
      <c r="BQ121" s="468"/>
      <c r="BR121" s="877">
        <v>1.6844745606433313</v>
      </c>
      <c r="BS121" s="425">
        <f t="shared" si="3"/>
        <v>1.2978730911161274</v>
      </c>
      <c r="CS121" s="352" t="s">
        <v>1556</v>
      </c>
      <c r="CT121" s="485" t="s">
        <v>329</v>
      </c>
      <c r="CU121" s="355" t="s">
        <v>1495</v>
      </c>
    </row>
    <row r="122" spans="4:99" x14ac:dyDescent="0.35">
      <c r="D122" s="345" t="s">
        <v>712</v>
      </c>
      <c r="E122" s="346" t="s">
        <v>1582</v>
      </c>
      <c r="F122" s="346" t="s">
        <v>713</v>
      </c>
      <c r="G122" s="347">
        <v>36.822989999999997</v>
      </c>
      <c r="BA122" s="345" t="s">
        <v>1558</v>
      </c>
      <c r="BB122" s="346" t="s">
        <v>697</v>
      </c>
      <c r="BC122" s="346" t="s">
        <v>1559</v>
      </c>
      <c r="BD122" s="355">
        <v>1</v>
      </c>
      <c r="BE122" s="355">
        <v>1</v>
      </c>
      <c r="BF122" s="355">
        <v>1</v>
      </c>
      <c r="BG122" s="355">
        <v>1</v>
      </c>
      <c r="BH122" s="356">
        <v>10</v>
      </c>
      <c r="BJ122" s="352" t="str">
        <v>Australia - West Europe</v>
      </c>
      <c r="BK122" s="327" t="s">
        <v>160</v>
      </c>
      <c r="BL122" s="327" t="s">
        <v>893</v>
      </c>
      <c r="BM122" s="429">
        <v>1.2978730911161274</v>
      </c>
      <c r="BN122" s="429">
        <v>1.2978730911161274</v>
      </c>
      <c r="BO122" s="459">
        <v>1.2978730911161274</v>
      </c>
      <c r="BP122" s="460">
        <v>1.2978730911161274</v>
      </c>
      <c r="BQ122" s="468"/>
      <c r="BR122" s="877">
        <v>1.6844745606433313</v>
      </c>
      <c r="BS122" s="425">
        <f t="shared" si="3"/>
        <v>1.2978730911161274</v>
      </c>
      <c r="CS122" s="352" t="s">
        <v>1560</v>
      </c>
      <c r="CT122" s="485" t="s">
        <v>662</v>
      </c>
      <c r="CU122" s="355" t="s">
        <v>1495</v>
      </c>
    </row>
    <row r="123" spans="4:99" x14ac:dyDescent="0.35">
      <c r="D123" s="345" t="s">
        <v>715</v>
      </c>
      <c r="E123" s="346" t="s">
        <v>1586</v>
      </c>
      <c r="F123" s="346" t="s">
        <v>716</v>
      </c>
      <c r="G123" s="347">
        <v>3.8742299999999998</v>
      </c>
      <c r="BA123" s="345" t="s">
        <v>1561</v>
      </c>
      <c r="BB123" s="346" t="s">
        <v>700</v>
      </c>
      <c r="BC123" s="346" t="s">
        <v>1562</v>
      </c>
      <c r="BD123" s="355">
        <v>1</v>
      </c>
      <c r="BE123" s="355">
        <v>1</v>
      </c>
      <c r="BF123" s="355">
        <v>1</v>
      </c>
      <c r="BG123" s="355">
        <v>1</v>
      </c>
      <c r="BH123" s="356">
        <v>3.5</v>
      </c>
      <c r="BJ123" s="352" t="str">
        <v>Australia - North America</v>
      </c>
      <c r="BK123" s="327" t="s">
        <v>160</v>
      </c>
      <c r="BL123" s="327" t="s">
        <v>904</v>
      </c>
      <c r="BM123" s="429">
        <v>1.177800638503484</v>
      </c>
      <c r="BN123" s="429">
        <v>1.177800638503484</v>
      </c>
      <c r="BO123" s="459">
        <v>1.177800638503484</v>
      </c>
      <c r="BP123" s="460">
        <v>1.177800638503484</v>
      </c>
      <c r="BQ123" s="468"/>
      <c r="BR123" s="877">
        <v>1.3872143440592146</v>
      </c>
      <c r="BS123" s="425">
        <f t="shared" si="3"/>
        <v>1.177800638503484</v>
      </c>
      <c r="CS123" s="352" t="s">
        <v>701</v>
      </c>
      <c r="CT123" s="485" t="s">
        <v>701</v>
      </c>
      <c r="CU123" s="355" t="s">
        <v>1495</v>
      </c>
    </row>
    <row r="124" spans="4:99" x14ac:dyDescent="0.35">
      <c r="D124" s="345" t="s">
        <v>717</v>
      </c>
      <c r="E124" s="346" t="s">
        <v>1590</v>
      </c>
      <c r="F124" s="346" t="s">
        <v>718</v>
      </c>
      <c r="G124" s="347">
        <v>3.3530000000000002</v>
      </c>
      <c r="BA124" s="345" t="s">
        <v>1563</v>
      </c>
      <c r="BB124" s="346" t="s">
        <v>701</v>
      </c>
      <c r="BC124" s="346" t="s">
        <v>1564</v>
      </c>
      <c r="BD124" s="355">
        <v>1</v>
      </c>
      <c r="BE124" s="355">
        <v>1</v>
      </c>
      <c r="BF124" s="355">
        <v>1</v>
      </c>
      <c r="BG124" s="355">
        <v>1</v>
      </c>
      <c r="BH124" s="356">
        <v>3.5</v>
      </c>
      <c r="BJ124" s="352" t="str">
        <v>Australia - South America</v>
      </c>
      <c r="BK124" s="327" t="s">
        <v>160</v>
      </c>
      <c r="BL124" s="327" t="s">
        <v>913</v>
      </c>
      <c r="BM124" s="429">
        <v>1.285085852264175</v>
      </c>
      <c r="BN124" s="429">
        <v>1.285085852264175</v>
      </c>
      <c r="BO124" s="459">
        <v>1.285085852264175</v>
      </c>
      <c r="BP124" s="460">
        <v>1.285085852264175</v>
      </c>
      <c r="BQ124" s="468"/>
      <c r="BR124" s="877">
        <v>1.6514456476895412</v>
      </c>
      <c r="BS124" s="74">
        <f t="shared" si="3"/>
        <v>1.285085852264175</v>
      </c>
      <c r="CS124" s="352" t="s">
        <v>446</v>
      </c>
      <c r="CT124" s="485" t="s">
        <v>446</v>
      </c>
      <c r="CU124" s="355" t="s">
        <v>1495</v>
      </c>
    </row>
    <row r="125" spans="4:99" x14ac:dyDescent="0.35">
      <c r="D125" s="345" t="s">
        <v>720</v>
      </c>
      <c r="E125" s="346" t="s">
        <v>1593</v>
      </c>
      <c r="F125" s="346" t="s">
        <v>721</v>
      </c>
      <c r="G125" s="347">
        <v>42.554430000000004</v>
      </c>
      <c r="BA125" s="345" t="s">
        <v>1566</v>
      </c>
      <c r="BB125" s="346" t="s">
        <v>391</v>
      </c>
      <c r="BC125" s="346" t="s">
        <v>1567</v>
      </c>
      <c r="BD125" s="355">
        <v>1</v>
      </c>
      <c r="BE125" s="355">
        <v>1</v>
      </c>
      <c r="BF125" s="355">
        <v>1</v>
      </c>
      <c r="BG125" s="355">
        <v>1</v>
      </c>
      <c r="BH125" s="356">
        <v>1</v>
      </c>
      <c r="BJ125" s="352" t="str">
        <v>Near East - North Africa</v>
      </c>
      <c r="BK125" s="327" t="s">
        <v>941</v>
      </c>
      <c r="BL125" s="327" t="s">
        <v>950</v>
      </c>
      <c r="BM125" s="429">
        <v>1.431011042282704</v>
      </c>
      <c r="BN125" s="429">
        <v>1.431011042282704</v>
      </c>
      <c r="BO125" s="459">
        <v>1.431011042282704</v>
      </c>
      <c r="BP125" s="460">
        <v>1.431011042282704</v>
      </c>
      <c r="BQ125" s="468"/>
      <c r="BR125" s="877">
        <v>2.0477926031350311</v>
      </c>
      <c r="BS125" s="74">
        <f t="shared" si="3"/>
        <v>1.431011042282704</v>
      </c>
      <c r="CS125" s="352" t="s">
        <v>778</v>
      </c>
      <c r="CT125" s="485" t="s">
        <v>778</v>
      </c>
      <c r="CU125" s="355" t="s">
        <v>1495</v>
      </c>
    </row>
    <row r="126" spans="4:99" x14ac:dyDescent="0.35">
      <c r="D126" s="345" t="s">
        <v>723</v>
      </c>
      <c r="E126" s="346" t="s">
        <v>1596</v>
      </c>
      <c r="F126" s="346" t="s">
        <v>724</v>
      </c>
      <c r="G126" s="347">
        <v>7.4824299999999999</v>
      </c>
      <c r="BA126" s="345" t="s">
        <v>1568</v>
      </c>
      <c r="BB126" s="346" t="s">
        <v>168</v>
      </c>
      <c r="BC126" s="346" t="s">
        <v>1569</v>
      </c>
      <c r="BD126" s="355">
        <v>1</v>
      </c>
      <c r="BE126" s="355">
        <v>1</v>
      </c>
      <c r="BF126" s="355">
        <v>1</v>
      </c>
      <c r="BG126" s="355">
        <v>1</v>
      </c>
      <c r="BH126" s="356">
        <v>2</v>
      </c>
      <c r="BJ126" s="352" t="str">
        <v>Near East - East Africa</v>
      </c>
      <c r="BK126" s="327" t="s">
        <v>941</v>
      </c>
      <c r="BL126" s="327" t="s">
        <v>960</v>
      </c>
      <c r="BM126" s="429">
        <v>1.6050717150319744</v>
      </c>
      <c r="BN126" s="429">
        <v>1.6050717150319744</v>
      </c>
      <c r="BO126" s="459">
        <v>1.6050717150319744</v>
      </c>
      <c r="BP126" s="460">
        <v>1.6050717150319744</v>
      </c>
      <c r="BQ126" s="468"/>
      <c r="BR126" s="877">
        <v>2.5762552103956837</v>
      </c>
      <c r="BS126" s="74">
        <f t="shared" si="3"/>
        <v>1.6050717150319744</v>
      </c>
      <c r="CS126" s="352" t="s">
        <v>857</v>
      </c>
      <c r="CT126" s="485" t="s">
        <v>285</v>
      </c>
      <c r="CU126" s="355" t="s">
        <v>1570</v>
      </c>
    </row>
    <row r="127" spans="4:99" x14ac:dyDescent="0.35">
      <c r="D127" s="345" t="s">
        <v>726</v>
      </c>
      <c r="E127" s="346" t="s">
        <v>1603</v>
      </c>
      <c r="F127" s="346" t="s">
        <v>727</v>
      </c>
      <c r="G127" s="347">
        <v>34.749360000000003</v>
      </c>
      <c r="BA127" s="345" t="s">
        <v>1572</v>
      </c>
      <c r="BB127" s="346" t="s">
        <v>704</v>
      </c>
      <c r="BC127" s="346" t="s">
        <v>1573</v>
      </c>
      <c r="BD127" s="355">
        <v>1</v>
      </c>
      <c r="BE127" s="355">
        <v>1</v>
      </c>
      <c r="BF127" s="355">
        <v>1</v>
      </c>
      <c r="BG127" s="355">
        <v>1</v>
      </c>
      <c r="BH127" s="356">
        <v>10</v>
      </c>
      <c r="BJ127" s="352" t="str">
        <v>Near East - South Africa</v>
      </c>
      <c r="BK127" s="327" t="s">
        <v>941</v>
      </c>
      <c r="BL127" s="327" t="s">
        <v>777</v>
      </c>
      <c r="BM127" s="429">
        <v>1.384079821151897</v>
      </c>
      <c r="BN127" s="429">
        <v>1.384079821151897</v>
      </c>
      <c r="BO127" s="459">
        <v>1.384079821151897</v>
      </c>
      <c r="BP127" s="460">
        <v>1.384079821151897</v>
      </c>
      <c r="BQ127" s="468"/>
      <c r="BR127" s="877">
        <v>1.915676951319867</v>
      </c>
      <c r="BS127" s="74">
        <f t="shared" si="3"/>
        <v>1.384079821151897</v>
      </c>
      <c r="CS127" s="352" t="s">
        <v>1574</v>
      </c>
      <c r="CT127" s="485" t="s">
        <v>185</v>
      </c>
      <c r="CU127" s="355" t="s">
        <v>1570</v>
      </c>
    </row>
    <row r="128" spans="4:99" x14ac:dyDescent="0.35">
      <c r="D128" s="345" t="s">
        <v>729</v>
      </c>
      <c r="E128" s="346" t="s">
        <v>1607</v>
      </c>
      <c r="F128" s="346" t="s">
        <v>730</v>
      </c>
      <c r="G128" s="347">
        <v>2852.7311100000002</v>
      </c>
      <c r="BA128" s="345" t="s">
        <v>1576</v>
      </c>
      <c r="BB128" s="346" t="s">
        <v>426</v>
      </c>
      <c r="BC128" s="346" t="s">
        <v>1577</v>
      </c>
      <c r="BD128" s="355">
        <v>1</v>
      </c>
      <c r="BE128" s="355">
        <v>1</v>
      </c>
      <c r="BF128" s="355">
        <v>1</v>
      </c>
      <c r="BG128" s="355">
        <v>1</v>
      </c>
      <c r="BH128" s="356">
        <v>4.5</v>
      </c>
      <c r="BJ128" s="352" t="str">
        <v>Near East - West Africa</v>
      </c>
      <c r="BK128" s="327" t="s">
        <v>941</v>
      </c>
      <c r="BL128" s="327" t="s">
        <v>976</v>
      </c>
      <c r="BM128" s="429">
        <v>1.4764512369022533</v>
      </c>
      <c r="BN128" s="429">
        <v>1.4764512369022533</v>
      </c>
      <c r="BO128" s="459">
        <v>1.4764512369022533</v>
      </c>
      <c r="BP128" s="460">
        <v>1.4764512369022533</v>
      </c>
      <c r="BQ128" s="468"/>
      <c r="BR128" s="877">
        <v>2.1799082549501936</v>
      </c>
      <c r="BS128" s="74">
        <f t="shared" si="3"/>
        <v>1.4764512369022533</v>
      </c>
      <c r="CS128" s="352" t="s">
        <v>1578</v>
      </c>
      <c r="CT128" s="485" t="s">
        <v>203</v>
      </c>
      <c r="CU128" s="355" t="s">
        <v>1570</v>
      </c>
    </row>
    <row r="129" spans="4:99" x14ac:dyDescent="0.35">
      <c r="D129" s="345" t="s">
        <v>732</v>
      </c>
      <c r="E129" s="346" t="s">
        <v>1610</v>
      </c>
      <c r="F129" s="346" t="s">
        <v>733</v>
      </c>
      <c r="G129" s="347">
        <v>46.035910000000001</v>
      </c>
      <c r="BA129" s="345" t="s">
        <v>1580</v>
      </c>
      <c r="BB129" s="346" t="s">
        <v>431</v>
      </c>
      <c r="BC129" s="346" t="s">
        <v>1581</v>
      </c>
      <c r="BD129" s="355">
        <v>1</v>
      </c>
      <c r="BE129" s="355">
        <v>1</v>
      </c>
      <c r="BF129" s="355">
        <v>1</v>
      </c>
      <c r="BG129" s="355">
        <v>1</v>
      </c>
      <c r="BH129" s="356">
        <v>4.5</v>
      </c>
      <c r="BJ129" s="352" t="str">
        <v>Near East - Central Africa</v>
      </c>
      <c r="BK129" s="327" t="s">
        <v>941</v>
      </c>
      <c r="BL129" s="327" t="s">
        <v>985</v>
      </c>
      <c r="BM129" s="429">
        <v>1.520534086025485</v>
      </c>
      <c r="BN129" s="429">
        <v>1.520534086025485</v>
      </c>
      <c r="BO129" s="459">
        <v>1.520534086025485</v>
      </c>
      <c r="BP129" s="460">
        <v>1.520534086025485</v>
      </c>
      <c r="BQ129" s="468"/>
      <c r="BR129" s="877">
        <v>2.312023906765357</v>
      </c>
      <c r="BS129" s="74">
        <f t="shared" si="3"/>
        <v>1.520534086025485</v>
      </c>
      <c r="CS129" s="352" t="s">
        <v>210</v>
      </c>
      <c r="CT129" s="485" t="s">
        <v>210</v>
      </c>
      <c r="CU129" s="355" t="s">
        <v>1570</v>
      </c>
    </row>
    <row r="130" spans="4:99" x14ac:dyDescent="0.35">
      <c r="D130" s="345" t="s">
        <v>735</v>
      </c>
      <c r="E130" s="346" t="s">
        <v>1614</v>
      </c>
      <c r="F130" s="346" t="s">
        <v>736</v>
      </c>
      <c r="G130" s="347">
        <v>4020.2830300000001</v>
      </c>
      <c r="BA130" s="345" t="s">
        <v>1583</v>
      </c>
      <c r="BB130" s="346" t="s">
        <v>711</v>
      </c>
      <c r="BC130" s="346" t="s">
        <v>1584</v>
      </c>
      <c r="BD130" s="355">
        <v>1</v>
      </c>
      <c r="BE130" s="355">
        <v>1</v>
      </c>
      <c r="BF130" s="355">
        <v>1</v>
      </c>
      <c r="BG130" s="355">
        <v>1</v>
      </c>
      <c r="BH130" s="356">
        <v>1</v>
      </c>
      <c r="BJ130" s="352" t="str">
        <v>Near East - Asia</v>
      </c>
      <c r="BK130" s="327" t="s">
        <v>941</v>
      </c>
      <c r="BL130" s="327" t="s">
        <v>274</v>
      </c>
      <c r="BM130" s="429">
        <v>1.285085852264175</v>
      </c>
      <c r="BN130" s="429">
        <v>1.285085852264175</v>
      </c>
      <c r="BO130" s="459">
        <v>1.285085852264175</v>
      </c>
      <c r="BP130" s="460">
        <v>1.285085852264175</v>
      </c>
      <c r="BQ130" s="468"/>
      <c r="BR130" s="877">
        <v>1.6514456476895412</v>
      </c>
      <c r="BS130" s="74">
        <f t="shared" si="3"/>
        <v>1.285085852264175</v>
      </c>
      <c r="CS130" s="352" t="s">
        <v>1585</v>
      </c>
      <c r="CT130" s="485" t="s">
        <v>303</v>
      </c>
      <c r="CU130" s="355" t="s">
        <v>1570</v>
      </c>
    </row>
    <row r="131" spans="4:99" x14ac:dyDescent="0.35">
      <c r="D131" s="345" t="s">
        <v>738</v>
      </c>
      <c r="E131" s="346" t="s">
        <v>1617</v>
      </c>
      <c r="F131" s="346" t="s">
        <v>739</v>
      </c>
      <c r="G131" s="347">
        <v>46.100960000000001</v>
      </c>
      <c r="BA131" s="345" t="s">
        <v>1587</v>
      </c>
      <c r="BB131" s="346" t="s">
        <v>714</v>
      </c>
      <c r="BC131" s="346" t="s">
        <v>1588</v>
      </c>
      <c r="BD131" s="355">
        <v>1</v>
      </c>
      <c r="BE131" s="355">
        <v>1</v>
      </c>
      <c r="BF131" s="355">
        <v>1</v>
      </c>
      <c r="BG131" s="355">
        <v>1</v>
      </c>
      <c r="BH131" s="356">
        <v>3</v>
      </c>
      <c r="BJ131" s="352" t="str">
        <v>Near East - SouthEast Asia</v>
      </c>
      <c r="BK131" s="327" t="s">
        <v>941</v>
      </c>
      <c r="BL131" s="327" t="s">
        <v>930</v>
      </c>
      <c r="BM131" s="429">
        <v>1.2326110480903445</v>
      </c>
      <c r="BN131" s="429">
        <v>1.2326110480903445</v>
      </c>
      <c r="BO131" s="459">
        <v>1.2326110480903445</v>
      </c>
      <c r="BP131" s="460">
        <v>1.2326110480903445</v>
      </c>
      <c r="BQ131" s="468"/>
      <c r="BR131" s="877">
        <v>1.5193299958743776</v>
      </c>
      <c r="BS131" s="74">
        <f t="shared" si="3"/>
        <v>1.285085852264175</v>
      </c>
      <c r="CS131" s="352" t="s">
        <v>1589</v>
      </c>
      <c r="CT131" s="485" t="s">
        <v>350</v>
      </c>
      <c r="CU131" s="355" t="s">
        <v>1570</v>
      </c>
    </row>
    <row r="132" spans="4:99" x14ac:dyDescent="0.35">
      <c r="D132" s="345" t="s">
        <v>740</v>
      </c>
      <c r="E132" s="346" t="s">
        <v>1622</v>
      </c>
      <c r="F132" s="346" t="s">
        <v>741</v>
      </c>
      <c r="G132" s="347">
        <v>14170.422399999999</v>
      </c>
      <c r="BA132" s="345" t="s">
        <v>1591</v>
      </c>
      <c r="BB132" s="346" t="s">
        <v>446</v>
      </c>
      <c r="BC132" s="346" t="s">
        <v>1592</v>
      </c>
      <c r="BD132" s="355">
        <v>1</v>
      </c>
      <c r="BE132" s="355">
        <v>1</v>
      </c>
      <c r="BF132" s="355">
        <v>1</v>
      </c>
      <c r="BG132" s="355">
        <v>1</v>
      </c>
      <c r="BH132" s="356">
        <v>4</v>
      </c>
      <c r="BJ132" s="352" t="str">
        <v>Near East - Australia</v>
      </c>
      <c r="BK132" s="327" t="s">
        <v>941</v>
      </c>
      <c r="BL132" s="327" t="s">
        <v>160</v>
      </c>
      <c r="BM132" s="429">
        <v>1.3478094125129469</v>
      </c>
      <c r="BN132" s="429">
        <v>1.3478094125129469</v>
      </c>
      <c r="BO132" s="459">
        <v>1.3478094125129469</v>
      </c>
      <c r="BP132" s="460">
        <v>1.3478094125129469</v>
      </c>
      <c r="BQ132" s="468"/>
      <c r="BR132" s="877">
        <v>1.8165902124584952</v>
      </c>
      <c r="BS132" s="74">
        <f t="shared" si="3"/>
        <v>1.3478094125129469</v>
      </c>
      <c r="CS132" s="352" t="s">
        <v>344</v>
      </c>
      <c r="CT132" s="485" t="s">
        <v>344</v>
      </c>
      <c r="CU132" s="355" t="s">
        <v>1570</v>
      </c>
    </row>
    <row r="133" spans="4:99" x14ac:dyDescent="0.35">
      <c r="D133" s="345" t="s">
        <v>743</v>
      </c>
      <c r="E133" s="346" t="s">
        <v>1627</v>
      </c>
      <c r="F133" s="346" t="s">
        <v>744</v>
      </c>
      <c r="G133" s="347">
        <v>99.760660000000001</v>
      </c>
      <c r="BA133" s="345" t="s">
        <v>1594</v>
      </c>
      <c r="BB133" s="346" t="s">
        <v>719</v>
      </c>
      <c r="BC133" s="346" t="s">
        <v>1595</v>
      </c>
      <c r="BD133" s="355">
        <v>1</v>
      </c>
      <c r="BE133" s="355">
        <v>1</v>
      </c>
      <c r="BF133" s="355">
        <v>1</v>
      </c>
      <c r="BG133" s="355">
        <v>1</v>
      </c>
      <c r="BH133" s="356">
        <v>2.5</v>
      </c>
      <c r="BJ133" s="352" t="str">
        <v>Near East - Near East</v>
      </c>
      <c r="BK133" s="327" t="s">
        <v>941</v>
      </c>
      <c r="BL133" s="327" t="s">
        <v>941</v>
      </c>
      <c r="BM133" s="429">
        <v>1.0904315046514703</v>
      </c>
      <c r="BN133" s="429">
        <v>1.0904315046514703</v>
      </c>
      <c r="BO133" s="459">
        <v>1.0904315046514703</v>
      </c>
      <c r="BP133" s="460">
        <v>1.0904315046514703</v>
      </c>
      <c r="BQ133" s="468"/>
      <c r="BR133" s="877">
        <v>1.1890408663364695</v>
      </c>
      <c r="BS133" s="74">
        <f t="shared" ref="BS133:BS196" si="4">VLOOKUP(RIGHT(BJ133, LEN(BJ133) - FIND(" - ", BJ133) - 2) &amp; " - " &amp; LEFT(BJ133, FIND(" - ", BJ133) -1), \parameter_geoscope_int_int, 7, FALSE)</f>
        <v>1.0904315046514703</v>
      </c>
      <c r="CS133" s="352" t="s">
        <v>358</v>
      </c>
      <c r="CT133" s="485" t="s">
        <v>358</v>
      </c>
      <c r="CU133" s="355" t="s">
        <v>1570</v>
      </c>
    </row>
    <row r="134" spans="4:99" x14ac:dyDescent="0.35">
      <c r="D134" s="345" t="s">
        <v>746</v>
      </c>
      <c r="E134" s="346" t="s">
        <v>1631</v>
      </c>
      <c r="F134" s="346" t="s">
        <v>747</v>
      </c>
      <c r="G134" s="347">
        <v>28590.897229999999</v>
      </c>
      <c r="BA134" s="345" t="s">
        <v>1597</v>
      </c>
      <c r="BB134" s="346" t="s">
        <v>722</v>
      </c>
      <c r="BC134" s="346" t="s">
        <v>1598</v>
      </c>
      <c r="BD134" s="355">
        <v>1</v>
      </c>
      <c r="BE134" s="355">
        <v>1</v>
      </c>
      <c r="BF134" s="355">
        <v>1</v>
      </c>
      <c r="BG134" s="355">
        <v>1</v>
      </c>
      <c r="BH134" s="356">
        <v>2.2000000000000002</v>
      </c>
      <c r="BJ134" s="352" t="str">
        <v>Near East - North Europe</v>
      </c>
      <c r="BK134" s="327" t="s">
        <v>941</v>
      </c>
      <c r="BL134" s="327" t="s">
        <v>856</v>
      </c>
      <c r="BM134" s="429">
        <v>1.1349570939898308</v>
      </c>
      <c r="BN134" s="429">
        <v>1.1349570939898308</v>
      </c>
      <c r="BO134" s="459">
        <v>1.1349570939898308</v>
      </c>
      <c r="BP134" s="460">
        <v>1.1349570939898308</v>
      </c>
      <c r="BQ134" s="468"/>
      <c r="BR134" s="877">
        <v>1.2881276051978416</v>
      </c>
      <c r="BS134" s="74">
        <f t="shared" si="4"/>
        <v>1.1349570939898308</v>
      </c>
      <c r="CS134" s="352" t="s">
        <v>1599</v>
      </c>
      <c r="CT134" s="485" t="s">
        <v>533</v>
      </c>
      <c r="CU134" s="355" t="s">
        <v>1570</v>
      </c>
    </row>
    <row r="135" spans="4:99" x14ac:dyDescent="0.35">
      <c r="D135" s="345" t="s">
        <v>749</v>
      </c>
      <c r="E135" s="346" t="s">
        <v>1635</v>
      </c>
      <c r="F135" s="346" t="s">
        <v>750</v>
      </c>
      <c r="G135" s="347">
        <v>3.0690499999999998</v>
      </c>
      <c r="BA135" s="345" t="s">
        <v>1600</v>
      </c>
      <c r="BB135" s="346" t="s">
        <v>725</v>
      </c>
      <c r="BC135" s="346" t="s">
        <v>1601</v>
      </c>
      <c r="BD135" s="355">
        <v>1</v>
      </c>
      <c r="BE135" s="355">
        <v>1</v>
      </c>
      <c r="BF135" s="355">
        <v>1</v>
      </c>
      <c r="BG135" s="355">
        <v>1</v>
      </c>
      <c r="BH135" s="356">
        <v>2.5</v>
      </c>
      <c r="BJ135" s="352" t="str">
        <v>Near East - East Europe</v>
      </c>
      <c r="BK135" s="327" t="s">
        <v>941</v>
      </c>
      <c r="BL135" s="327" t="s">
        <v>869</v>
      </c>
      <c r="BM135" s="429">
        <v>1.2326110480903445</v>
      </c>
      <c r="BN135" s="429">
        <v>1.2326110480903445</v>
      </c>
      <c r="BO135" s="459">
        <v>1.2326110480903445</v>
      </c>
      <c r="BP135" s="460">
        <v>1.2326110480903445</v>
      </c>
      <c r="BQ135" s="468"/>
      <c r="BR135" s="877">
        <v>1.5193299958743776</v>
      </c>
      <c r="BS135" s="74">
        <f t="shared" si="4"/>
        <v>1.2326110480903445</v>
      </c>
      <c r="CS135" s="352" t="s">
        <v>1602</v>
      </c>
      <c r="CT135" s="485" t="s">
        <v>592</v>
      </c>
      <c r="CU135" s="355" t="s">
        <v>1570</v>
      </c>
    </row>
    <row r="136" spans="4:99" x14ac:dyDescent="0.35">
      <c r="D136" s="345" t="s">
        <v>752</v>
      </c>
      <c r="E136" s="346" t="s">
        <v>1640</v>
      </c>
      <c r="F136" s="346" t="s">
        <v>753</v>
      </c>
      <c r="G136" s="347">
        <v>655.95699999999999</v>
      </c>
      <c r="BA136" s="345" t="s">
        <v>1604</v>
      </c>
      <c r="BB136" s="346" t="s">
        <v>456</v>
      </c>
      <c r="BC136" s="346" t="s">
        <v>1605</v>
      </c>
      <c r="BD136" s="355">
        <v>1</v>
      </c>
      <c r="BE136" s="355">
        <v>1</v>
      </c>
      <c r="BF136" s="355">
        <v>1</v>
      </c>
      <c r="BG136" s="355">
        <v>1</v>
      </c>
      <c r="BH136" s="356">
        <v>2.5</v>
      </c>
      <c r="BJ136" s="352" t="str">
        <v>Near East - South Europe</v>
      </c>
      <c r="BK136" s="327" t="s">
        <v>941</v>
      </c>
      <c r="BL136" s="327" t="s">
        <v>882</v>
      </c>
      <c r="BM136" s="429">
        <v>1.177800638503484</v>
      </c>
      <c r="BN136" s="429">
        <v>1.177800638503484</v>
      </c>
      <c r="BO136" s="459">
        <v>1.177800638503484</v>
      </c>
      <c r="BP136" s="460">
        <v>1.177800638503484</v>
      </c>
      <c r="BQ136" s="468"/>
      <c r="BR136" s="877">
        <v>1.3872143440592146</v>
      </c>
      <c r="BS136" s="74">
        <f t="shared" si="4"/>
        <v>1.177800638503484</v>
      </c>
      <c r="CS136" s="352" t="s">
        <v>1606</v>
      </c>
      <c r="CT136" s="485" t="s">
        <v>461</v>
      </c>
      <c r="CU136" s="355" t="s">
        <v>1570</v>
      </c>
    </row>
    <row r="137" spans="4:99" x14ac:dyDescent="0.35">
      <c r="D137" s="345" t="s">
        <v>755</v>
      </c>
      <c r="E137" s="346" t="s">
        <v>1644</v>
      </c>
      <c r="F137" s="346" t="s">
        <v>756</v>
      </c>
      <c r="G137" s="347">
        <v>2.9881799999999998</v>
      </c>
      <c r="BA137" s="345" t="s">
        <v>1608</v>
      </c>
      <c r="BB137" s="346" t="s">
        <v>728</v>
      </c>
      <c r="BC137" s="346" t="s">
        <v>1609</v>
      </c>
      <c r="BD137" s="355">
        <v>1</v>
      </c>
      <c r="BE137" s="355">
        <v>1</v>
      </c>
      <c r="BF137" s="355">
        <v>1</v>
      </c>
      <c r="BG137" s="355">
        <v>1</v>
      </c>
      <c r="BH137" s="356">
        <v>2.8</v>
      </c>
      <c r="BJ137" s="352" t="str">
        <v>Near East - West Europe</v>
      </c>
      <c r="BK137" s="327" t="s">
        <v>941</v>
      </c>
      <c r="BL137" s="327" t="s">
        <v>893</v>
      </c>
      <c r="BM137" s="429">
        <v>1.1203118727586756</v>
      </c>
      <c r="BN137" s="429">
        <v>1.1203118727586756</v>
      </c>
      <c r="BO137" s="459">
        <v>1.1203118727586756</v>
      </c>
      <c r="BP137" s="460">
        <v>1.1203118727586756</v>
      </c>
      <c r="BQ137" s="468"/>
      <c r="BR137" s="877">
        <v>1.255098692244051</v>
      </c>
      <c r="BS137" s="74">
        <f t="shared" si="4"/>
        <v>1.1203118727586756</v>
      </c>
      <c r="CS137" s="352" t="s">
        <v>616</v>
      </c>
      <c r="CT137" s="485" t="s">
        <v>616</v>
      </c>
      <c r="CU137" s="355" t="s">
        <v>1570</v>
      </c>
    </row>
    <row r="138" spans="4:99" x14ac:dyDescent="0.35">
      <c r="D138" s="345" t="s">
        <v>758</v>
      </c>
      <c r="E138" s="346" t="s">
        <v>1649</v>
      </c>
      <c r="F138" s="346" t="s">
        <v>759</v>
      </c>
      <c r="G138" s="347">
        <v>0.82460999999999995</v>
      </c>
      <c r="BA138" s="345" t="s">
        <v>1611</v>
      </c>
      <c r="BB138" s="346" t="s">
        <v>731</v>
      </c>
      <c r="BC138" s="346" t="s">
        <v>1612</v>
      </c>
      <c r="BD138" s="355">
        <v>1</v>
      </c>
      <c r="BE138" s="355">
        <v>1</v>
      </c>
      <c r="BF138" s="355">
        <v>1</v>
      </c>
      <c r="BG138" s="355">
        <v>1</v>
      </c>
      <c r="BH138" s="356">
        <v>1.6</v>
      </c>
      <c r="BJ138" s="352" t="str">
        <v>Near East - North America</v>
      </c>
      <c r="BK138" s="327" t="s">
        <v>941</v>
      </c>
      <c r="BL138" s="327" t="s">
        <v>904</v>
      </c>
      <c r="BM138" s="429">
        <v>1.1494157290343789</v>
      </c>
      <c r="BN138" s="429">
        <v>1.1494157290343789</v>
      </c>
      <c r="BO138" s="459">
        <v>1.1494157290343789</v>
      </c>
      <c r="BP138" s="460">
        <v>1.1494157290343789</v>
      </c>
      <c r="BQ138" s="468"/>
      <c r="BR138" s="877">
        <v>1.3211565181516329</v>
      </c>
      <c r="BS138" s="74">
        <f t="shared" si="4"/>
        <v>1.1494157290343789</v>
      </c>
      <c r="CS138" s="352" t="s">
        <v>1613</v>
      </c>
      <c r="CT138" s="485" t="s">
        <v>377</v>
      </c>
      <c r="CU138" s="355" t="s">
        <v>1570</v>
      </c>
    </row>
    <row r="139" spans="4:99" x14ac:dyDescent="0.35">
      <c r="D139" s="345" t="s">
        <v>760</v>
      </c>
      <c r="E139" s="346" t="s">
        <v>1653</v>
      </c>
      <c r="F139" s="346" t="s">
        <v>761</v>
      </c>
      <c r="G139" s="347">
        <v>655.95312999999999</v>
      </c>
      <c r="BA139" s="345" t="s">
        <v>1615</v>
      </c>
      <c r="BB139" s="346" t="s">
        <v>734</v>
      </c>
      <c r="BC139" s="346" t="s">
        <v>1616</v>
      </c>
      <c r="BD139" s="355">
        <v>1</v>
      </c>
      <c r="BE139" s="355">
        <v>1</v>
      </c>
      <c r="BF139" s="355">
        <v>1</v>
      </c>
      <c r="BG139" s="355">
        <v>1</v>
      </c>
      <c r="BH139" s="356">
        <v>1.2</v>
      </c>
      <c r="BJ139" s="352" t="str">
        <v>Near East - South America</v>
      </c>
      <c r="BK139" s="327" t="s">
        <v>941</v>
      </c>
      <c r="BL139" s="327" t="s">
        <v>913</v>
      </c>
      <c r="BM139" s="429">
        <v>1.2591218454867501</v>
      </c>
      <c r="BN139" s="429">
        <v>1.2591218454867501</v>
      </c>
      <c r="BO139" s="459">
        <v>1.2591218454867501</v>
      </c>
      <c r="BP139" s="460">
        <v>1.2591218454867501</v>
      </c>
      <c r="BQ139" s="468"/>
      <c r="BR139" s="877">
        <v>1.5853878217819595</v>
      </c>
      <c r="BS139" s="74">
        <f t="shared" si="4"/>
        <v>1.2591218454867501</v>
      </c>
      <c r="CS139" s="352" t="s">
        <v>714</v>
      </c>
      <c r="CT139" s="485" t="s">
        <v>714</v>
      </c>
      <c r="CU139" s="355" t="s">
        <v>1570</v>
      </c>
    </row>
    <row r="140" spans="4:99" x14ac:dyDescent="0.35">
      <c r="D140" s="345" t="s">
        <v>763</v>
      </c>
      <c r="E140" s="346" t="s">
        <v>1657</v>
      </c>
      <c r="F140" s="346" t="s">
        <v>764</v>
      </c>
      <c r="G140" s="347">
        <v>119.33188</v>
      </c>
      <c r="BA140" s="345" t="s">
        <v>1618</v>
      </c>
      <c r="BB140" s="346" t="s">
        <v>737</v>
      </c>
      <c r="BC140" s="346" t="s">
        <v>1619</v>
      </c>
      <c r="BD140" s="355">
        <v>1</v>
      </c>
      <c r="BE140" s="355">
        <v>1</v>
      </c>
      <c r="BF140" s="355">
        <v>1</v>
      </c>
      <c r="BG140" s="355">
        <v>1</v>
      </c>
      <c r="BH140" s="356">
        <v>2.7</v>
      </c>
      <c r="BJ140" s="352" t="str">
        <v>North Europe - North Africa</v>
      </c>
      <c r="BK140" s="327" t="s">
        <v>856</v>
      </c>
      <c r="BL140" s="327" t="s">
        <v>950</v>
      </c>
      <c r="BM140" s="429">
        <v>1.3720962205202945</v>
      </c>
      <c r="BN140" s="429">
        <v>1.3720962205202945</v>
      </c>
      <c r="BO140" s="459">
        <v>1.3720962205202945</v>
      </c>
      <c r="BP140" s="460">
        <v>1.3720962205202945</v>
      </c>
      <c r="BQ140" s="468"/>
      <c r="BR140" s="877">
        <v>1.8826480383660764</v>
      </c>
      <c r="BS140" s="74">
        <f t="shared" si="4"/>
        <v>1.442505291528881</v>
      </c>
      <c r="CS140" s="352" t="s">
        <v>1620</v>
      </c>
      <c r="CT140" s="485" t="s">
        <v>1621</v>
      </c>
      <c r="CU140" s="355" t="s">
        <v>1570</v>
      </c>
    </row>
    <row r="141" spans="4:99" x14ac:dyDescent="0.35">
      <c r="D141" s="345" t="s">
        <v>766</v>
      </c>
      <c r="E141" s="346" t="s">
        <v>1660</v>
      </c>
      <c r="F141" s="346" t="s">
        <v>767</v>
      </c>
      <c r="G141" s="347">
        <v>270.76767999999998</v>
      </c>
      <c r="BA141" s="345" t="s">
        <v>1623</v>
      </c>
      <c r="BB141" s="346" t="s">
        <v>461</v>
      </c>
      <c r="BC141" s="346" t="s">
        <v>1624</v>
      </c>
      <c r="BD141" s="355">
        <v>1</v>
      </c>
      <c r="BE141" s="355">
        <v>1</v>
      </c>
      <c r="BF141" s="355">
        <v>1</v>
      </c>
      <c r="BG141" s="355">
        <v>1</v>
      </c>
      <c r="BH141" s="356">
        <v>3</v>
      </c>
      <c r="BJ141" s="352" t="str">
        <v>North Europe - East Africa</v>
      </c>
      <c r="BK141" s="327" t="s">
        <v>856</v>
      </c>
      <c r="BL141" s="327" t="s">
        <v>960</v>
      </c>
      <c r="BM141" s="429">
        <v>1.5739023068584377</v>
      </c>
      <c r="BN141" s="429">
        <v>1.5739023068584377</v>
      </c>
      <c r="BO141" s="459">
        <v>1.5739023068584377</v>
      </c>
      <c r="BP141" s="460">
        <v>1.5739023068584377</v>
      </c>
      <c r="BQ141" s="468"/>
      <c r="BR141" s="877">
        <v>2.4771684715343119</v>
      </c>
      <c r="BS141" s="74">
        <f t="shared" si="4"/>
        <v>1.6557172992889329</v>
      </c>
      <c r="CS141" s="352" t="s">
        <v>1625</v>
      </c>
      <c r="CT141" s="485" t="s">
        <v>1626</v>
      </c>
      <c r="CU141" s="355" t="s">
        <v>1570</v>
      </c>
    </row>
    <row r="142" spans="4:99" x14ac:dyDescent="0.35">
      <c r="D142" s="345" t="s">
        <v>769</v>
      </c>
      <c r="E142" s="346" t="s">
        <v>1663</v>
      </c>
      <c r="F142" s="346" t="s">
        <v>770</v>
      </c>
      <c r="G142" s="347">
        <v>20.182369999999999</v>
      </c>
      <c r="BA142" s="345" t="s">
        <v>1628</v>
      </c>
      <c r="BB142" s="346" t="s">
        <v>742</v>
      </c>
      <c r="BC142" s="346" t="s">
        <v>1629</v>
      </c>
      <c r="BD142" s="355">
        <v>1</v>
      </c>
      <c r="BE142" s="355">
        <v>1</v>
      </c>
      <c r="BF142" s="355">
        <v>1</v>
      </c>
      <c r="BG142" s="355">
        <v>1</v>
      </c>
      <c r="BH142" s="356">
        <v>4</v>
      </c>
      <c r="BJ142" s="352" t="str">
        <v>North Europe - South Africa</v>
      </c>
      <c r="BK142" s="327" t="s">
        <v>856</v>
      </c>
      <c r="BL142" s="327" t="s">
        <v>777</v>
      </c>
      <c r="BM142" s="429">
        <v>1.3230768634327006</v>
      </c>
      <c r="BN142" s="429">
        <v>1.3230768634327006</v>
      </c>
      <c r="BO142" s="459">
        <v>1.3230768634327006</v>
      </c>
      <c r="BP142" s="460">
        <v>1.3230768634327006</v>
      </c>
      <c r="BQ142" s="468"/>
      <c r="BR142" s="877">
        <v>1.750532386550913</v>
      </c>
      <c r="BS142" s="74">
        <f t="shared" si="4"/>
        <v>1.4077410192316799</v>
      </c>
      <c r="CS142" s="352" t="s">
        <v>1630</v>
      </c>
      <c r="CT142" s="485" t="s">
        <v>480</v>
      </c>
      <c r="CU142" s="355" t="s">
        <v>1570</v>
      </c>
    </row>
    <row r="143" spans="4:99" x14ac:dyDescent="0.35">
      <c r="D143" s="345" t="s">
        <v>771</v>
      </c>
      <c r="E143" s="346" t="s">
        <v>1666</v>
      </c>
      <c r="F143" s="346" t="s">
        <v>772</v>
      </c>
      <c r="G143" s="347">
        <v>29.178090000000001</v>
      </c>
      <c r="BA143" s="345" t="s">
        <v>1632</v>
      </c>
      <c r="BB143" s="346" t="s">
        <v>745</v>
      </c>
      <c r="BC143" s="346" t="s">
        <v>1633</v>
      </c>
      <c r="BD143" s="355">
        <v>1</v>
      </c>
      <c r="BE143" s="355">
        <v>1</v>
      </c>
      <c r="BF143" s="355">
        <v>1</v>
      </c>
      <c r="BG143" s="355">
        <v>1</v>
      </c>
      <c r="BH143" s="356">
        <v>1.8</v>
      </c>
      <c r="BJ143" s="352" t="str">
        <v>North Europe - West Africa</v>
      </c>
      <c r="BK143" s="327" t="s">
        <v>856</v>
      </c>
      <c r="BL143" s="327" t="s">
        <v>976</v>
      </c>
      <c r="BM143" s="429">
        <v>1.4652233078941936</v>
      </c>
      <c r="BN143" s="429">
        <v>1.4652233078941936</v>
      </c>
      <c r="BO143" s="459">
        <v>1.4652233078941936</v>
      </c>
      <c r="BP143" s="460">
        <v>1.4652233078941936</v>
      </c>
      <c r="BQ143" s="468"/>
      <c r="BR143" s="877">
        <v>2.146879341996403</v>
      </c>
      <c r="BS143" s="74">
        <f t="shared" si="4"/>
        <v>1.5313565292638902</v>
      </c>
      <c r="CS143" s="352" t="s">
        <v>1634</v>
      </c>
      <c r="CT143" s="485" t="s">
        <v>506</v>
      </c>
      <c r="CU143" s="355" t="s">
        <v>1570</v>
      </c>
    </row>
    <row r="144" spans="4:99" x14ac:dyDescent="0.35">
      <c r="D144" s="375" t="s">
        <v>774</v>
      </c>
      <c r="E144" s="349" t="s">
        <v>1671</v>
      </c>
      <c r="F144" s="349" t="s">
        <v>775</v>
      </c>
      <c r="G144" s="378">
        <v>420.00529999999998</v>
      </c>
      <c r="BA144" s="345" t="s">
        <v>1636</v>
      </c>
      <c r="BB144" s="346" t="s">
        <v>748</v>
      </c>
      <c r="BC144" s="346" t="s">
        <v>1637</v>
      </c>
      <c r="BD144" s="355">
        <v>1</v>
      </c>
      <c r="BE144" s="355">
        <v>1</v>
      </c>
      <c r="BF144" s="355">
        <v>1</v>
      </c>
      <c r="BG144" s="355">
        <v>1</v>
      </c>
      <c r="BH144" s="356">
        <v>3</v>
      </c>
      <c r="BJ144" s="352" t="str">
        <v>North Europe - Central Africa</v>
      </c>
      <c r="BK144" s="327" t="s">
        <v>856</v>
      </c>
      <c r="BL144" s="327" t="s">
        <v>985</v>
      </c>
      <c r="BM144" s="429">
        <v>1.5313565292638902</v>
      </c>
      <c r="BN144" s="429">
        <v>1.5313565292638902</v>
      </c>
      <c r="BO144" s="459">
        <v>1.5313565292638902</v>
      </c>
      <c r="BP144" s="460">
        <v>1.5313565292638902</v>
      </c>
      <c r="BQ144" s="468"/>
      <c r="BR144" s="877">
        <v>2.345052819719148</v>
      </c>
      <c r="BS144" s="74">
        <f t="shared" si="4"/>
        <v>1.6153278686847059</v>
      </c>
      <c r="CS144" s="352" t="s">
        <v>1638</v>
      </c>
      <c r="CT144" s="485" t="s">
        <v>1639</v>
      </c>
      <c r="CU144" s="355" t="s">
        <v>1570</v>
      </c>
    </row>
    <row r="145" spans="53:99" x14ac:dyDescent="0.35">
      <c r="BA145" s="345" t="s">
        <v>1641</v>
      </c>
      <c r="BB145" s="346" t="s">
        <v>751</v>
      </c>
      <c r="BC145" s="346" t="s">
        <v>1642</v>
      </c>
      <c r="BD145" s="355">
        <v>1</v>
      </c>
      <c r="BE145" s="355">
        <v>1</v>
      </c>
      <c r="BF145" s="355">
        <v>1</v>
      </c>
      <c r="BG145" s="355">
        <v>1</v>
      </c>
      <c r="BH145" s="356">
        <v>10</v>
      </c>
      <c r="BJ145" s="352" t="str">
        <v>North Europe - Asia</v>
      </c>
      <c r="BK145" s="327" t="s">
        <v>856</v>
      </c>
      <c r="BL145" s="327" t="s">
        <v>274</v>
      </c>
      <c r="BM145" s="429">
        <v>1.2721700887600487</v>
      </c>
      <c r="BN145" s="429">
        <v>1.2721700887600487</v>
      </c>
      <c r="BO145" s="459">
        <v>1.2721700887600487</v>
      </c>
      <c r="BP145" s="460">
        <v>1.2721700887600487</v>
      </c>
      <c r="BQ145" s="468"/>
      <c r="BR145" s="877">
        <v>1.6184167347357501</v>
      </c>
      <c r="BS145" s="74">
        <f t="shared" si="4"/>
        <v>1.2978730911161274</v>
      </c>
      <c r="CS145" s="352" t="s">
        <v>1643</v>
      </c>
      <c r="CT145" s="485" t="s">
        <v>523</v>
      </c>
      <c r="CU145" s="355" t="s">
        <v>1570</v>
      </c>
    </row>
    <row r="146" spans="53:99" x14ac:dyDescent="0.35">
      <c r="BA146" s="345" t="s">
        <v>1645</v>
      </c>
      <c r="BB146" s="346" t="s">
        <v>754</v>
      </c>
      <c r="BC146" s="346" t="s">
        <v>1646</v>
      </c>
      <c r="BD146" s="355">
        <v>1</v>
      </c>
      <c r="BE146" s="355">
        <v>1</v>
      </c>
      <c r="BF146" s="355">
        <v>1</v>
      </c>
      <c r="BG146" s="355">
        <v>1</v>
      </c>
      <c r="BH146" s="356">
        <v>2.2000000000000002</v>
      </c>
      <c r="BJ146" s="352" t="str">
        <v>North Europe - SouthEast Asia</v>
      </c>
      <c r="BK146" s="327" t="s">
        <v>856</v>
      </c>
      <c r="BL146" s="327" t="s">
        <v>930</v>
      </c>
      <c r="BM146" s="429">
        <v>1.4194237176337585</v>
      </c>
      <c r="BN146" s="429">
        <v>1.4194237176337585</v>
      </c>
      <c r="BO146" s="459">
        <v>1.4194237176337585</v>
      </c>
      <c r="BP146" s="460">
        <v>1.4194237176337585</v>
      </c>
      <c r="BQ146" s="468"/>
      <c r="BR146" s="877">
        <v>2.01476369018124</v>
      </c>
      <c r="BS146" s="74">
        <f t="shared" si="4"/>
        <v>1.4875944231893266</v>
      </c>
      <c r="CS146" s="352" t="s">
        <v>1647</v>
      </c>
      <c r="CT146" s="485" t="s">
        <v>1647</v>
      </c>
      <c r="CU146" s="355" t="s">
        <v>1648</v>
      </c>
    </row>
    <row r="147" spans="53:99" x14ac:dyDescent="0.35">
      <c r="BA147" s="345" t="s">
        <v>1650</v>
      </c>
      <c r="BB147" s="346" t="s">
        <v>757</v>
      </c>
      <c r="BC147" s="346" t="s">
        <v>1651</v>
      </c>
      <c r="BD147" s="355">
        <v>1</v>
      </c>
      <c r="BE147" s="355">
        <v>1</v>
      </c>
      <c r="BF147" s="355">
        <v>1</v>
      </c>
      <c r="BG147" s="355">
        <v>1</v>
      </c>
      <c r="BH147" s="356">
        <v>1.2</v>
      </c>
      <c r="BJ147" s="352" t="str">
        <v>North Europe - Australia</v>
      </c>
      <c r="BK147" s="327" t="s">
        <v>856</v>
      </c>
      <c r="BL147" s="327" t="s">
        <v>160</v>
      </c>
      <c r="BM147" s="429">
        <v>1.2978730911161274</v>
      </c>
      <c r="BN147" s="429">
        <v>1.2978730911161274</v>
      </c>
      <c r="BO147" s="459">
        <v>1.2978730911161274</v>
      </c>
      <c r="BP147" s="460">
        <v>1.2978730911161274</v>
      </c>
      <c r="BQ147" s="468"/>
      <c r="BR147" s="877">
        <v>1.6844745606433313</v>
      </c>
      <c r="BS147" s="74">
        <f t="shared" si="4"/>
        <v>1.2978730911161274</v>
      </c>
      <c r="CS147" s="352" t="s">
        <v>1652</v>
      </c>
      <c r="CT147" s="485" t="s">
        <v>338</v>
      </c>
      <c r="CU147" s="355" t="s">
        <v>1648</v>
      </c>
    </row>
    <row r="148" spans="53:99" x14ac:dyDescent="0.35">
      <c r="BA148" s="345" t="s">
        <v>1654</v>
      </c>
      <c r="BB148" s="346" t="s">
        <v>480</v>
      </c>
      <c r="BC148" s="346" t="s">
        <v>1655</v>
      </c>
      <c r="BD148" s="355">
        <v>1</v>
      </c>
      <c r="BE148" s="355">
        <v>1</v>
      </c>
      <c r="BF148" s="355">
        <v>1</v>
      </c>
      <c r="BG148" s="355">
        <v>1</v>
      </c>
      <c r="BH148" s="356">
        <v>2.8</v>
      </c>
      <c r="BJ148" s="352" t="str">
        <v>North Europe - Near East</v>
      </c>
      <c r="BK148" s="327" t="s">
        <v>856</v>
      </c>
      <c r="BL148" s="327" t="s">
        <v>941</v>
      </c>
      <c r="BM148" s="429">
        <v>1.1349570939898308</v>
      </c>
      <c r="BN148" s="429">
        <v>1.1349570939898308</v>
      </c>
      <c r="BO148" s="459">
        <v>1.1349570939898308</v>
      </c>
      <c r="BP148" s="460">
        <v>1.1349570939898308</v>
      </c>
      <c r="BQ148" s="468"/>
      <c r="BR148" s="877">
        <v>1.2881276051978416</v>
      </c>
      <c r="BS148" s="74">
        <f t="shared" si="4"/>
        <v>1.1349570939898308</v>
      </c>
      <c r="CS148" s="352" t="s">
        <v>1656</v>
      </c>
      <c r="CT148" s="485" t="s">
        <v>316</v>
      </c>
      <c r="CU148" s="355" t="s">
        <v>1648</v>
      </c>
    </row>
    <row r="149" spans="53:99" x14ac:dyDescent="0.35">
      <c r="BA149" s="345" t="s">
        <v>1658</v>
      </c>
      <c r="BB149" s="346" t="s">
        <v>762</v>
      </c>
      <c r="BC149" s="346" t="s">
        <v>1659</v>
      </c>
      <c r="BD149" s="355">
        <v>1</v>
      </c>
      <c r="BE149" s="355">
        <v>1</v>
      </c>
      <c r="BF149" s="355">
        <v>1</v>
      </c>
      <c r="BG149" s="355">
        <v>1</v>
      </c>
      <c r="BH149" s="356">
        <v>4.5</v>
      </c>
      <c r="BJ149" s="352" t="str">
        <v>North Europe - North Europe</v>
      </c>
      <c r="BK149" s="327" t="s">
        <v>856</v>
      </c>
      <c r="BL149" s="327" t="s">
        <v>856</v>
      </c>
      <c r="BM149" s="429">
        <v>0.83283081837165907</v>
      </c>
      <c r="BN149" s="429">
        <v>0.83283081837165907</v>
      </c>
      <c r="BO149" s="459">
        <v>0.83283081837165907</v>
      </c>
      <c r="BP149" s="460">
        <v>0.83283081837165907</v>
      </c>
      <c r="BQ149" s="468"/>
      <c r="BR149" s="877">
        <v>0.69360717202960742</v>
      </c>
      <c r="BS149" s="74">
        <f t="shared" si="4"/>
        <v>0.83283081837165907</v>
      </c>
      <c r="CS149" s="352" t="s">
        <v>622</v>
      </c>
      <c r="CT149" s="485" t="s">
        <v>622</v>
      </c>
      <c r="CU149" s="355" t="s">
        <v>1648</v>
      </c>
    </row>
    <row r="150" spans="53:99" x14ac:dyDescent="0.35">
      <c r="BA150" s="345" t="s">
        <v>1661</v>
      </c>
      <c r="BB150" s="346" t="s">
        <v>765</v>
      </c>
      <c r="BC150" s="346" t="s">
        <v>1662</v>
      </c>
      <c r="BD150" s="355">
        <v>1</v>
      </c>
      <c r="BE150" s="355">
        <v>1</v>
      </c>
      <c r="BF150" s="355">
        <v>1</v>
      </c>
      <c r="BG150" s="355">
        <v>1</v>
      </c>
      <c r="BH150" s="356">
        <v>1.8</v>
      </c>
      <c r="BJ150" s="352" t="str">
        <v>North Europe - East Europe</v>
      </c>
      <c r="BK150" s="327" t="s">
        <v>856</v>
      </c>
      <c r="BL150" s="327" t="s">
        <v>869</v>
      </c>
      <c r="BM150" s="429">
        <v>1.0118776119509292</v>
      </c>
      <c r="BN150" s="429">
        <v>1.0118776119509292</v>
      </c>
      <c r="BO150" s="459">
        <v>1.0118776119509292</v>
      </c>
      <c r="BP150" s="460">
        <v>1.0118776119509292</v>
      </c>
      <c r="BQ150" s="468"/>
      <c r="BR150" s="877">
        <v>1.0238963015675153</v>
      </c>
      <c r="BS150" s="74">
        <f t="shared" si="4"/>
        <v>0.9954232208531828</v>
      </c>
      <c r="CS150" s="352" t="s">
        <v>659</v>
      </c>
      <c r="CT150" s="485" t="s">
        <v>659</v>
      </c>
      <c r="CU150" s="355" t="s">
        <v>1648</v>
      </c>
    </row>
    <row r="151" spans="53:99" x14ac:dyDescent="0.35">
      <c r="BA151" s="345" t="s">
        <v>1664</v>
      </c>
      <c r="BB151" s="346" t="s">
        <v>768</v>
      </c>
      <c r="BC151" s="346" t="s">
        <v>1665</v>
      </c>
      <c r="BD151" s="355">
        <v>1</v>
      </c>
      <c r="BE151" s="355">
        <v>1</v>
      </c>
      <c r="BF151" s="355">
        <v>1</v>
      </c>
      <c r="BG151" s="355">
        <v>1</v>
      </c>
      <c r="BH151" s="356">
        <v>4.5</v>
      </c>
      <c r="BJ151" s="352" t="str">
        <v>North Europe - South Europe</v>
      </c>
      <c r="BK151" s="327" t="s">
        <v>856</v>
      </c>
      <c r="BL151" s="327" t="s">
        <v>882</v>
      </c>
      <c r="BM151" s="429">
        <v>0.87158763067014022</v>
      </c>
      <c r="BN151" s="429">
        <v>0.87158763067014022</v>
      </c>
      <c r="BO151" s="459">
        <v>0.87158763067014022</v>
      </c>
      <c r="BP151" s="460">
        <v>0.87158763067014022</v>
      </c>
      <c r="BQ151" s="468"/>
      <c r="BR151" s="877">
        <v>0.75966499793718878</v>
      </c>
      <c r="BS151" s="74">
        <f t="shared" si="4"/>
        <v>0.87158763067014022</v>
      </c>
      <c r="CS151" s="352" t="s">
        <v>697</v>
      </c>
      <c r="CT151" s="485" t="s">
        <v>697</v>
      </c>
      <c r="CU151" s="355" t="s">
        <v>1648</v>
      </c>
    </row>
    <row r="152" spans="53:99" x14ac:dyDescent="0.35">
      <c r="BA152" s="345" t="s">
        <v>1667</v>
      </c>
      <c r="BB152" s="346" t="s">
        <v>404</v>
      </c>
      <c r="BC152" s="346" t="s">
        <v>1668</v>
      </c>
      <c r="BD152" s="355">
        <v>1</v>
      </c>
      <c r="BE152" s="355">
        <v>1</v>
      </c>
      <c r="BF152" s="355">
        <v>1</v>
      </c>
      <c r="BG152" s="355">
        <v>1</v>
      </c>
      <c r="BH152" s="356">
        <v>2.4</v>
      </c>
      <c r="BJ152" s="352" t="str">
        <v>North Europe - West Europe</v>
      </c>
      <c r="BK152" s="327" t="s">
        <v>856</v>
      </c>
      <c r="BL152" s="327" t="s">
        <v>893</v>
      </c>
      <c r="BM152" s="429">
        <v>0.83283081837165907</v>
      </c>
      <c r="BN152" s="429">
        <v>0.83283081837165907</v>
      </c>
      <c r="BO152" s="459">
        <v>0.83283081837165907</v>
      </c>
      <c r="BP152" s="460">
        <v>0.83283081837165907</v>
      </c>
      <c r="BQ152" s="468"/>
      <c r="BR152" s="877">
        <v>0.69360717202960742</v>
      </c>
      <c r="BS152" s="74">
        <f t="shared" si="4"/>
        <v>0.83283081837165907</v>
      </c>
      <c r="CS152" s="352" t="s">
        <v>1669</v>
      </c>
      <c r="CT152" s="485" t="s">
        <v>1670</v>
      </c>
      <c r="CU152" s="355" t="s">
        <v>1648</v>
      </c>
    </row>
    <row r="153" spans="53:99" x14ac:dyDescent="0.35">
      <c r="BA153" s="345" t="s">
        <v>1672</v>
      </c>
      <c r="BB153" s="346" t="s">
        <v>773</v>
      </c>
      <c r="BC153" s="346" t="s">
        <v>1673</v>
      </c>
      <c r="BD153" s="355">
        <v>1</v>
      </c>
      <c r="BE153" s="355">
        <v>1</v>
      </c>
      <c r="BF153" s="355">
        <v>1</v>
      </c>
      <c r="BG153" s="355">
        <v>1</v>
      </c>
      <c r="BH153" s="356">
        <v>1.6</v>
      </c>
      <c r="BJ153" s="352" t="str">
        <v>North Europe - North America</v>
      </c>
      <c r="BK153" s="327" t="s">
        <v>856</v>
      </c>
      <c r="BL153" s="327" t="s">
        <v>904</v>
      </c>
      <c r="BM153" s="429">
        <v>1.0751799632539099</v>
      </c>
      <c r="BN153" s="429">
        <v>1.0751799632539099</v>
      </c>
      <c r="BO153" s="459">
        <v>1.0751799632539099</v>
      </c>
      <c r="BP153" s="460">
        <v>1.0751799632539099</v>
      </c>
      <c r="BQ153" s="468"/>
      <c r="BR153" s="877">
        <v>1.1560119533826789</v>
      </c>
      <c r="BS153" s="74">
        <f t="shared" si="4"/>
        <v>1.1203118727586756</v>
      </c>
      <c r="CS153" s="352" t="s">
        <v>1674</v>
      </c>
      <c r="CT153" s="485" t="s">
        <v>728</v>
      </c>
      <c r="CU153" s="355" t="s">
        <v>1648</v>
      </c>
    </row>
    <row r="154" spans="53:99" x14ac:dyDescent="0.35">
      <c r="BA154" s="345" t="s">
        <v>1675</v>
      </c>
      <c r="BB154" s="346" t="s">
        <v>776</v>
      </c>
      <c r="BC154" s="346" t="s">
        <v>1676</v>
      </c>
      <c r="BD154" s="355">
        <v>1</v>
      </c>
      <c r="BE154" s="355">
        <v>1</v>
      </c>
      <c r="BF154" s="355">
        <v>1</v>
      </c>
      <c r="BG154" s="355">
        <v>1</v>
      </c>
      <c r="BH154" s="356">
        <v>1.8</v>
      </c>
      <c r="BJ154" s="352" t="str">
        <v>North Europe - South America</v>
      </c>
      <c r="BK154" s="327" t="s">
        <v>856</v>
      </c>
      <c r="BL154" s="327" t="s">
        <v>913</v>
      </c>
      <c r="BM154" s="429">
        <v>1.2978730911161274</v>
      </c>
      <c r="BN154" s="429">
        <v>1.2978730911161274</v>
      </c>
      <c r="BO154" s="459">
        <v>1.2978730911161274</v>
      </c>
      <c r="BP154" s="460">
        <v>1.2978730911161274</v>
      </c>
      <c r="BQ154" s="468"/>
      <c r="BR154" s="877">
        <v>1.6844745606433313</v>
      </c>
      <c r="BS154" s="74">
        <f t="shared" si="4"/>
        <v>1.2978730911161274</v>
      </c>
      <c r="CS154" s="352" t="s">
        <v>1677</v>
      </c>
      <c r="CT154" s="485" t="s">
        <v>404</v>
      </c>
      <c r="CU154" s="355" t="s">
        <v>1648</v>
      </c>
    </row>
    <row r="155" spans="53:99" x14ac:dyDescent="0.35">
      <c r="BA155" s="345" t="s">
        <v>1678</v>
      </c>
      <c r="BB155" s="346" t="s">
        <v>485</v>
      </c>
      <c r="BC155" s="346" t="s">
        <v>1679</v>
      </c>
      <c r="BD155" s="355">
        <v>1</v>
      </c>
      <c r="BE155" s="355">
        <v>1</v>
      </c>
      <c r="BF155" s="355">
        <v>1</v>
      </c>
      <c r="BG155" s="355">
        <v>1</v>
      </c>
      <c r="BH155" s="356">
        <v>10</v>
      </c>
      <c r="BJ155" s="352" t="str">
        <v>East Europe - North Africa</v>
      </c>
      <c r="BK155" s="327" t="s">
        <v>869</v>
      </c>
      <c r="BL155" s="327" t="s">
        <v>950</v>
      </c>
      <c r="BM155" s="429">
        <v>1.431011042282704</v>
      </c>
      <c r="BN155" s="429">
        <v>1.431011042282704</v>
      </c>
      <c r="BO155" s="459">
        <v>1.431011042282704</v>
      </c>
      <c r="BP155" s="460">
        <v>1.431011042282704</v>
      </c>
      <c r="BQ155" s="468"/>
      <c r="BR155" s="877">
        <v>2.0477926031350311</v>
      </c>
      <c r="BS155" s="74">
        <f t="shared" si="4"/>
        <v>1.4986547570597357</v>
      </c>
      <c r="CS155" s="352" t="s">
        <v>785</v>
      </c>
      <c r="CT155" s="485" t="s">
        <v>785</v>
      </c>
      <c r="CU155" s="355" t="s">
        <v>1648</v>
      </c>
    </row>
    <row r="156" spans="53:99" x14ac:dyDescent="0.35">
      <c r="BA156" s="345" t="s">
        <v>1680</v>
      </c>
      <c r="BB156" s="346" t="s">
        <v>777</v>
      </c>
      <c r="BC156" s="346" t="s">
        <v>1681</v>
      </c>
      <c r="BD156" s="355">
        <v>1</v>
      </c>
      <c r="BE156" s="355">
        <v>1</v>
      </c>
      <c r="BF156" s="355">
        <v>1</v>
      </c>
      <c r="BG156" s="355">
        <v>1</v>
      </c>
      <c r="BH156" s="356">
        <v>3.5</v>
      </c>
      <c r="BJ156" s="352" t="str">
        <v>East Europe - East Africa</v>
      </c>
      <c r="BK156" s="327" t="s">
        <v>869</v>
      </c>
      <c r="BL156" s="327" t="s">
        <v>960</v>
      </c>
      <c r="BM156" s="429">
        <v>1.6853742949345139</v>
      </c>
      <c r="BN156" s="429">
        <v>1.6853742949345139</v>
      </c>
      <c r="BO156" s="459">
        <v>1.6853742949345139</v>
      </c>
      <c r="BP156" s="460">
        <v>1.6853742949345139</v>
      </c>
      <c r="BQ156" s="468"/>
      <c r="BR156" s="877">
        <v>2.8404865140260096</v>
      </c>
      <c r="BS156" s="74">
        <f t="shared" si="4"/>
        <v>1.7620209469970376</v>
      </c>
      <c r="CS156" s="352" t="s">
        <v>1682</v>
      </c>
      <c r="CT156" s="485" t="s">
        <v>1682</v>
      </c>
      <c r="CU156" s="355" t="s">
        <v>1648</v>
      </c>
    </row>
    <row r="157" spans="53:99" x14ac:dyDescent="0.35">
      <c r="BA157" s="345" t="s">
        <v>1680</v>
      </c>
      <c r="BB157" s="346" t="s">
        <v>777</v>
      </c>
      <c r="BC157" s="346" t="s">
        <v>1681</v>
      </c>
      <c r="BD157" s="355">
        <v>1</v>
      </c>
      <c r="BE157" s="355">
        <v>1</v>
      </c>
      <c r="BF157" s="355">
        <v>1</v>
      </c>
      <c r="BG157" s="355">
        <v>1</v>
      </c>
      <c r="BH157" s="356">
        <v>3.5</v>
      </c>
      <c r="BJ157" s="352" t="str">
        <v>East Europe - South Africa</v>
      </c>
      <c r="BK157" s="327" t="s">
        <v>869</v>
      </c>
      <c r="BL157" s="327" t="s">
        <v>777</v>
      </c>
      <c r="BM157" s="429">
        <v>1.453908672868627</v>
      </c>
      <c r="BN157" s="429">
        <v>1.453908672868627</v>
      </c>
      <c r="BO157" s="459">
        <v>1.453908672868627</v>
      </c>
      <c r="BP157" s="460">
        <v>1.453908672868627</v>
      </c>
      <c r="BQ157" s="468"/>
      <c r="BR157" s="877">
        <v>2.1138504290426123</v>
      </c>
      <c r="BS157" s="74">
        <f t="shared" si="4"/>
        <v>1.5421030227170098</v>
      </c>
      <c r="CS157" s="352" t="s">
        <v>1683</v>
      </c>
      <c r="CT157" s="485" t="s">
        <v>552</v>
      </c>
      <c r="CU157" s="355" t="s">
        <v>1684</v>
      </c>
    </row>
    <row r="158" spans="53:99" x14ac:dyDescent="0.35">
      <c r="BA158" s="345" t="s">
        <v>1685</v>
      </c>
      <c r="BB158" s="346" t="s">
        <v>495</v>
      </c>
      <c r="BC158" s="346" t="s">
        <v>1686</v>
      </c>
      <c r="BD158" s="355">
        <v>1</v>
      </c>
      <c r="BE158" s="355">
        <v>1</v>
      </c>
      <c r="BF158" s="355">
        <v>1</v>
      </c>
      <c r="BG158" s="355">
        <v>1</v>
      </c>
      <c r="BH158" s="356">
        <v>10</v>
      </c>
      <c r="BJ158" s="352" t="str">
        <v>East Europe - West Africa</v>
      </c>
      <c r="BK158" s="327" t="s">
        <v>869</v>
      </c>
      <c r="BL158" s="327" t="s">
        <v>976</v>
      </c>
      <c r="BM158" s="429">
        <v>1.5421030227170098</v>
      </c>
      <c r="BN158" s="429">
        <v>1.5421030227170098</v>
      </c>
      <c r="BO158" s="459">
        <v>1.5421030227170098</v>
      </c>
      <c r="BP158" s="460">
        <v>1.5421030227170098</v>
      </c>
      <c r="BQ158" s="468"/>
      <c r="BR158" s="877">
        <v>2.3780817326729387</v>
      </c>
      <c r="BS158" s="74">
        <f t="shared" si="4"/>
        <v>1.6050717150319744</v>
      </c>
      <c r="CS158" s="352" t="s">
        <v>1687</v>
      </c>
      <c r="CT158" s="485" t="s">
        <v>711</v>
      </c>
      <c r="CU158" s="355" t="s">
        <v>1684</v>
      </c>
    </row>
    <row r="159" spans="53:99" x14ac:dyDescent="0.35">
      <c r="BA159" s="345" t="s">
        <v>1688</v>
      </c>
      <c r="BB159" s="346" t="s">
        <v>409</v>
      </c>
      <c r="BC159" s="346" t="s">
        <v>1689</v>
      </c>
      <c r="BD159" s="355">
        <v>1</v>
      </c>
      <c r="BE159" s="355">
        <v>1</v>
      </c>
      <c r="BF159" s="355">
        <v>1</v>
      </c>
      <c r="BG159" s="355">
        <v>1</v>
      </c>
      <c r="BH159" s="356">
        <v>1.2</v>
      </c>
      <c r="BJ159" s="352" t="str">
        <v>East Europe - Central Africa</v>
      </c>
      <c r="BK159" s="327" t="s">
        <v>869</v>
      </c>
      <c r="BL159" s="327" t="s">
        <v>985</v>
      </c>
      <c r="BM159" s="429">
        <v>1.6457128735629574</v>
      </c>
      <c r="BN159" s="429">
        <v>1.6457128735629574</v>
      </c>
      <c r="BO159" s="459">
        <v>1.6457128735629574</v>
      </c>
      <c r="BP159" s="460">
        <v>1.6457128735629574</v>
      </c>
      <c r="BQ159" s="468"/>
      <c r="BR159" s="877">
        <v>2.7083708622108467</v>
      </c>
      <c r="BS159" s="74">
        <f t="shared" si="4"/>
        <v>1.7241235935515682</v>
      </c>
      <c r="CS159" s="352" t="s">
        <v>1690</v>
      </c>
      <c r="CT159" s="485" t="s">
        <v>780</v>
      </c>
      <c r="CU159" s="355" t="s">
        <v>1684</v>
      </c>
    </row>
    <row r="160" spans="53:99" x14ac:dyDescent="0.35">
      <c r="BA160" s="345" t="s">
        <v>1691</v>
      </c>
      <c r="BB160" s="346" t="s">
        <v>778</v>
      </c>
      <c r="BC160" s="346" t="s">
        <v>1692</v>
      </c>
      <c r="BD160" s="355">
        <v>1</v>
      </c>
      <c r="BE160" s="355">
        <v>1</v>
      </c>
      <c r="BF160" s="355">
        <v>1</v>
      </c>
      <c r="BG160" s="355">
        <v>1</v>
      </c>
      <c r="BH160" s="356">
        <v>3</v>
      </c>
      <c r="BJ160" s="352" t="str">
        <v>East Europe - Asia</v>
      </c>
      <c r="BK160" s="327" t="s">
        <v>869</v>
      </c>
      <c r="BL160" s="327" t="s">
        <v>274</v>
      </c>
      <c r="BM160" s="429">
        <v>1.3600070313833992</v>
      </c>
      <c r="BN160" s="429">
        <v>1.3600070313833992</v>
      </c>
      <c r="BO160" s="459">
        <v>1.3600070313833992</v>
      </c>
      <c r="BP160" s="460">
        <v>1.3600070313833992</v>
      </c>
      <c r="BQ160" s="468"/>
      <c r="BR160" s="877">
        <v>1.849619125412286</v>
      </c>
      <c r="BS160" s="74">
        <f t="shared" si="4"/>
        <v>1.384079821151897</v>
      </c>
      <c r="CS160" s="352" t="s">
        <v>1693</v>
      </c>
      <c r="CT160" s="485" t="s">
        <v>466</v>
      </c>
      <c r="CU160" s="355" t="s">
        <v>1684</v>
      </c>
    </row>
    <row r="161" spans="53:99" x14ac:dyDescent="0.35">
      <c r="BA161" s="345" t="s">
        <v>1694</v>
      </c>
      <c r="BB161" s="346" t="s">
        <v>501</v>
      </c>
      <c r="BC161" s="346" t="s">
        <v>1695</v>
      </c>
      <c r="BD161" s="355">
        <v>1</v>
      </c>
      <c r="BE161" s="355">
        <v>1</v>
      </c>
      <c r="BF161" s="355">
        <v>1</v>
      </c>
      <c r="BG161" s="355">
        <v>1</v>
      </c>
      <c r="BH161" s="356">
        <v>10</v>
      </c>
      <c r="BJ161" s="352" t="str">
        <v>East Europe - SouthEast Asia</v>
      </c>
      <c r="BK161" s="327" t="s">
        <v>869</v>
      </c>
      <c r="BL161" s="327" t="s">
        <v>930</v>
      </c>
      <c r="BM161" s="429">
        <v>1.4986547570597357</v>
      </c>
      <c r="BN161" s="429">
        <v>1.4986547570597357</v>
      </c>
      <c r="BO161" s="459">
        <v>1.4986547570597357</v>
      </c>
      <c r="BP161" s="460">
        <v>1.4986547570597357</v>
      </c>
      <c r="BQ161" s="468"/>
      <c r="BR161" s="877">
        <v>2.2459660808577753</v>
      </c>
      <c r="BS161" s="74">
        <f t="shared" si="4"/>
        <v>1.5633744140737755</v>
      </c>
      <c r="CS161" s="352" t="s">
        <v>1696</v>
      </c>
      <c r="CT161" s="485" t="s">
        <v>351</v>
      </c>
      <c r="CU161" s="355" t="s">
        <v>1684</v>
      </c>
    </row>
    <row r="162" spans="53:99" x14ac:dyDescent="0.35">
      <c r="BA162" s="345" t="s">
        <v>1697</v>
      </c>
      <c r="BB162" s="346" t="s">
        <v>779</v>
      </c>
      <c r="BC162" s="346" t="s">
        <v>1698</v>
      </c>
      <c r="BD162" s="355">
        <v>1</v>
      </c>
      <c r="BE162" s="355">
        <v>1</v>
      </c>
      <c r="BF162" s="355">
        <v>1</v>
      </c>
      <c r="BG162" s="355">
        <v>1</v>
      </c>
      <c r="BH162" s="356">
        <v>2.5</v>
      </c>
      <c r="BJ162" s="352" t="str">
        <v>East Europe - Australia</v>
      </c>
      <c r="BK162" s="327" t="s">
        <v>869</v>
      </c>
      <c r="BL162" s="327" t="s">
        <v>160</v>
      </c>
      <c r="BM162" s="429">
        <v>1.3478094125129469</v>
      </c>
      <c r="BN162" s="429">
        <v>1.3478094125129469</v>
      </c>
      <c r="BO162" s="459">
        <v>1.3478094125129469</v>
      </c>
      <c r="BP162" s="460">
        <v>1.3478094125129469</v>
      </c>
      <c r="BQ162" s="468"/>
      <c r="BR162" s="877">
        <v>1.8165902124584952</v>
      </c>
      <c r="BS162" s="74">
        <f t="shared" si="4"/>
        <v>1.3478094125129469</v>
      </c>
      <c r="CS162" s="352" t="s">
        <v>1699</v>
      </c>
      <c r="CT162" s="485" t="s">
        <v>290</v>
      </c>
      <c r="CU162" s="355" t="s">
        <v>1700</v>
      </c>
    </row>
    <row r="163" spans="53:99" x14ac:dyDescent="0.35">
      <c r="BA163" s="345" t="s">
        <v>1701</v>
      </c>
      <c r="BB163" s="346" t="s">
        <v>780</v>
      </c>
      <c r="BC163" s="346" t="s">
        <v>1702</v>
      </c>
      <c r="BD163" s="355">
        <v>1</v>
      </c>
      <c r="BE163" s="355">
        <v>1</v>
      </c>
      <c r="BF163" s="355">
        <v>1</v>
      </c>
      <c r="BG163" s="355">
        <v>1</v>
      </c>
      <c r="BH163" s="356">
        <v>1</v>
      </c>
      <c r="BJ163" s="352" t="str">
        <v>East Europe - Near East</v>
      </c>
      <c r="BK163" s="327" t="s">
        <v>869</v>
      </c>
      <c r="BL163" s="327" t="s">
        <v>941</v>
      </c>
      <c r="BM163" s="429">
        <v>1.2326110480903445</v>
      </c>
      <c r="BN163" s="429">
        <v>1.2326110480903445</v>
      </c>
      <c r="BO163" s="459">
        <v>1.2326110480903445</v>
      </c>
      <c r="BP163" s="460">
        <v>1.2326110480903445</v>
      </c>
      <c r="BQ163" s="468"/>
      <c r="BR163" s="877">
        <v>1.5193299958743776</v>
      </c>
      <c r="BS163" s="74">
        <f t="shared" si="4"/>
        <v>1.2326110480903445</v>
      </c>
      <c r="CS163" s="352" t="s">
        <v>1703</v>
      </c>
      <c r="CT163" s="485" t="s">
        <v>678</v>
      </c>
      <c r="CU163" s="355" t="s">
        <v>1700</v>
      </c>
    </row>
    <row r="164" spans="53:99" x14ac:dyDescent="0.35">
      <c r="BA164" s="345" t="s">
        <v>1704</v>
      </c>
      <c r="BB164" s="346" t="s">
        <v>415</v>
      </c>
      <c r="BC164" s="346" t="s">
        <v>1705</v>
      </c>
      <c r="BD164" s="355">
        <v>1</v>
      </c>
      <c r="BE164" s="355">
        <v>1</v>
      </c>
      <c r="BF164" s="355">
        <v>1</v>
      </c>
      <c r="BG164" s="355">
        <v>1</v>
      </c>
      <c r="BH164" s="356">
        <v>1</v>
      </c>
      <c r="BJ164" s="352" t="str">
        <v>East Europe - North Europe</v>
      </c>
      <c r="BK164" s="327" t="s">
        <v>869</v>
      </c>
      <c r="BL164" s="327" t="s">
        <v>856</v>
      </c>
      <c r="BM164" s="429">
        <v>0.9954232208531828</v>
      </c>
      <c r="BN164" s="429">
        <v>0.9954232208531828</v>
      </c>
      <c r="BO164" s="459">
        <v>0.9954232208531828</v>
      </c>
      <c r="BP164" s="460">
        <v>0.9954232208531828</v>
      </c>
      <c r="BQ164" s="468"/>
      <c r="BR164" s="877">
        <v>0.99086738861372436</v>
      </c>
      <c r="BS164" s="74">
        <f t="shared" si="4"/>
        <v>1.0118776119509292</v>
      </c>
      <c r="CS164" s="352" t="s">
        <v>1706</v>
      </c>
      <c r="CT164" s="485" t="s">
        <v>745</v>
      </c>
      <c r="CU164" s="355" t="s">
        <v>1700</v>
      </c>
    </row>
    <row r="165" spans="53:99" x14ac:dyDescent="0.35">
      <c r="BA165" s="345" t="s">
        <v>1707</v>
      </c>
      <c r="BB165" s="346" t="s">
        <v>781</v>
      </c>
      <c r="BC165" s="346" t="s">
        <v>1708</v>
      </c>
      <c r="BD165" s="355">
        <v>1</v>
      </c>
      <c r="BE165" s="355">
        <v>1</v>
      </c>
      <c r="BF165" s="355">
        <v>1</v>
      </c>
      <c r="BG165" s="355">
        <v>1</v>
      </c>
      <c r="BH165" s="356">
        <v>10</v>
      </c>
      <c r="BJ165" s="352" t="str">
        <v>East Europe - East Europe</v>
      </c>
      <c r="BK165" s="327" t="s">
        <v>869</v>
      </c>
      <c r="BL165" s="327" t="s">
        <v>869</v>
      </c>
      <c r="BM165" s="429">
        <v>0.92668858674236476</v>
      </c>
      <c r="BN165" s="429">
        <v>0.92668858674236476</v>
      </c>
      <c r="BO165" s="459">
        <v>0.92668858674236476</v>
      </c>
      <c r="BP165" s="460">
        <v>0.92668858674236476</v>
      </c>
      <c r="BQ165" s="468"/>
      <c r="BR165" s="877">
        <v>0.85875173679856132</v>
      </c>
      <c r="BS165" s="74">
        <f t="shared" si="4"/>
        <v>0.92668858674236476</v>
      </c>
      <c r="CS165" s="352" t="s">
        <v>1709</v>
      </c>
      <c r="CT165" s="485" t="s">
        <v>773</v>
      </c>
      <c r="CU165" s="355" t="s">
        <v>1700</v>
      </c>
    </row>
    <row r="166" spans="53:99" x14ac:dyDescent="0.35">
      <c r="BA166" s="345" t="s">
        <v>1710</v>
      </c>
      <c r="BB166" s="346" t="s">
        <v>782</v>
      </c>
      <c r="BC166" s="346" t="s">
        <v>1711</v>
      </c>
      <c r="BD166" s="355">
        <v>1</v>
      </c>
      <c r="BE166" s="355">
        <v>1</v>
      </c>
      <c r="BF166" s="355">
        <v>1</v>
      </c>
      <c r="BG166" s="355">
        <v>1</v>
      </c>
      <c r="BH166" s="356">
        <v>2.5</v>
      </c>
      <c r="BJ166" s="352" t="str">
        <v>East Europe - South Europe</v>
      </c>
      <c r="BK166" s="327" t="s">
        <v>869</v>
      </c>
      <c r="BL166" s="327" t="s">
        <v>882</v>
      </c>
      <c r="BM166" s="429">
        <v>1.0597089413744172</v>
      </c>
      <c r="BN166" s="429">
        <v>1.0597089413744172</v>
      </c>
      <c r="BO166" s="459">
        <v>1.0597089413744172</v>
      </c>
      <c r="BP166" s="460">
        <v>1.0597089413744172</v>
      </c>
      <c r="BQ166" s="468"/>
      <c r="BR166" s="877">
        <v>1.1229830404288879</v>
      </c>
      <c r="BS166" s="74">
        <f t="shared" si="4"/>
        <v>1.0597089413744172</v>
      </c>
      <c r="CS166" s="352" t="s">
        <v>516</v>
      </c>
      <c r="CT166" s="485" t="s">
        <v>516</v>
      </c>
      <c r="CU166" s="355" t="s">
        <v>1700</v>
      </c>
    </row>
    <row r="167" spans="53:99" x14ac:dyDescent="0.35">
      <c r="BA167" s="345" t="s">
        <v>1712</v>
      </c>
      <c r="BB167" s="346" t="s">
        <v>783</v>
      </c>
      <c r="BC167" s="346" t="s">
        <v>1713</v>
      </c>
      <c r="BD167" s="355">
        <v>1</v>
      </c>
      <c r="BE167" s="355">
        <v>1</v>
      </c>
      <c r="BF167" s="355">
        <v>1</v>
      </c>
      <c r="BG167" s="355">
        <v>1</v>
      </c>
      <c r="BH167" s="356">
        <v>3</v>
      </c>
      <c r="BJ167" s="352" t="str">
        <v>East Europe - West Europe</v>
      </c>
      <c r="BK167" s="327" t="s">
        <v>869</v>
      </c>
      <c r="BL167" s="327" t="s">
        <v>893</v>
      </c>
      <c r="BM167" s="429">
        <v>0.9954232208531828</v>
      </c>
      <c r="BN167" s="429">
        <v>0.9954232208531828</v>
      </c>
      <c r="BO167" s="459">
        <v>0.9954232208531828</v>
      </c>
      <c r="BP167" s="460">
        <v>0.9954232208531828</v>
      </c>
      <c r="BQ167" s="468"/>
      <c r="BR167" s="877">
        <v>0.99086738861372436</v>
      </c>
      <c r="BS167" s="74">
        <f t="shared" si="4"/>
        <v>0.9954232208531828</v>
      </c>
      <c r="CS167" s="352" t="s">
        <v>1714</v>
      </c>
      <c r="CT167" s="485" t="s">
        <v>1715</v>
      </c>
      <c r="CU167" s="355" t="s">
        <v>1700</v>
      </c>
    </row>
    <row r="168" spans="53:99" x14ac:dyDescent="0.35">
      <c r="BA168" s="345" t="s">
        <v>1716</v>
      </c>
      <c r="BB168" s="346" t="s">
        <v>784</v>
      </c>
      <c r="BC168" s="346" t="s">
        <v>1717</v>
      </c>
      <c r="BD168" s="355">
        <v>1</v>
      </c>
      <c r="BE168" s="355">
        <v>1</v>
      </c>
      <c r="BF168" s="355">
        <v>1</v>
      </c>
      <c r="BG168" s="355">
        <v>1</v>
      </c>
      <c r="BH168" s="356">
        <v>4</v>
      </c>
      <c r="BJ168" s="352" t="str">
        <v>East Europe - North America</v>
      </c>
      <c r="BK168" s="327" t="s">
        <v>869</v>
      </c>
      <c r="BL168" s="327" t="s">
        <v>904</v>
      </c>
      <c r="BM168" s="429">
        <v>1.205517386837202</v>
      </c>
      <c r="BN168" s="429">
        <v>1.205517386837202</v>
      </c>
      <c r="BO168" s="459">
        <v>1.205517386837202</v>
      </c>
      <c r="BP168" s="460">
        <v>1.205517386837202</v>
      </c>
      <c r="BQ168" s="468"/>
      <c r="BR168" s="877">
        <v>1.4532721699667961</v>
      </c>
      <c r="BS168" s="74">
        <f t="shared" si="4"/>
        <v>1.2591218454867501</v>
      </c>
      <c r="CS168" s="352" t="s">
        <v>1718</v>
      </c>
      <c r="CT168" s="485" t="s">
        <v>1719</v>
      </c>
      <c r="CU168" s="355" t="s">
        <v>1700</v>
      </c>
    </row>
    <row r="169" spans="53:99" x14ac:dyDescent="0.35">
      <c r="BA169" s="345" t="s">
        <v>1720</v>
      </c>
      <c r="BB169" s="346" t="s">
        <v>785</v>
      </c>
      <c r="BC169" s="346" t="s">
        <v>1721</v>
      </c>
      <c r="BD169" s="355">
        <v>1</v>
      </c>
      <c r="BE169" s="355">
        <v>1</v>
      </c>
      <c r="BF169" s="355">
        <v>1</v>
      </c>
      <c r="BG169" s="355">
        <v>1</v>
      </c>
      <c r="BH169" s="356">
        <v>2.8</v>
      </c>
      <c r="BJ169" s="352" t="str">
        <v>East Europe - South America</v>
      </c>
      <c r="BK169" s="327" t="s">
        <v>869</v>
      </c>
      <c r="BL169" s="327" t="s">
        <v>913</v>
      </c>
      <c r="BM169" s="429">
        <v>1.3600070313833992</v>
      </c>
      <c r="BN169" s="429">
        <v>1.3600070313833992</v>
      </c>
      <c r="BO169" s="459">
        <v>1.3600070313833992</v>
      </c>
      <c r="BP169" s="460">
        <v>1.3600070313833992</v>
      </c>
      <c r="BQ169" s="468"/>
      <c r="BR169" s="877">
        <v>1.849619125412286</v>
      </c>
      <c r="BS169" s="74">
        <f t="shared" si="4"/>
        <v>1.4077410192316799</v>
      </c>
      <c r="CS169" s="352" t="s">
        <v>221</v>
      </c>
      <c r="CT169" s="485" t="s">
        <v>221</v>
      </c>
      <c r="CU169" s="355" t="s">
        <v>1700</v>
      </c>
    </row>
    <row r="170" spans="53:99" x14ac:dyDescent="0.35">
      <c r="BA170" s="345" t="s">
        <v>1722</v>
      </c>
      <c r="BB170" s="346" t="s">
        <v>786</v>
      </c>
      <c r="BC170" s="346" t="s">
        <v>1723</v>
      </c>
      <c r="BD170" s="355">
        <v>1</v>
      </c>
      <c r="BE170" s="355">
        <v>1</v>
      </c>
      <c r="BF170" s="355">
        <v>1</v>
      </c>
      <c r="BG170" s="355">
        <v>1</v>
      </c>
      <c r="BH170" s="356">
        <v>2.8</v>
      </c>
      <c r="BJ170" s="352" t="str">
        <v>South Europe - North Africa</v>
      </c>
      <c r="BK170" s="327" t="s">
        <v>882</v>
      </c>
      <c r="BL170" s="327" t="s">
        <v>950</v>
      </c>
      <c r="BM170" s="429">
        <v>1.3355003929257019</v>
      </c>
      <c r="BN170" s="429">
        <v>1.3355003929257019</v>
      </c>
      <c r="BO170" s="459">
        <v>1.3355003929257019</v>
      </c>
      <c r="BP170" s="460">
        <v>1.3355003929257019</v>
      </c>
      <c r="BQ170" s="468"/>
      <c r="BR170" s="877">
        <v>1.7835612995047041</v>
      </c>
      <c r="BS170" s="74">
        <f t="shared" si="4"/>
        <v>1.431011042282704</v>
      </c>
      <c r="CS170" s="352" t="s">
        <v>1724</v>
      </c>
      <c r="CT170" s="485" t="s">
        <v>625</v>
      </c>
      <c r="CU170" s="355" t="s">
        <v>1700</v>
      </c>
    </row>
    <row r="171" spans="53:99" x14ac:dyDescent="0.35">
      <c r="BA171" s="345" t="s">
        <v>1725</v>
      </c>
      <c r="BB171" s="346" t="s">
        <v>787</v>
      </c>
      <c r="BC171" s="346" t="s">
        <v>1726</v>
      </c>
      <c r="BD171" s="355">
        <v>1</v>
      </c>
      <c r="BE171" s="355">
        <v>1</v>
      </c>
      <c r="BF171" s="355">
        <v>1</v>
      </c>
      <c r="BG171" s="355">
        <v>1</v>
      </c>
      <c r="BH171" s="356">
        <v>4.5</v>
      </c>
      <c r="BJ171" s="352" t="str">
        <v>South Europe - East Africa</v>
      </c>
      <c r="BK171" s="327" t="s">
        <v>882</v>
      </c>
      <c r="BL171" s="327" t="s">
        <v>960</v>
      </c>
      <c r="BM171" s="429">
        <v>1.6050717150319744</v>
      </c>
      <c r="BN171" s="429">
        <v>1.6050717150319744</v>
      </c>
      <c r="BO171" s="459">
        <v>1.6050717150319744</v>
      </c>
      <c r="BP171" s="460">
        <v>1.6050717150319744</v>
      </c>
      <c r="BQ171" s="468"/>
      <c r="BR171" s="877">
        <v>2.5762552103956837</v>
      </c>
      <c r="BS171" s="74">
        <f t="shared" si="4"/>
        <v>1.6853742949345139</v>
      </c>
      <c r="CS171" s="352" t="s">
        <v>1727</v>
      </c>
      <c r="CT171" s="485" t="s">
        <v>641</v>
      </c>
      <c r="CU171" s="355" t="s">
        <v>1700</v>
      </c>
    </row>
    <row r="172" spans="53:99" x14ac:dyDescent="0.35">
      <c r="BA172" s="345" t="s">
        <v>1728</v>
      </c>
      <c r="BB172" s="346" t="s">
        <v>788</v>
      </c>
      <c r="BC172" s="346" t="s">
        <v>1729</v>
      </c>
      <c r="BD172" s="355">
        <v>1</v>
      </c>
      <c r="BE172" s="355">
        <v>1</v>
      </c>
      <c r="BF172" s="355">
        <v>1</v>
      </c>
      <c r="BG172" s="355">
        <v>1</v>
      </c>
      <c r="BH172" s="356">
        <v>2.2000000000000002</v>
      </c>
      <c r="BJ172" s="352" t="str">
        <v>South Europe - South Africa</v>
      </c>
      <c r="BK172" s="327" t="s">
        <v>882</v>
      </c>
      <c r="BL172" s="327" t="s">
        <v>777</v>
      </c>
      <c r="BM172" s="429">
        <v>1.3600070313833992</v>
      </c>
      <c r="BN172" s="429">
        <v>1.3600070313833992</v>
      </c>
      <c r="BO172" s="459">
        <v>1.3600070313833992</v>
      </c>
      <c r="BP172" s="460">
        <v>1.3600070313833992</v>
      </c>
      <c r="BQ172" s="468"/>
      <c r="BR172" s="877">
        <v>1.849619125412286</v>
      </c>
      <c r="BS172" s="74">
        <f t="shared" si="4"/>
        <v>1.453908672868627</v>
      </c>
      <c r="CS172" s="352" t="s">
        <v>1730</v>
      </c>
      <c r="CT172" s="485" t="s">
        <v>445</v>
      </c>
      <c r="CU172" s="355" t="s">
        <v>1700</v>
      </c>
    </row>
    <row r="173" spans="53:99" x14ac:dyDescent="0.35">
      <c r="BA173" s="345" t="s">
        <v>1731</v>
      </c>
      <c r="BB173" s="346" t="s">
        <v>789</v>
      </c>
      <c r="BC173" s="346" t="s">
        <v>1732</v>
      </c>
      <c r="BD173" s="355">
        <v>1</v>
      </c>
      <c r="BE173" s="355">
        <v>1</v>
      </c>
      <c r="BF173" s="355">
        <v>1</v>
      </c>
      <c r="BG173" s="355">
        <v>1</v>
      </c>
      <c r="BH173" s="356">
        <v>4</v>
      </c>
      <c r="BJ173" s="352" t="str">
        <v>South Europe - West Africa</v>
      </c>
      <c r="BK173" s="327" t="s">
        <v>882</v>
      </c>
      <c r="BL173" s="327" t="s">
        <v>976</v>
      </c>
      <c r="BM173" s="429">
        <v>1.453908672868627</v>
      </c>
      <c r="BN173" s="429">
        <v>1.453908672868627</v>
      </c>
      <c r="BO173" s="459">
        <v>1.453908672868627</v>
      </c>
      <c r="BP173" s="460">
        <v>1.453908672868627</v>
      </c>
      <c r="BQ173" s="468"/>
      <c r="BR173" s="877">
        <v>2.1138504290426123</v>
      </c>
      <c r="BS173" s="74">
        <f t="shared" si="4"/>
        <v>1.520534086025485</v>
      </c>
      <c r="CS173" s="352" t="s">
        <v>1733</v>
      </c>
      <c r="CT173" s="485" t="s">
        <v>153</v>
      </c>
      <c r="CU173" s="355" t="s">
        <v>1734</v>
      </c>
    </row>
    <row r="174" spans="53:99" x14ac:dyDescent="0.35">
      <c r="BA174" s="345" t="s">
        <v>1735</v>
      </c>
      <c r="BB174" s="346" t="s">
        <v>511</v>
      </c>
      <c r="BC174" s="346" t="s">
        <v>1736</v>
      </c>
      <c r="BD174" s="355">
        <v>1</v>
      </c>
      <c r="BE174" s="355">
        <v>1</v>
      </c>
      <c r="BF174" s="355">
        <v>1</v>
      </c>
      <c r="BG174" s="355">
        <v>1</v>
      </c>
      <c r="BH174" s="356">
        <v>2.6</v>
      </c>
      <c r="BJ174" s="352" t="str">
        <v>South Europe - Central Africa</v>
      </c>
      <c r="BK174" s="327" t="s">
        <v>882</v>
      </c>
      <c r="BL174" s="327" t="s">
        <v>985</v>
      </c>
      <c r="BM174" s="429">
        <v>1.5633744140737755</v>
      </c>
      <c r="BN174" s="429">
        <v>1.5633744140737755</v>
      </c>
      <c r="BO174" s="459">
        <v>1.5633744140737755</v>
      </c>
      <c r="BP174" s="460">
        <v>1.5633744140737755</v>
      </c>
      <c r="BQ174" s="468"/>
      <c r="BR174" s="877">
        <v>2.4441395585805208</v>
      </c>
      <c r="BS174" s="74">
        <f t="shared" si="4"/>
        <v>1.6457128735629574</v>
      </c>
      <c r="CS174" s="352" t="s">
        <v>167</v>
      </c>
      <c r="CT174" s="485" t="s">
        <v>167</v>
      </c>
      <c r="CU174" s="355" t="s">
        <v>1734</v>
      </c>
    </row>
    <row r="175" spans="53:99" x14ac:dyDescent="0.35">
      <c r="BA175" s="345" t="s">
        <v>1737</v>
      </c>
      <c r="BB175" s="346" t="s">
        <v>790</v>
      </c>
      <c r="BC175" s="346" t="s">
        <v>1738</v>
      </c>
      <c r="BD175" s="355">
        <v>1</v>
      </c>
      <c r="BE175" s="355">
        <v>1</v>
      </c>
      <c r="BF175" s="355">
        <v>1</v>
      </c>
      <c r="BG175" s="355">
        <v>1</v>
      </c>
      <c r="BH175" s="356">
        <v>3</v>
      </c>
      <c r="BJ175" s="352" t="str">
        <v>South Europe - Asia</v>
      </c>
      <c r="BK175" s="327" t="s">
        <v>882</v>
      </c>
      <c r="BL175" s="327" t="s">
        <v>274</v>
      </c>
      <c r="BM175" s="429">
        <v>1.3105355674674086</v>
      </c>
      <c r="BN175" s="429">
        <v>1.3105355674674086</v>
      </c>
      <c r="BO175" s="459">
        <v>1.3105355674674086</v>
      </c>
      <c r="BP175" s="460">
        <v>1.3105355674674086</v>
      </c>
      <c r="BQ175" s="468"/>
      <c r="BR175" s="877">
        <v>1.7175034735971226</v>
      </c>
      <c r="BS175" s="74">
        <f t="shared" si="4"/>
        <v>1.3355003929257019</v>
      </c>
      <c r="CS175" s="352" t="s">
        <v>1739</v>
      </c>
      <c r="CT175" s="485" t="s">
        <v>264</v>
      </c>
      <c r="CU175" s="355" t="s">
        <v>1734</v>
      </c>
    </row>
    <row r="176" spans="53:99" x14ac:dyDescent="0.35">
      <c r="BA176" s="345" t="s">
        <v>1740</v>
      </c>
      <c r="BB176" s="346" t="s">
        <v>791</v>
      </c>
      <c r="BC176" s="346" t="s">
        <v>1741</v>
      </c>
      <c r="BD176" s="355">
        <v>1</v>
      </c>
      <c r="BE176" s="355">
        <v>1</v>
      </c>
      <c r="BF176" s="355">
        <v>1</v>
      </c>
      <c r="BG176" s="355">
        <v>1</v>
      </c>
      <c r="BH176" s="356">
        <v>4</v>
      </c>
      <c r="BJ176" s="352" t="str">
        <v>South Europe - SouthEast Asia</v>
      </c>
      <c r="BK176" s="327" t="s">
        <v>882</v>
      </c>
      <c r="BL176" s="327" t="s">
        <v>930</v>
      </c>
      <c r="BM176" s="429">
        <v>1.453908672868627</v>
      </c>
      <c r="BN176" s="429">
        <v>1.453908672868627</v>
      </c>
      <c r="BO176" s="459">
        <v>1.453908672868627</v>
      </c>
      <c r="BP176" s="460">
        <v>1.453908672868627</v>
      </c>
      <c r="BQ176" s="468"/>
      <c r="BR176" s="877">
        <v>2.1138504290426123</v>
      </c>
      <c r="BS176" s="74">
        <f t="shared" si="4"/>
        <v>1.520534086025485</v>
      </c>
      <c r="CS176" s="352" t="s">
        <v>500</v>
      </c>
      <c r="CT176" s="485" t="s">
        <v>500</v>
      </c>
      <c r="CU176" s="355" t="s">
        <v>1734</v>
      </c>
    </row>
    <row r="177" spans="53:99" x14ac:dyDescent="0.35">
      <c r="BA177" s="345" t="s">
        <v>1742</v>
      </c>
      <c r="BB177" s="346" t="s">
        <v>516</v>
      </c>
      <c r="BC177" s="346" t="s">
        <v>1743</v>
      </c>
      <c r="BD177" s="355">
        <v>1</v>
      </c>
      <c r="BE177" s="355">
        <v>1</v>
      </c>
      <c r="BF177" s="355">
        <v>1</v>
      </c>
      <c r="BG177" s="355">
        <v>1</v>
      </c>
      <c r="BH177" s="356">
        <v>10</v>
      </c>
      <c r="BJ177" s="352" t="str">
        <v>South Europe - Australia</v>
      </c>
      <c r="BK177" s="327" t="s">
        <v>882</v>
      </c>
      <c r="BL177" s="327" t="s">
        <v>160</v>
      </c>
      <c r="BM177" s="429">
        <v>1.2978730911161274</v>
      </c>
      <c r="BN177" s="429">
        <v>1.2978730911161274</v>
      </c>
      <c r="BO177" s="459">
        <v>1.2978730911161274</v>
      </c>
      <c r="BP177" s="460">
        <v>1.2978730911161274</v>
      </c>
      <c r="BQ177" s="468"/>
      <c r="BR177" s="877">
        <v>1.6844745606433313</v>
      </c>
      <c r="BS177" s="74">
        <f t="shared" si="4"/>
        <v>1.2978730911161274</v>
      </c>
      <c r="CS177" s="352" t="s">
        <v>1744</v>
      </c>
      <c r="CT177" s="485" t="s">
        <v>364</v>
      </c>
      <c r="CU177" s="355" t="s">
        <v>1734</v>
      </c>
    </row>
    <row r="178" spans="53:99" x14ac:dyDescent="0.35">
      <c r="BA178" s="345" t="s">
        <v>1745</v>
      </c>
      <c r="BB178" s="346" t="s">
        <v>523</v>
      </c>
      <c r="BC178" s="346" t="s">
        <v>1746</v>
      </c>
      <c r="BD178" s="355">
        <v>1</v>
      </c>
      <c r="BE178" s="355">
        <v>1</v>
      </c>
      <c r="BF178" s="355">
        <v>1</v>
      </c>
      <c r="BG178" s="355">
        <v>1</v>
      </c>
      <c r="BH178" s="356">
        <v>3</v>
      </c>
      <c r="BJ178" s="352" t="str">
        <v>South Europe - Near East</v>
      </c>
      <c r="BK178" s="327" t="s">
        <v>882</v>
      </c>
      <c r="BL178" s="327" t="s">
        <v>941</v>
      </c>
      <c r="BM178" s="429">
        <v>1.177800638503484</v>
      </c>
      <c r="BN178" s="429">
        <v>1.177800638503484</v>
      </c>
      <c r="BO178" s="459">
        <v>1.177800638503484</v>
      </c>
      <c r="BP178" s="460">
        <v>1.177800638503484</v>
      </c>
      <c r="BQ178" s="468"/>
      <c r="BR178" s="877">
        <v>1.3872143440592146</v>
      </c>
      <c r="BS178" s="74">
        <f t="shared" si="4"/>
        <v>1.177800638503484</v>
      </c>
      <c r="CS178" s="352" t="s">
        <v>1747</v>
      </c>
      <c r="CT178" s="485" t="s">
        <v>363</v>
      </c>
      <c r="CU178" s="355" t="s">
        <v>1734</v>
      </c>
    </row>
    <row r="179" spans="53:99" x14ac:dyDescent="0.35">
      <c r="BA179" s="345" t="s">
        <v>1748</v>
      </c>
      <c r="BB179" s="346" t="s">
        <v>792</v>
      </c>
      <c r="BC179" s="346" t="s">
        <v>1749</v>
      </c>
      <c r="BD179" s="355">
        <v>1</v>
      </c>
      <c r="BE179" s="355">
        <v>1</v>
      </c>
      <c r="BF179" s="355">
        <v>1</v>
      </c>
      <c r="BG179" s="355">
        <v>1</v>
      </c>
      <c r="BH179" s="356">
        <v>1</v>
      </c>
      <c r="BJ179" s="352" t="str">
        <v>South Europe - North Europe</v>
      </c>
      <c r="BK179" s="327" t="s">
        <v>882</v>
      </c>
      <c r="BL179" s="327" t="s">
        <v>856</v>
      </c>
      <c r="BM179" s="429">
        <v>0.87158763067014022</v>
      </c>
      <c r="BN179" s="429">
        <v>0.87158763067014022</v>
      </c>
      <c r="BO179" s="459">
        <v>0.87158763067014022</v>
      </c>
      <c r="BP179" s="460">
        <v>0.87158763067014022</v>
      </c>
      <c r="BQ179" s="468"/>
      <c r="BR179" s="877">
        <v>0.75966499793718878</v>
      </c>
      <c r="BS179" s="74">
        <f t="shared" si="4"/>
        <v>0.87158763067014022</v>
      </c>
      <c r="CS179" s="352" t="s">
        <v>1750</v>
      </c>
      <c r="CT179" s="485" t="s">
        <v>383</v>
      </c>
      <c r="CU179" s="355" t="s">
        <v>1734</v>
      </c>
    </row>
    <row r="180" spans="53:99" x14ac:dyDescent="0.35">
      <c r="BA180" s="345" t="s">
        <v>427</v>
      </c>
      <c r="BB180" s="346" t="s">
        <v>793</v>
      </c>
      <c r="BC180" s="346" t="s">
        <v>1751</v>
      </c>
      <c r="BD180" s="355">
        <v>1</v>
      </c>
      <c r="BE180" s="355">
        <v>1</v>
      </c>
      <c r="BF180" s="355">
        <v>1</v>
      </c>
      <c r="BG180" s="355">
        <v>1</v>
      </c>
      <c r="BH180" s="356">
        <v>1.9</v>
      </c>
      <c r="BJ180" s="352" t="str">
        <v>South Europe - East Europe</v>
      </c>
      <c r="BK180" s="327" t="s">
        <v>882</v>
      </c>
      <c r="BL180" s="327" t="s">
        <v>869</v>
      </c>
      <c r="BM180" s="429">
        <v>1.0597089413744172</v>
      </c>
      <c r="BN180" s="429">
        <v>1.0597089413744172</v>
      </c>
      <c r="BO180" s="459">
        <v>1.0597089413744172</v>
      </c>
      <c r="BP180" s="460">
        <v>1.0597089413744172</v>
      </c>
      <c r="BQ180" s="468"/>
      <c r="BR180" s="877">
        <v>1.1229830404288879</v>
      </c>
      <c r="BS180" s="74">
        <f t="shared" si="4"/>
        <v>1.0597089413744172</v>
      </c>
      <c r="CS180" s="352" t="s">
        <v>667</v>
      </c>
      <c r="CT180" s="485" t="s">
        <v>667</v>
      </c>
      <c r="CU180" s="355" t="s">
        <v>1734</v>
      </c>
    </row>
    <row r="181" spans="53:99" x14ac:dyDescent="0.35">
      <c r="BA181" s="345" t="s">
        <v>1752</v>
      </c>
      <c r="BB181" s="346" t="s">
        <v>794</v>
      </c>
      <c r="BC181" s="346" t="s">
        <v>1753</v>
      </c>
      <c r="BD181" s="355">
        <v>1</v>
      </c>
      <c r="BE181" s="355">
        <v>1</v>
      </c>
      <c r="BF181" s="355">
        <v>1</v>
      </c>
      <c r="BG181" s="355">
        <v>1</v>
      </c>
      <c r="BH181" s="356">
        <v>2.5</v>
      </c>
      <c r="BJ181" s="352" t="str">
        <v>South Europe - South Europe</v>
      </c>
      <c r="BK181" s="327" t="s">
        <v>882</v>
      </c>
      <c r="BL181" s="327" t="s">
        <v>882</v>
      </c>
      <c r="BM181" s="429">
        <v>0.81275965640268855</v>
      </c>
      <c r="BN181" s="429">
        <v>0.81275965640268855</v>
      </c>
      <c r="BO181" s="459">
        <v>0.81275965640268855</v>
      </c>
      <c r="BP181" s="460">
        <v>0.81275965640268855</v>
      </c>
      <c r="BQ181" s="468"/>
      <c r="BR181" s="877">
        <v>0.66057825907581635</v>
      </c>
      <c r="BS181" s="74">
        <f t="shared" si="4"/>
        <v>0.81275965640268855</v>
      </c>
      <c r="CS181" s="352" t="s">
        <v>687</v>
      </c>
      <c r="CT181" s="485" t="s">
        <v>687</v>
      </c>
      <c r="CU181" s="355" t="s">
        <v>1734</v>
      </c>
    </row>
    <row r="182" spans="53:99" x14ac:dyDescent="0.35">
      <c r="BA182" s="345" t="s">
        <v>1754</v>
      </c>
      <c r="BB182" s="346" t="s">
        <v>795</v>
      </c>
      <c r="BC182" s="346" t="s">
        <v>1755</v>
      </c>
      <c r="BD182" s="355">
        <v>1</v>
      </c>
      <c r="BE182" s="355">
        <v>1</v>
      </c>
      <c r="BF182" s="355">
        <v>1</v>
      </c>
      <c r="BG182" s="355">
        <v>1</v>
      </c>
      <c r="BH182" s="356">
        <v>3</v>
      </c>
      <c r="BJ182" s="352" t="str">
        <v>South Europe - West Europe</v>
      </c>
      <c r="BK182" s="327" t="s">
        <v>882</v>
      </c>
      <c r="BL182" s="327" t="s">
        <v>893</v>
      </c>
      <c r="BM182" s="429">
        <v>0.85242951907087194</v>
      </c>
      <c r="BN182" s="429">
        <v>0.85242951907087194</v>
      </c>
      <c r="BO182" s="459">
        <v>0.85242951907087194</v>
      </c>
      <c r="BP182" s="460">
        <v>0.85242951907087194</v>
      </c>
      <c r="BQ182" s="468"/>
      <c r="BR182" s="877">
        <v>0.72663608498339805</v>
      </c>
      <c r="BS182" s="74">
        <f t="shared" si="4"/>
        <v>0.85242951907087194</v>
      </c>
      <c r="CS182" s="352" t="s">
        <v>1756</v>
      </c>
      <c r="CT182" s="485" t="s">
        <v>1757</v>
      </c>
      <c r="CU182" s="355" t="s">
        <v>1734</v>
      </c>
    </row>
    <row r="183" spans="53:99" x14ac:dyDescent="0.35">
      <c r="BA183" s="345" t="s">
        <v>1758</v>
      </c>
      <c r="BB183" s="346" t="s">
        <v>528</v>
      </c>
      <c r="BC183" s="346" t="s">
        <v>1759</v>
      </c>
      <c r="BD183" s="355">
        <v>1</v>
      </c>
      <c r="BE183" s="355">
        <v>1</v>
      </c>
      <c r="BF183" s="355">
        <v>1</v>
      </c>
      <c r="BG183" s="355">
        <v>1</v>
      </c>
      <c r="BH183" s="356">
        <v>10</v>
      </c>
      <c r="BJ183" s="352" t="str">
        <v>South Europe - North America</v>
      </c>
      <c r="BK183" s="327" t="s">
        <v>882</v>
      </c>
      <c r="BL183" s="327" t="s">
        <v>904</v>
      </c>
      <c r="BM183" s="429">
        <v>1.0597089413744172</v>
      </c>
      <c r="BN183" s="429">
        <v>1.0597089413744172</v>
      </c>
      <c r="BO183" s="459">
        <v>1.0597089413744172</v>
      </c>
      <c r="BP183" s="460">
        <v>1.0597089413744172</v>
      </c>
      <c r="BQ183" s="468"/>
      <c r="BR183" s="877">
        <v>1.1229830404288879</v>
      </c>
      <c r="BS183" s="74">
        <f t="shared" si="4"/>
        <v>1.177800638503484</v>
      </c>
      <c r="CS183" s="352" t="s">
        <v>734</v>
      </c>
      <c r="CT183" s="485" t="s">
        <v>734</v>
      </c>
      <c r="CU183" s="355" t="s">
        <v>1734</v>
      </c>
    </row>
    <row r="184" spans="53:99" x14ac:dyDescent="0.35">
      <c r="BA184" s="345" t="s">
        <v>1760</v>
      </c>
      <c r="BB184" s="346" t="s">
        <v>796</v>
      </c>
      <c r="BC184" s="346" t="s">
        <v>1761</v>
      </c>
      <c r="BD184" s="355">
        <v>1</v>
      </c>
      <c r="BE184" s="355">
        <v>1</v>
      </c>
      <c r="BF184" s="355">
        <v>1</v>
      </c>
      <c r="BG184" s="355">
        <v>1</v>
      </c>
      <c r="BH184" s="356">
        <v>2.8</v>
      </c>
      <c r="BJ184" s="352" t="str">
        <v>South Europe - South America</v>
      </c>
      <c r="BK184" s="327" t="s">
        <v>882</v>
      </c>
      <c r="BL184" s="327" t="s">
        <v>913</v>
      </c>
      <c r="BM184" s="429">
        <v>1.285085852264175</v>
      </c>
      <c r="BN184" s="429">
        <v>1.285085852264175</v>
      </c>
      <c r="BO184" s="459">
        <v>1.285085852264175</v>
      </c>
      <c r="BP184" s="460">
        <v>1.285085852264175</v>
      </c>
      <c r="BQ184" s="468"/>
      <c r="BR184" s="877">
        <v>1.6514456476895412</v>
      </c>
      <c r="BS184" s="74">
        <f t="shared" si="4"/>
        <v>1.3355003929257019</v>
      </c>
      <c r="CS184" s="352" t="s">
        <v>757</v>
      </c>
      <c r="CT184" s="485" t="s">
        <v>757</v>
      </c>
      <c r="CU184" s="355" t="s">
        <v>1734</v>
      </c>
    </row>
    <row r="185" spans="53:99" x14ac:dyDescent="0.35">
      <c r="BA185" s="345" t="s">
        <v>1762</v>
      </c>
      <c r="BB185" s="346" t="s">
        <v>797</v>
      </c>
      <c r="BC185" s="346" t="s">
        <v>1763</v>
      </c>
      <c r="BD185" s="355">
        <v>1</v>
      </c>
      <c r="BE185" s="355">
        <v>1</v>
      </c>
      <c r="BF185" s="355">
        <v>1</v>
      </c>
      <c r="BG185" s="355">
        <v>1</v>
      </c>
      <c r="BH185" s="356">
        <v>4</v>
      </c>
      <c r="BJ185" s="352" t="str">
        <v>West Europe - North Africa</v>
      </c>
      <c r="BK185" s="327" t="s">
        <v>893</v>
      </c>
      <c r="BL185" s="327" t="s">
        <v>950</v>
      </c>
      <c r="BM185" s="429">
        <v>1.3600070313833992</v>
      </c>
      <c r="BN185" s="429">
        <v>1.3600070313833992</v>
      </c>
      <c r="BO185" s="459">
        <v>1.3600070313833992</v>
      </c>
      <c r="BP185" s="460">
        <v>1.3600070313833992</v>
      </c>
      <c r="BQ185" s="468"/>
      <c r="BR185" s="877">
        <v>1.849619125412286</v>
      </c>
      <c r="BS185" s="74">
        <f t="shared" si="4"/>
        <v>1.453908672868627</v>
      </c>
      <c r="CS185" s="352" t="s">
        <v>1764</v>
      </c>
      <c r="CT185" s="485" t="s">
        <v>765</v>
      </c>
      <c r="CU185" s="355" t="s">
        <v>1734</v>
      </c>
    </row>
    <row r="186" spans="53:99" x14ac:dyDescent="0.35">
      <c r="BA186" s="345" t="s">
        <v>1765</v>
      </c>
      <c r="BB186" s="346" t="s">
        <v>533</v>
      </c>
      <c r="BC186" s="346" t="s">
        <v>1766</v>
      </c>
      <c r="BD186" s="355">
        <v>1</v>
      </c>
      <c r="BE186" s="355">
        <v>1</v>
      </c>
      <c r="BF186" s="355">
        <v>1</v>
      </c>
      <c r="BG186" s="355">
        <v>1</v>
      </c>
      <c r="BH186" s="356">
        <v>10</v>
      </c>
      <c r="BJ186" s="352" t="str">
        <v>West Europe - East Africa</v>
      </c>
      <c r="BK186" s="327" t="s">
        <v>893</v>
      </c>
      <c r="BL186" s="327" t="s">
        <v>960</v>
      </c>
      <c r="BM186" s="429">
        <v>1.5633744140737755</v>
      </c>
      <c r="BN186" s="429">
        <v>1.5633744140737755</v>
      </c>
      <c r="BO186" s="459">
        <v>1.5633744140737755</v>
      </c>
      <c r="BP186" s="460">
        <v>1.5633744140737755</v>
      </c>
      <c r="BQ186" s="468"/>
      <c r="BR186" s="877">
        <v>2.4441395585805208</v>
      </c>
      <c r="BS186" s="74">
        <f t="shared" si="4"/>
        <v>1.6457128735629574</v>
      </c>
      <c r="CS186" s="352" t="s">
        <v>1767</v>
      </c>
      <c r="CT186" s="485" t="s">
        <v>776</v>
      </c>
      <c r="CU186" s="355" t="s">
        <v>1734</v>
      </c>
    </row>
    <row r="187" spans="53:99" x14ac:dyDescent="0.35">
      <c r="BA187" s="345" t="s">
        <v>1768</v>
      </c>
      <c r="BB187" s="346" t="s">
        <v>798</v>
      </c>
      <c r="BC187" s="346" t="s">
        <v>1769</v>
      </c>
      <c r="BD187" s="355">
        <v>1</v>
      </c>
      <c r="BE187" s="355">
        <v>1</v>
      </c>
      <c r="BF187" s="355">
        <v>1</v>
      </c>
      <c r="BG187" s="355">
        <v>1</v>
      </c>
      <c r="BH187" s="356">
        <v>4.5</v>
      </c>
      <c r="BJ187" s="352" t="str">
        <v>West Europe - South Africa</v>
      </c>
      <c r="BK187" s="327" t="s">
        <v>893</v>
      </c>
      <c r="BL187" s="327" t="s">
        <v>777</v>
      </c>
      <c r="BM187" s="429">
        <v>1.3105355674674086</v>
      </c>
      <c r="BN187" s="429">
        <v>1.3105355674674086</v>
      </c>
      <c r="BO187" s="459">
        <v>1.3105355674674086</v>
      </c>
      <c r="BP187" s="460">
        <v>1.3105355674674086</v>
      </c>
      <c r="BQ187" s="468"/>
      <c r="BR187" s="877">
        <v>1.7175034735971226</v>
      </c>
      <c r="BS187" s="74">
        <f t="shared" si="4"/>
        <v>1.4077410192316799</v>
      </c>
      <c r="CS187" s="352" t="s">
        <v>1770</v>
      </c>
      <c r="CT187" s="485" t="s">
        <v>409</v>
      </c>
      <c r="CU187" s="355" t="s">
        <v>1734</v>
      </c>
    </row>
    <row r="188" spans="53:99" x14ac:dyDescent="0.35">
      <c r="BA188" s="345" t="s">
        <v>1771</v>
      </c>
      <c r="BB188" s="346" t="s">
        <v>799</v>
      </c>
      <c r="BC188" s="346" t="s">
        <v>1772</v>
      </c>
      <c r="BD188" s="355">
        <v>1</v>
      </c>
      <c r="BE188" s="355">
        <v>1</v>
      </c>
      <c r="BF188" s="355">
        <v>1</v>
      </c>
      <c r="BG188" s="355">
        <v>1</v>
      </c>
      <c r="BH188" s="356">
        <v>4</v>
      </c>
      <c r="BJ188" s="352" t="str">
        <v>West Europe - West Africa</v>
      </c>
      <c r="BK188" s="327" t="s">
        <v>893</v>
      </c>
      <c r="BL188" s="327" t="s">
        <v>976</v>
      </c>
      <c r="BM188" s="429">
        <v>1.453908672868627</v>
      </c>
      <c r="BN188" s="429">
        <v>1.453908672868627</v>
      </c>
      <c r="BO188" s="459">
        <v>1.453908672868627</v>
      </c>
      <c r="BP188" s="460">
        <v>1.453908672868627</v>
      </c>
      <c r="BQ188" s="468"/>
      <c r="BR188" s="877">
        <v>2.1138504290426123</v>
      </c>
      <c r="BS188" s="74">
        <f t="shared" si="4"/>
        <v>1.4764512369022533</v>
      </c>
      <c r="CS188" s="352" t="s">
        <v>1773</v>
      </c>
      <c r="CT188" s="485" t="s">
        <v>1774</v>
      </c>
      <c r="CU188" s="355" t="s">
        <v>1734</v>
      </c>
    </row>
    <row r="189" spans="53:99" x14ac:dyDescent="0.35">
      <c r="BA189" s="375" t="s">
        <v>1775</v>
      </c>
      <c r="BB189" s="349" t="s">
        <v>800</v>
      </c>
      <c r="BC189" s="349" t="s">
        <v>1776</v>
      </c>
      <c r="BD189" s="366">
        <v>1</v>
      </c>
      <c r="BE189" s="366">
        <v>1</v>
      </c>
      <c r="BF189" s="366">
        <v>1</v>
      </c>
      <c r="BG189" s="366">
        <v>1</v>
      </c>
      <c r="BH189" s="379">
        <v>4.5</v>
      </c>
      <c r="BJ189" s="352" t="str">
        <v>West Europe - Central Africa</v>
      </c>
      <c r="BK189" s="327" t="s">
        <v>893</v>
      </c>
      <c r="BL189" s="327" t="s">
        <v>985</v>
      </c>
      <c r="BM189" s="429">
        <v>1.520534086025485</v>
      </c>
      <c r="BN189" s="429">
        <v>1.520534086025485</v>
      </c>
      <c r="BO189" s="459">
        <v>1.520534086025485</v>
      </c>
      <c r="BP189" s="460">
        <v>1.520534086025485</v>
      </c>
      <c r="BQ189" s="468"/>
      <c r="BR189" s="877">
        <v>2.312023906765357</v>
      </c>
      <c r="BS189" s="74">
        <f t="shared" si="4"/>
        <v>1.6050717150319744</v>
      </c>
      <c r="CS189" s="352" t="s">
        <v>1777</v>
      </c>
      <c r="CT189" s="485" t="s">
        <v>228</v>
      </c>
      <c r="CU189" s="355" t="s">
        <v>1778</v>
      </c>
    </row>
    <row r="190" spans="53:99" x14ac:dyDescent="0.35">
      <c r="BJ190" s="352" t="str">
        <v>West Europe - Asia</v>
      </c>
      <c r="BK190" s="327" t="s">
        <v>893</v>
      </c>
      <c r="BL190" s="327" t="s">
        <v>274</v>
      </c>
      <c r="BM190" s="429">
        <v>1.2591218454867501</v>
      </c>
      <c r="BN190" s="429">
        <v>1.2591218454867501</v>
      </c>
      <c r="BO190" s="459">
        <v>1.2591218454867501</v>
      </c>
      <c r="BP190" s="460">
        <v>1.2591218454867501</v>
      </c>
      <c r="BQ190" s="468"/>
      <c r="BR190" s="877">
        <v>1.5853878217819595</v>
      </c>
      <c r="BS190" s="74">
        <f t="shared" si="4"/>
        <v>1.285085852264175</v>
      </c>
      <c r="CS190" s="352" t="s">
        <v>1779</v>
      </c>
      <c r="CT190" s="485" t="s">
        <v>489</v>
      </c>
      <c r="CU190" s="355" t="s">
        <v>1778</v>
      </c>
    </row>
    <row r="191" spans="53:99" x14ac:dyDescent="0.35">
      <c r="BJ191" s="352" t="str">
        <v>West Europe - SouthEast Asia</v>
      </c>
      <c r="BK191" s="327" t="s">
        <v>893</v>
      </c>
      <c r="BL191" s="327" t="s">
        <v>930</v>
      </c>
      <c r="BM191" s="429">
        <v>1.4077410192316799</v>
      </c>
      <c r="BN191" s="429">
        <v>1.4077410192316799</v>
      </c>
      <c r="BO191" s="459">
        <v>1.4077410192316799</v>
      </c>
      <c r="BP191" s="460">
        <v>1.4077410192316799</v>
      </c>
      <c r="BQ191" s="468"/>
      <c r="BR191" s="877">
        <v>1.981734777227449</v>
      </c>
      <c r="BS191" s="74">
        <f t="shared" si="4"/>
        <v>1.4764512369022533</v>
      </c>
      <c r="CS191" s="352" t="s">
        <v>1780</v>
      </c>
      <c r="CT191" s="485" t="s">
        <v>359</v>
      </c>
      <c r="CU191" s="355" t="s">
        <v>1778</v>
      </c>
    </row>
    <row r="192" spans="53:99" x14ac:dyDescent="0.35">
      <c r="BJ192" s="352" t="str">
        <v>West Europe - Australia</v>
      </c>
      <c r="BK192" s="327" t="s">
        <v>893</v>
      </c>
      <c r="BL192" s="327" t="s">
        <v>160</v>
      </c>
      <c r="BM192" s="429">
        <v>1.2978730911161274</v>
      </c>
      <c r="BN192" s="429">
        <v>1.2978730911161274</v>
      </c>
      <c r="BO192" s="459">
        <v>1.2978730911161274</v>
      </c>
      <c r="BP192" s="460">
        <v>1.2978730911161274</v>
      </c>
      <c r="BQ192" s="468"/>
      <c r="BR192" s="877">
        <v>1.6844745606433313</v>
      </c>
      <c r="BS192" s="74">
        <f t="shared" si="4"/>
        <v>1.2978730911161274</v>
      </c>
      <c r="CS192" s="352" t="s">
        <v>638</v>
      </c>
      <c r="CT192" s="485" t="s">
        <v>638</v>
      </c>
      <c r="CU192" s="355" t="s">
        <v>1778</v>
      </c>
    </row>
    <row r="193" spans="62:99" x14ac:dyDescent="0.35">
      <c r="BJ193" s="352" t="str">
        <v>West Europe - Near East</v>
      </c>
      <c r="BK193" s="327" t="s">
        <v>893</v>
      </c>
      <c r="BL193" s="327" t="s">
        <v>941</v>
      </c>
      <c r="BM193" s="429">
        <v>1.1203118727586756</v>
      </c>
      <c r="BN193" s="429">
        <v>1.1203118727586756</v>
      </c>
      <c r="BO193" s="459">
        <v>1.1203118727586756</v>
      </c>
      <c r="BP193" s="460">
        <v>1.1203118727586756</v>
      </c>
      <c r="BQ193" s="468"/>
      <c r="BR193" s="877">
        <v>1.255098692244051</v>
      </c>
      <c r="BS193" s="74">
        <f t="shared" si="4"/>
        <v>1.1203118727586756</v>
      </c>
      <c r="CS193" s="352" t="s">
        <v>1781</v>
      </c>
      <c r="CT193" s="485" t="s">
        <v>644</v>
      </c>
      <c r="CU193" s="355" t="s">
        <v>1778</v>
      </c>
    </row>
    <row r="194" spans="62:99" x14ac:dyDescent="0.35">
      <c r="BJ194" s="352" t="str">
        <v>West Europe - North Europe</v>
      </c>
      <c r="BK194" s="327" t="s">
        <v>893</v>
      </c>
      <c r="BL194" s="327" t="s">
        <v>856</v>
      </c>
      <c r="BM194" s="429">
        <v>0.83283081837165907</v>
      </c>
      <c r="BN194" s="429">
        <v>0.83283081837165907</v>
      </c>
      <c r="BO194" s="459">
        <v>0.83283081837165907</v>
      </c>
      <c r="BP194" s="460">
        <v>0.83283081837165907</v>
      </c>
      <c r="BQ194" s="468"/>
      <c r="BR194" s="877">
        <v>0.69360717202960742</v>
      </c>
      <c r="BS194" s="74">
        <f t="shared" si="4"/>
        <v>0.83283081837165907</v>
      </c>
      <c r="CS194" s="352" t="s">
        <v>681</v>
      </c>
      <c r="CT194" s="485" t="s">
        <v>681</v>
      </c>
      <c r="CU194" s="355" t="s">
        <v>1778</v>
      </c>
    </row>
    <row r="195" spans="62:99" x14ac:dyDescent="0.35">
      <c r="BJ195" s="352" t="str">
        <v>West Europe - East Europe</v>
      </c>
      <c r="BK195" s="327" t="s">
        <v>893</v>
      </c>
      <c r="BL195" s="327" t="s">
        <v>869</v>
      </c>
      <c r="BM195" s="429">
        <v>0.9954232208531828</v>
      </c>
      <c r="BN195" s="429">
        <v>0.9954232208531828</v>
      </c>
      <c r="BO195" s="459">
        <v>0.9954232208531828</v>
      </c>
      <c r="BP195" s="460">
        <v>0.9954232208531828</v>
      </c>
      <c r="BQ195" s="468"/>
      <c r="BR195" s="877">
        <v>0.99086738861372436</v>
      </c>
      <c r="BS195" s="74">
        <f t="shared" si="4"/>
        <v>0.9954232208531828</v>
      </c>
      <c r="CS195" s="352" t="s">
        <v>1782</v>
      </c>
      <c r="CT195" s="485" t="s">
        <v>391</v>
      </c>
      <c r="CU195" s="355" t="s">
        <v>1778</v>
      </c>
    </row>
    <row r="196" spans="62:99" x14ac:dyDescent="0.35">
      <c r="BJ196" s="352" t="str">
        <v>West Europe - South Europe</v>
      </c>
      <c r="BK196" s="327" t="s">
        <v>893</v>
      </c>
      <c r="BL196" s="327" t="s">
        <v>882</v>
      </c>
      <c r="BM196" s="429">
        <v>0.85242951907087194</v>
      </c>
      <c r="BN196" s="429">
        <v>0.85242951907087194</v>
      </c>
      <c r="BO196" s="459">
        <v>0.85242951907087194</v>
      </c>
      <c r="BP196" s="460">
        <v>0.85242951907087194</v>
      </c>
      <c r="BQ196" s="468"/>
      <c r="BR196" s="877">
        <v>0.72663608498339805</v>
      </c>
      <c r="BS196" s="74">
        <f t="shared" si="4"/>
        <v>0.85242951907087194</v>
      </c>
      <c r="CS196" s="352" t="s">
        <v>1783</v>
      </c>
      <c r="CT196" s="485" t="s">
        <v>197</v>
      </c>
      <c r="CU196" s="355" t="s">
        <v>1778</v>
      </c>
    </row>
    <row r="197" spans="62:99" x14ac:dyDescent="0.35">
      <c r="BJ197" s="352" t="str">
        <v>West Europe - West Europe</v>
      </c>
      <c r="BK197" s="327" t="s">
        <v>893</v>
      </c>
      <c r="BL197" s="327" t="s">
        <v>893</v>
      </c>
      <c r="BM197" s="429">
        <v>0.81275965640268855</v>
      </c>
      <c r="BN197" s="429">
        <v>0.81275965640268855</v>
      </c>
      <c r="BO197" s="459">
        <v>0.81275965640268855</v>
      </c>
      <c r="BP197" s="460">
        <v>0.81275965640268855</v>
      </c>
      <c r="BQ197" s="468"/>
      <c r="BR197" s="877">
        <v>0.66057825907581635</v>
      </c>
      <c r="BS197" s="74">
        <f t="shared" ref="BS197:BS228" si="5">VLOOKUP(RIGHT(BJ197, LEN(BJ197) - FIND(" - ", BJ197) - 2) &amp; " - " &amp; LEFT(BJ197, FIND(" - ", BJ197) -1), \parameter_geoscope_int_int, 7, FALSE)</f>
        <v>0.81275965640268855</v>
      </c>
      <c r="CS197" s="352" t="s">
        <v>1784</v>
      </c>
      <c r="CT197" s="485" t="s">
        <v>415</v>
      </c>
      <c r="CU197" s="355" t="s">
        <v>1778</v>
      </c>
    </row>
    <row r="198" spans="62:99" x14ac:dyDescent="0.35">
      <c r="BJ198" s="352" t="str">
        <v>West Europe - North America</v>
      </c>
      <c r="BK198" s="327" t="s">
        <v>893</v>
      </c>
      <c r="BL198" s="327" t="s">
        <v>904</v>
      </c>
      <c r="BM198" s="429">
        <v>1.0597089413744172</v>
      </c>
      <c r="BN198" s="429">
        <v>1.0597089413744172</v>
      </c>
      <c r="BO198" s="459">
        <v>1.0597089413744172</v>
      </c>
      <c r="BP198" s="460">
        <v>1.0597089413744172</v>
      </c>
      <c r="BQ198" s="468"/>
      <c r="BR198" s="877">
        <v>1.1229830404288879</v>
      </c>
      <c r="BS198" s="74">
        <f t="shared" si="5"/>
        <v>1.1203118727586756</v>
      </c>
      <c r="CS198" s="352" t="s">
        <v>1785</v>
      </c>
      <c r="CT198" s="485" t="s">
        <v>1785</v>
      </c>
      <c r="CU198" s="355" t="s">
        <v>1778</v>
      </c>
    </row>
    <row r="199" spans="62:99" x14ac:dyDescent="0.35">
      <c r="BJ199" s="352" t="str">
        <v>West Europe - South America</v>
      </c>
      <c r="BK199" s="327" t="s">
        <v>893</v>
      </c>
      <c r="BL199" s="327" t="s">
        <v>913</v>
      </c>
      <c r="BM199" s="429">
        <v>1.285085852264175</v>
      </c>
      <c r="BN199" s="429">
        <v>1.285085852264175</v>
      </c>
      <c r="BO199" s="459">
        <v>1.285085852264175</v>
      </c>
      <c r="BP199" s="460">
        <v>1.285085852264175</v>
      </c>
      <c r="BQ199" s="468"/>
      <c r="BR199" s="877">
        <v>1.6514456476895412</v>
      </c>
      <c r="BS199" s="74">
        <f t="shared" si="5"/>
        <v>1.285085852264175</v>
      </c>
      <c r="CS199" s="352" t="s">
        <v>1786</v>
      </c>
      <c r="CT199" s="485" t="s">
        <v>160</v>
      </c>
      <c r="CU199" s="355" t="s">
        <v>160</v>
      </c>
    </row>
    <row r="200" spans="62:99" x14ac:dyDescent="0.35">
      <c r="BJ200" s="352" t="str">
        <v>North America - North Africa</v>
      </c>
      <c r="BK200" s="327" t="s">
        <v>904</v>
      </c>
      <c r="BL200" s="327" t="s">
        <v>950</v>
      </c>
      <c r="BM200" s="429">
        <v>1.384079821151897</v>
      </c>
      <c r="BN200" s="429">
        <v>1.384079821151897</v>
      </c>
      <c r="BO200" s="459">
        <v>1.384079821151897</v>
      </c>
      <c r="BP200" s="460">
        <v>1.384079821151897</v>
      </c>
      <c r="BQ200" s="468"/>
      <c r="BR200" s="877">
        <v>1.915676951319867</v>
      </c>
      <c r="BS200" s="74">
        <f t="shared" si="5"/>
        <v>1.4764512369022533</v>
      </c>
      <c r="CS200" s="352" t="s">
        <v>1787</v>
      </c>
      <c r="CT200" s="485" t="s">
        <v>168</v>
      </c>
      <c r="CU200" s="355" t="s">
        <v>160</v>
      </c>
    </row>
    <row r="201" spans="62:99" x14ac:dyDescent="0.35">
      <c r="BJ201" s="352" t="str">
        <v>North America - East Africa</v>
      </c>
      <c r="BK201" s="327" t="s">
        <v>904</v>
      </c>
      <c r="BL201" s="327" t="s">
        <v>960</v>
      </c>
      <c r="BM201" s="429">
        <v>1.5843602445429201</v>
      </c>
      <c r="BN201" s="429">
        <v>1.5843602445429201</v>
      </c>
      <c r="BO201" s="459">
        <v>1.5843602445429201</v>
      </c>
      <c r="BP201" s="460">
        <v>1.5843602445429201</v>
      </c>
      <c r="BQ201" s="468"/>
      <c r="BR201" s="877">
        <v>2.5101973844881016</v>
      </c>
      <c r="BS201" s="74">
        <f t="shared" si="5"/>
        <v>1.6656616367433181</v>
      </c>
      <c r="CS201" s="352" t="s">
        <v>1788</v>
      </c>
      <c r="CT201" s="485" t="s">
        <v>1789</v>
      </c>
      <c r="CU201" s="355" t="s">
        <v>160</v>
      </c>
    </row>
    <row r="202" spans="62:99" x14ac:dyDescent="0.35">
      <c r="BJ202" s="352" t="str">
        <v>North America - South Africa</v>
      </c>
      <c r="BK202" s="327" t="s">
        <v>904</v>
      </c>
      <c r="BL202" s="327" t="s">
        <v>777</v>
      </c>
      <c r="BM202" s="429">
        <v>1.3355003929257019</v>
      </c>
      <c r="BN202" s="429">
        <v>1.3355003929257019</v>
      </c>
      <c r="BO202" s="459">
        <v>1.3355003929257019</v>
      </c>
      <c r="BP202" s="460">
        <v>1.3355003929257019</v>
      </c>
      <c r="BQ202" s="468"/>
      <c r="BR202" s="877">
        <v>1.7835612995047041</v>
      </c>
      <c r="BS202" s="74">
        <f t="shared" si="5"/>
        <v>1.431011042282704</v>
      </c>
    </row>
    <row r="203" spans="62:99" x14ac:dyDescent="0.35">
      <c r="BJ203" s="352" t="str">
        <v>North America - West Africa</v>
      </c>
      <c r="BK203" s="327" t="s">
        <v>904</v>
      </c>
      <c r="BL203" s="327" t="s">
        <v>976</v>
      </c>
      <c r="BM203" s="429">
        <v>1.4764512369022533</v>
      </c>
      <c r="BN203" s="429">
        <v>1.4764512369022533</v>
      </c>
      <c r="BO203" s="459">
        <v>1.4764512369022533</v>
      </c>
      <c r="BP203" s="460">
        <v>1.4764512369022533</v>
      </c>
      <c r="BQ203" s="468"/>
      <c r="BR203" s="877">
        <v>2.1799082549501936</v>
      </c>
      <c r="BS203" s="74">
        <f t="shared" si="5"/>
        <v>1.4986547570597357</v>
      </c>
    </row>
    <row r="204" spans="62:99" x14ac:dyDescent="0.35">
      <c r="BJ204" s="352" t="str">
        <v>North America - Central Africa</v>
      </c>
      <c r="BK204" s="327" t="s">
        <v>904</v>
      </c>
      <c r="BL204" s="327" t="s">
        <v>985</v>
      </c>
      <c r="BM204" s="429">
        <v>1.5421030227170098</v>
      </c>
      <c r="BN204" s="429">
        <v>1.5421030227170098</v>
      </c>
      <c r="BO204" s="459">
        <v>1.5421030227170098</v>
      </c>
      <c r="BP204" s="460">
        <v>1.5421030227170098</v>
      </c>
      <c r="BQ204" s="468"/>
      <c r="BR204" s="877">
        <v>2.3780817326729387</v>
      </c>
      <c r="BS204" s="74">
        <f t="shared" si="5"/>
        <v>1.6255193128053771</v>
      </c>
      <c r="CT204" s="74" t="s">
        <v>1790</v>
      </c>
    </row>
    <row r="205" spans="62:99" x14ac:dyDescent="0.35">
      <c r="BJ205" s="352" t="str">
        <v>North America - Asia</v>
      </c>
      <c r="BK205" s="327" t="s">
        <v>904</v>
      </c>
      <c r="BL205" s="327" t="s">
        <v>274</v>
      </c>
      <c r="BM205" s="429">
        <v>1.285085852264175</v>
      </c>
      <c r="BN205" s="429">
        <v>1.285085852264175</v>
      </c>
      <c r="BO205" s="459">
        <v>1.285085852264175</v>
      </c>
      <c r="BP205" s="460">
        <v>1.285085852264175</v>
      </c>
      <c r="BQ205" s="468"/>
      <c r="BR205" s="877">
        <v>1.6514456476895412</v>
      </c>
      <c r="BS205" s="74">
        <f t="shared" si="5"/>
        <v>1.3105355674674086</v>
      </c>
    </row>
    <row r="206" spans="62:99" x14ac:dyDescent="0.35">
      <c r="BJ206" s="352" t="str">
        <v>North America - SouthEast Asia</v>
      </c>
      <c r="BK206" s="327" t="s">
        <v>904</v>
      </c>
      <c r="BL206" s="327" t="s">
        <v>930</v>
      </c>
      <c r="BM206" s="429">
        <v>1.431011042282704</v>
      </c>
      <c r="BN206" s="429">
        <v>1.431011042282704</v>
      </c>
      <c r="BO206" s="459">
        <v>1.431011042282704</v>
      </c>
      <c r="BP206" s="460">
        <v>1.431011042282704</v>
      </c>
      <c r="BQ206" s="468"/>
      <c r="BR206" s="877">
        <v>2.0477926031350311</v>
      </c>
      <c r="BS206" s="74">
        <f t="shared" si="5"/>
        <v>1.4986547570597357</v>
      </c>
    </row>
    <row r="207" spans="62:99" x14ac:dyDescent="0.35">
      <c r="BJ207" s="352" t="str">
        <v>North America - Australia</v>
      </c>
      <c r="BK207" s="327" t="s">
        <v>904</v>
      </c>
      <c r="BL207" s="327" t="s">
        <v>160</v>
      </c>
      <c r="BM207" s="429">
        <v>1.177800638503484</v>
      </c>
      <c r="BN207" s="429">
        <v>1.177800638503484</v>
      </c>
      <c r="BO207" s="459">
        <v>1.177800638503484</v>
      </c>
      <c r="BP207" s="460">
        <v>1.177800638503484</v>
      </c>
      <c r="BQ207" s="468"/>
      <c r="BR207" s="877">
        <v>1.3872143440592146</v>
      </c>
      <c r="BS207" s="74">
        <f t="shared" si="5"/>
        <v>1.177800638503484</v>
      </c>
    </row>
    <row r="208" spans="62:99" x14ac:dyDescent="0.35">
      <c r="BJ208" s="352" t="str">
        <v>North America - Near East</v>
      </c>
      <c r="BK208" s="327" t="s">
        <v>904</v>
      </c>
      <c r="BL208" s="327" t="s">
        <v>941</v>
      </c>
      <c r="BM208" s="429">
        <v>1.1494157290343789</v>
      </c>
      <c r="BN208" s="429">
        <v>1.1494157290343789</v>
      </c>
      <c r="BO208" s="459">
        <v>1.1494157290343789</v>
      </c>
      <c r="BP208" s="460">
        <v>1.1494157290343789</v>
      </c>
      <c r="BQ208" s="468"/>
      <c r="BR208" s="877">
        <v>1.3211565181516329</v>
      </c>
      <c r="BS208" s="74">
        <f t="shared" si="5"/>
        <v>1.1494157290343789</v>
      </c>
    </row>
    <row r="209" spans="62:71" x14ac:dyDescent="0.35">
      <c r="BJ209" s="352" t="str">
        <v>North America - North Europe</v>
      </c>
      <c r="BK209" s="327" t="s">
        <v>904</v>
      </c>
      <c r="BL209" s="327" t="s">
        <v>856</v>
      </c>
      <c r="BM209" s="429">
        <v>1.1203118727586756</v>
      </c>
      <c r="BN209" s="429">
        <v>1.1203118727586756</v>
      </c>
      <c r="BO209" s="459">
        <v>1.1203118727586756</v>
      </c>
      <c r="BP209" s="460">
        <v>1.1203118727586756</v>
      </c>
      <c r="BQ209" s="468"/>
      <c r="BR209" s="877">
        <v>1.255098692244051</v>
      </c>
      <c r="BS209" s="74">
        <f t="shared" si="5"/>
        <v>1.0751799632539099</v>
      </c>
    </row>
    <row r="210" spans="62:71" x14ac:dyDescent="0.35">
      <c r="BJ210" s="352" t="str">
        <v>North America - East Europe</v>
      </c>
      <c r="BK210" s="327" t="s">
        <v>904</v>
      </c>
      <c r="BL210" s="327" t="s">
        <v>869</v>
      </c>
      <c r="BM210" s="429">
        <v>1.2591218454867501</v>
      </c>
      <c r="BN210" s="429">
        <v>1.2591218454867501</v>
      </c>
      <c r="BO210" s="459">
        <v>1.2591218454867501</v>
      </c>
      <c r="BP210" s="460">
        <v>1.2591218454867501</v>
      </c>
      <c r="BQ210" s="468"/>
      <c r="BR210" s="877">
        <v>1.5853878217819595</v>
      </c>
      <c r="BS210" s="74">
        <f t="shared" si="5"/>
        <v>1.205517386837202</v>
      </c>
    </row>
    <row r="211" spans="62:71" x14ac:dyDescent="0.35">
      <c r="BJ211" s="352" t="str">
        <v>North America - South Europe</v>
      </c>
      <c r="BK211" s="327" t="s">
        <v>904</v>
      </c>
      <c r="BL211" s="327" t="s">
        <v>882</v>
      </c>
      <c r="BM211" s="429">
        <v>1.177800638503484</v>
      </c>
      <c r="BN211" s="429">
        <v>1.177800638503484</v>
      </c>
      <c r="BO211" s="459">
        <v>1.177800638503484</v>
      </c>
      <c r="BP211" s="460">
        <v>1.177800638503484</v>
      </c>
      <c r="BQ211" s="468"/>
      <c r="BR211" s="877">
        <v>1.3872143440592146</v>
      </c>
      <c r="BS211" s="74">
        <f t="shared" si="5"/>
        <v>1.0597089413744172</v>
      </c>
    </row>
    <row r="212" spans="62:71" x14ac:dyDescent="0.35">
      <c r="BJ212" s="352" t="str">
        <v>North America - West Europe</v>
      </c>
      <c r="BK212" s="327" t="s">
        <v>904</v>
      </c>
      <c r="BL212" s="327" t="s">
        <v>893</v>
      </c>
      <c r="BM212" s="429">
        <v>1.1203118727586756</v>
      </c>
      <c r="BN212" s="429">
        <v>1.1203118727586756</v>
      </c>
      <c r="BO212" s="459">
        <v>1.1203118727586756</v>
      </c>
      <c r="BP212" s="460">
        <v>1.1203118727586756</v>
      </c>
      <c r="BQ212" s="468"/>
      <c r="BR212" s="877">
        <v>1.255098692244051</v>
      </c>
      <c r="BS212" s="74">
        <f t="shared" si="5"/>
        <v>1.0597089413744172</v>
      </c>
    </row>
    <row r="213" spans="62:71" x14ac:dyDescent="0.35">
      <c r="BJ213" s="352" t="str">
        <v>North America - North America</v>
      </c>
      <c r="BK213" s="327" t="s">
        <v>904</v>
      </c>
      <c r="BL213" s="327" t="s">
        <v>904</v>
      </c>
      <c r="BM213" s="429">
        <v>1.0904315046514703</v>
      </c>
      <c r="BN213" s="429">
        <v>1.0904315046514703</v>
      </c>
      <c r="BO213" s="459">
        <v>1.0904315046514703</v>
      </c>
      <c r="BP213" s="460">
        <v>1.0904315046514703</v>
      </c>
      <c r="BQ213" s="468"/>
      <c r="BR213" s="877">
        <v>1.1890408663364695</v>
      </c>
      <c r="BS213" s="74">
        <f t="shared" si="5"/>
        <v>1.0904315046514703</v>
      </c>
    </row>
    <row r="214" spans="62:71" x14ac:dyDescent="0.35">
      <c r="BJ214" s="352" t="str">
        <v>North America - South America</v>
      </c>
      <c r="BK214" s="327" t="s">
        <v>904</v>
      </c>
      <c r="BL214" s="327" t="s">
        <v>913</v>
      </c>
      <c r="BM214" s="429">
        <v>1.3105355674674086</v>
      </c>
      <c r="BN214" s="429">
        <v>1.3105355674674086</v>
      </c>
      <c r="BO214" s="459">
        <v>1.3105355674674086</v>
      </c>
      <c r="BP214" s="460">
        <v>1.3105355674674086</v>
      </c>
      <c r="BQ214" s="468"/>
      <c r="BR214" s="877">
        <v>1.7175034735971226</v>
      </c>
      <c r="BS214" s="74">
        <f t="shared" si="5"/>
        <v>1.4077410192316799</v>
      </c>
    </row>
    <row r="215" spans="62:71" x14ac:dyDescent="0.35">
      <c r="BJ215" s="352" t="str">
        <v>South America - North Africa</v>
      </c>
      <c r="BK215" s="327" t="s">
        <v>913</v>
      </c>
      <c r="BL215" s="327" t="s">
        <v>950</v>
      </c>
      <c r="BM215" s="429">
        <v>1.4764512369022533</v>
      </c>
      <c r="BN215" s="429">
        <v>1.4764512369022533</v>
      </c>
      <c r="BO215" s="459">
        <v>1.4764512369022533</v>
      </c>
      <c r="BP215" s="460">
        <v>1.4764512369022533</v>
      </c>
      <c r="BQ215" s="468"/>
      <c r="BR215" s="877">
        <v>2.1799082549501936</v>
      </c>
      <c r="BS215" s="74">
        <f t="shared" si="5"/>
        <v>1.5633744140737755</v>
      </c>
    </row>
    <row r="216" spans="62:71" x14ac:dyDescent="0.35">
      <c r="BJ216" s="352" t="str">
        <v>South America - East Africa</v>
      </c>
      <c r="BK216" s="327" t="s">
        <v>913</v>
      </c>
      <c r="BL216" s="327" t="s">
        <v>960</v>
      </c>
      <c r="BM216" s="429">
        <v>1.6656616367433181</v>
      </c>
      <c r="BN216" s="429">
        <v>1.6656616367433181</v>
      </c>
      <c r="BO216" s="459">
        <v>1.6656616367433181</v>
      </c>
      <c r="BP216" s="460">
        <v>1.6656616367433181</v>
      </c>
      <c r="BQ216" s="468"/>
      <c r="BR216" s="877">
        <v>2.7744286881184297</v>
      </c>
      <c r="BS216" s="74">
        <f t="shared" si="5"/>
        <v>1.7431752613402804</v>
      </c>
    </row>
    <row r="217" spans="62:71" x14ac:dyDescent="0.35">
      <c r="BJ217" s="352" t="str">
        <v>South America - South Africa</v>
      </c>
      <c r="BK217" s="327" t="s">
        <v>913</v>
      </c>
      <c r="BL217" s="327" t="s">
        <v>777</v>
      </c>
      <c r="BM217" s="429">
        <v>1.431011042282704</v>
      </c>
      <c r="BN217" s="429">
        <v>1.431011042282704</v>
      </c>
      <c r="BO217" s="459">
        <v>1.431011042282704</v>
      </c>
      <c r="BP217" s="460">
        <v>1.431011042282704</v>
      </c>
      <c r="BQ217" s="468"/>
      <c r="BR217" s="877">
        <v>2.0477926031350311</v>
      </c>
      <c r="BS217" s="74">
        <f t="shared" si="5"/>
        <v>1.520534086025485</v>
      </c>
    </row>
    <row r="218" spans="62:71" x14ac:dyDescent="0.35">
      <c r="BJ218" s="352" t="str">
        <v>South America - West Africa</v>
      </c>
      <c r="BK218" s="327" t="s">
        <v>913</v>
      </c>
      <c r="BL218" s="327" t="s">
        <v>976</v>
      </c>
      <c r="BM218" s="429">
        <v>1.520534086025485</v>
      </c>
      <c r="BN218" s="429">
        <v>1.520534086025485</v>
      </c>
      <c r="BO218" s="459">
        <v>1.520534086025485</v>
      </c>
      <c r="BP218" s="460">
        <v>1.520534086025485</v>
      </c>
      <c r="BQ218" s="468"/>
      <c r="BR218" s="877">
        <v>2.312023906765357</v>
      </c>
      <c r="BS218" s="74">
        <f t="shared" si="5"/>
        <v>1.6050717150319744</v>
      </c>
    </row>
    <row r="219" spans="62:71" x14ac:dyDescent="0.35">
      <c r="BJ219" s="352" t="str">
        <v>South America - Central Africa</v>
      </c>
      <c r="BK219" s="327" t="s">
        <v>913</v>
      </c>
      <c r="BL219" s="327" t="s">
        <v>985</v>
      </c>
      <c r="BM219" s="429">
        <v>1.6255193128053771</v>
      </c>
      <c r="BN219" s="429">
        <v>1.6255193128053771</v>
      </c>
      <c r="BO219" s="459">
        <v>1.6255193128053771</v>
      </c>
      <c r="BP219" s="460">
        <v>1.6255193128053771</v>
      </c>
      <c r="BQ219" s="468"/>
      <c r="BR219" s="877">
        <v>2.6423130363032654</v>
      </c>
      <c r="BS219" s="74">
        <f t="shared" si="5"/>
        <v>1.7048590381417439</v>
      </c>
    </row>
    <row r="220" spans="62:71" x14ac:dyDescent="0.35">
      <c r="BJ220" s="352" t="str">
        <v>South America - Asia</v>
      </c>
      <c r="BK220" s="327" t="s">
        <v>913</v>
      </c>
      <c r="BL220" s="327" t="s">
        <v>274</v>
      </c>
      <c r="BM220" s="429">
        <v>1.384079821151897</v>
      </c>
      <c r="BN220" s="429">
        <v>1.384079821151897</v>
      </c>
      <c r="BO220" s="459">
        <v>1.384079821151897</v>
      </c>
      <c r="BP220" s="460">
        <v>1.384079821151897</v>
      </c>
      <c r="BQ220" s="468"/>
      <c r="BR220" s="877">
        <v>1.915676951319867</v>
      </c>
      <c r="BS220" s="74">
        <f t="shared" si="5"/>
        <v>1.4077410192316799</v>
      </c>
    </row>
    <row r="221" spans="62:71" x14ac:dyDescent="0.35">
      <c r="BJ221" s="352" t="str">
        <v>South America - SouthEast Asia</v>
      </c>
      <c r="BK221" s="327" t="s">
        <v>913</v>
      </c>
      <c r="BL221" s="327" t="s">
        <v>930</v>
      </c>
      <c r="BM221" s="429">
        <v>1.520534086025485</v>
      </c>
      <c r="BN221" s="429">
        <v>1.520534086025485</v>
      </c>
      <c r="BO221" s="459">
        <v>1.520534086025485</v>
      </c>
      <c r="BP221" s="460">
        <v>1.520534086025485</v>
      </c>
      <c r="BQ221" s="468"/>
      <c r="BR221" s="877">
        <v>2.312023906765357</v>
      </c>
      <c r="BS221" s="74">
        <f t="shared" si="5"/>
        <v>1.5843602445429201</v>
      </c>
    </row>
    <row r="222" spans="62:71" x14ac:dyDescent="0.35">
      <c r="BJ222" s="352" t="str">
        <v>South America - Australia</v>
      </c>
      <c r="BK222" s="327" t="s">
        <v>913</v>
      </c>
      <c r="BL222" s="327" t="s">
        <v>160</v>
      </c>
      <c r="BM222" s="429">
        <v>1.285085852264175</v>
      </c>
      <c r="BN222" s="429">
        <v>1.285085852264175</v>
      </c>
      <c r="BO222" s="459">
        <v>1.285085852264175</v>
      </c>
      <c r="BP222" s="460">
        <v>1.285085852264175</v>
      </c>
      <c r="BQ222" s="468"/>
      <c r="BR222" s="877">
        <v>1.6514456476895412</v>
      </c>
      <c r="BS222" s="74">
        <f t="shared" si="5"/>
        <v>1.285085852264175</v>
      </c>
    </row>
    <row r="223" spans="62:71" x14ac:dyDescent="0.35">
      <c r="BJ223" s="352" t="str">
        <v>South America - Near East</v>
      </c>
      <c r="BK223" s="327" t="s">
        <v>913</v>
      </c>
      <c r="BL223" s="327" t="s">
        <v>941</v>
      </c>
      <c r="BM223" s="429">
        <v>1.2591218454867501</v>
      </c>
      <c r="BN223" s="429">
        <v>1.2591218454867501</v>
      </c>
      <c r="BO223" s="459">
        <v>1.2591218454867501</v>
      </c>
      <c r="BP223" s="460">
        <v>1.2591218454867501</v>
      </c>
      <c r="BQ223" s="468"/>
      <c r="BR223" s="877">
        <v>1.5853878217819595</v>
      </c>
      <c r="BS223" s="74">
        <f t="shared" si="5"/>
        <v>1.2591218454867501</v>
      </c>
    </row>
    <row r="224" spans="62:71" x14ac:dyDescent="0.35">
      <c r="BJ224" s="352" t="str">
        <v>South America - North Europe</v>
      </c>
      <c r="BK224" s="327" t="s">
        <v>913</v>
      </c>
      <c r="BL224" s="327" t="s">
        <v>856</v>
      </c>
      <c r="BM224" s="429">
        <v>1.2978730911161274</v>
      </c>
      <c r="BN224" s="429">
        <v>1.2978730911161274</v>
      </c>
      <c r="BO224" s="459">
        <v>1.2978730911161274</v>
      </c>
      <c r="BP224" s="460">
        <v>1.2978730911161274</v>
      </c>
      <c r="BQ224" s="468"/>
      <c r="BR224" s="877">
        <v>1.6844745606433313</v>
      </c>
      <c r="BS224" s="74">
        <f t="shared" si="5"/>
        <v>1.2978730911161274</v>
      </c>
    </row>
    <row r="225" spans="62:71" x14ac:dyDescent="0.35">
      <c r="BJ225" s="352" t="str">
        <v>South America - East Europe</v>
      </c>
      <c r="BK225" s="327" t="s">
        <v>913</v>
      </c>
      <c r="BL225" s="327" t="s">
        <v>869</v>
      </c>
      <c r="BM225" s="429">
        <v>1.4077410192316799</v>
      </c>
      <c r="BN225" s="429">
        <v>1.4077410192316799</v>
      </c>
      <c r="BO225" s="459">
        <v>1.4077410192316799</v>
      </c>
      <c r="BP225" s="460">
        <v>1.4077410192316799</v>
      </c>
      <c r="BQ225" s="468"/>
      <c r="BR225" s="877">
        <v>1.981734777227449</v>
      </c>
      <c r="BS225" s="74">
        <f t="shared" si="5"/>
        <v>1.3600070313833992</v>
      </c>
    </row>
    <row r="226" spans="62:71" x14ac:dyDescent="0.35">
      <c r="BJ226" s="352" t="str">
        <v>South America - South Europe</v>
      </c>
      <c r="BK226" s="327" t="s">
        <v>913</v>
      </c>
      <c r="BL226" s="327" t="s">
        <v>882</v>
      </c>
      <c r="BM226" s="429">
        <v>1.3355003929257019</v>
      </c>
      <c r="BN226" s="429">
        <v>1.3355003929257019</v>
      </c>
      <c r="BO226" s="459">
        <v>1.3355003929257019</v>
      </c>
      <c r="BP226" s="460">
        <v>1.3355003929257019</v>
      </c>
      <c r="BQ226" s="468"/>
      <c r="BR226" s="877">
        <v>1.7835612995047041</v>
      </c>
      <c r="BS226" s="74">
        <f t="shared" si="5"/>
        <v>1.285085852264175</v>
      </c>
    </row>
    <row r="227" spans="62:71" x14ac:dyDescent="0.35">
      <c r="BJ227" s="352" t="str">
        <v>South America - West Europe</v>
      </c>
      <c r="BK227" s="327" t="s">
        <v>913</v>
      </c>
      <c r="BL227" s="327" t="s">
        <v>893</v>
      </c>
      <c r="BM227" s="429">
        <v>1.285085852264175</v>
      </c>
      <c r="BN227" s="429">
        <v>1.285085852264175</v>
      </c>
      <c r="BO227" s="459">
        <v>1.285085852264175</v>
      </c>
      <c r="BP227" s="460">
        <v>1.285085852264175</v>
      </c>
      <c r="BQ227" s="468"/>
      <c r="BR227" s="877">
        <v>1.6514456476895412</v>
      </c>
      <c r="BS227" s="74">
        <f t="shared" si="5"/>
        <v>1.285085852264175</v>
      </c>
    </row>
    <row r="228" spans="62:71" x14ac:dyDescent="0.35">
      <c r="BJ228" s="352" t="str">
        <v>South America - North America</v>
      </c>
      <c r="BK228" s="327" t="s">
        <v>913</v>
      </c>
      <c r="BL228" s="327" t="s">
        <v>904</v>
      </c>
      <c r="BM228" s="429">
        <v>1.4077410192316799</v>
      </c>
      <c r="BN228" s="429">
        <v>1.4077410192316799</v>
      </c>
      <c r="BO228" s="459">
        <v>1.4077410192316799</v>
      </c>
      <c r="BP228" s="460">
        <v>1.4077410192316799</v>
      </c>
      <c r="BQ228" s="468"/>
      <c r="BR228" s="877">
        <v>1.981734777227449</v>
      </c>
      <c r="BS228" s="74">
        <f t="shared" si="5"/>
        <v>1.3105355674674086</v>
      </c>
    </row>
    <row r="229" spans="62:71" x14ac:dyDescent="0.35">
      <c r="BJ229" s="420" t="str">
        <v>South America - South America</v>
      </c>
      <c r="BK229" s="327" t="s">
        <v>913</v>
      </c>
      <c r="BL229" s="327" t="s">
        <v>913</v>
      </c>
      <c r="BM229" s="429">
        <v>1.285085852264175</v>
      </c>
      <c r="BN229" s="429">
        <v>1.285085852264175</v>
      </c>
      <c r="BO229" s="459">
        <v>1.285085852264175</v>
      </c>
      <c r="BP229" s="460">
        <v>1.285085852264175</v>
      </c>
      <c r="BQ229" s="881"/>
      <c r="BR229" s="882">
        <v>1.6514456476895412</v>
      </c>
      <c r="BS229" s="74">
        <f>VLOOKUP(RIGHT(BJ230, LEN(BJ230) - FIND(" - ", BJ230) - 2) &amp; " - " &amp; LEFT(BJ230, FIND(" - ", BJ230) -1), \parameter_geoscope_int_int, 7, FALSE)</f>
        <v>1.4574079777979971</v>
      </c>
    </row>
    <row r="230" spans="62:71" x14ac:dyDescent="0.35">
      <c r="BJ230" s="348" t="str">
        <v>Unknown - Unknown</v>
      </c>
      <c r="BK230" s="371" t="s">
        <v>330</v>
      </c>
      <c r="BL230" s="371" t="s">
        <v>330</v>
      </c>
      <c r="BM230" s="464" cm="1">
        <f t="array" ref="BM230" xml:space="preserve"> SQRT( AVERAGE(BM5:BM229 * BN5:BN229) * 1.1 )</f>
        <v>1.4574079777979971</v>
      </c>
      <c r="BN230" s="464">
        <f>BM230</f>
        <v>1.4574079777979971</v>
      </c>
      <c r="BO230" s="465">
        <f>BM230</f>
        <v>1.4574079777979971</v>
      </c>
      <c r="BP230" s="466">
        <f>BN230</f>
        <v>1.4574079777979971</v>
      </c>
      <c r="BQ230" s="469"/>
      <c r="BR230" s="878">
        <v>2.1240380137492472</v>
      </c>
    </row>
    <row r="231" spans="62:71" x14ac:dyDescent="0.35">
      <c r="BJ231" s="387"/>
      <c r="BK231" s="387"/>
      <c r="BL231" s="387"/>
      <c r="BM231" s="388"/>
      <c r="BN231" s="388"/>
      <c r="BO231" s="388"/>
      <c r="BP231" s="388"/>
      <c r="BQ231" s="388"/>
      <c r="BR231" s="388"/>
    </row>
    <row r="232" spans="62:71" x14ac:dyDescent="0.35">
      <c r="BJ232" s="387"/>
      <c r="BK232" s="387"/>
      <c r="BL232" s="387"/>
      <c r="BM232" s="388"/>
      <c r="BN232" s="388"/>
      <c r="BO232" s="388"/>
      <c r="BP232" s="388"/>
      <c r="BQ232" s="388"/>
      <c r="BR232" s="388"/>
    </row>
    <row r="233" spans="62:71" x14ac:dyDescent="0.35">
      <c r="BJ233" s="387"/>
      <c r="BK233" s="387"/>
      <c r="BL233" s="387"/>
      <c r="BM233" s="388"/>
      <c r="BN233" s="388"/>
      <c r="BO233" s="388"/>
      <c r="BP233" s="388"/>
      <c r="BQ233" s="388"/>
      <c r="BR233" s="388"/>
    </row>
    <row r="234" spans="62:71" x14ac:dyDescent="0.35">
      <c r="BJ234" s="387"/>
      <c r="BK234" s="387"/>
      <c r="BL234" s="387"/>
      <c r="BM234" s="388"/>
      <c r="BN234" s="388"/>
      <c r="BO234" s="388"/>
      <c r="BP234" s="388"/>
      <c r="BQ234" s="388"/>
      <c r="BR234" s="388"/>
    </row>
    <row r="235" spans="62:71" x14ac:dyDescent="0.35">
      <c r="BJ235" s="387"/>
      <c r="BK235" s="387"/>
      <c r="BL235" s="387"/>
      <c r="BM235" s="388"/>
      <c r="BN235" s="388"/>
      <c r="BO235" s="388"/>
      <c r="BP235" s="388"/>
      <c r="BQ235" s="388"/>
      <c r="BR235" s="388"/>
    </row>
    <row r="236" spans="62:71" x14ac:dyDescent="0.35">
      <c r="BJ236" s="387"/>
      <c r="BK236" s="387"/>
      <c r="BL236" s="387"/>
      <c r="BM236" s="388"/>
      <c r="BN236" s="388"/>
      <c r="BO236" s="388"/>
      <c r="BP236" s="388"/>
      <c r="BQ236" s="388"/>
      <c r="BR236" s="388"/>
    </row>
    <row r="237" spans="62:71" x14ac:dyDescent="0.35">
      <c r="BJ237" s="387"/>
      <c r="BK237" s="387"/>
      <c r="BL237" s="387"/>
      <c r="BM237" s="388"/>
      <c r="BN237" s="388"/>
      <c r="BO237" s="388"/>
      <c r="BP237" s="388"/>
      <c r="BQ237" s="388"/>
      <c r="BR237" s="388"/>
    </row>
    <row r="238" spans="62:71" x14ac:dyDescent="0.35">
      <c r="BJ238" s="387"/>
      <c r="BK238" s="387"/>
      <c r="BL238" s="387"/>
      <c r="BM238" s="388"/>
      <c r="BN238" s="388"/>
      <c r="BO238" s="388"/>
      <c r="BP238" s="388"/>
      <c r="BQ238" s="388"/>
      <c r="BR238" s="388"/>
    </row>
    <row r="239" spans="62:71" x14ac:dyDescent="0.35">
      <c r="BJ239" s="387"/>
      <c r="BK239" s="387"/>
      <c r="BL239" s="387"/>
      <c r="BM239" s="388"/>
      <c r="BN239" s="388"/>
      <c r="BO239" s="388"/>
      <c r="BP239" s="388"/>
      <c r="BQ239" s="388"/>
      <c r="BR239" s="388"/>
    </row>
    <row r="240" spans="62:71" x14ac:dyDescent="0.35">
      <c r="BJ240" s="387"/>
      <c r="BK240" s="387"/>
      <c r="BL240" s="387"/>
      <c r="BM240" s="388"/>
      <c r="BN240" s="388"/>
      <c r="BO240" s="388"/>
      <c r="BP240" s="388"/>
      <c r="BQ240" s="388"/>
      <c r="BR240" s="388"/>
    </row>
    <row r="241" spans="62:70" x14ac:dyDescent="0.35">
      <c r="BJ241" s="387"/>
      <c r="BK241" s="387"/>
      <c r="BL241" s="387"/>
      <c r="BM241" s="388"/>
      <c r="BN241" s="388"/>
      <c r="BO241" s="388"/>
      <c r="BP241" s="388"/>
      <c r="BQ241" s="388"/>
      <c r="BR241" s="388"/>
    </row>
    <row r="242" spans="62:70" x14ac:dyDescent="0.35">
      <c r="BJ242" s="387"/>
      <c r="BK242" s="387"/>
      <c r="BL242" s="387"/>
      <c r="BM242" s="388"/>
      <c r="BN242" s="388"/>
      <c r="BO242" s="388"/>
      <c r="BP242" s="388"/>
      <c r="BQ242" s="388"/>
      <c r="BR242" s="388"/>
    </row>
    <row r="243" spans="62:70" x14ac:dyDescent="0.35">
      <c r="BJ243" s="387"/>
      <c r="BK243" s="387"/>
      <c r="BL243" s="387"/>
      <c r="BM243" s="388"/>
      <c r="BN243" s="388"/>
      <c r="BO243" s="388"/>
      <c r="BP243" s="388"/>
      <c r="BQ243" s="388"/>
      <c r="BR243" s="388"/>
    </row>
    <row r="244" spans="62:70" x14ac:dyDescent="0.35">
      <c r="BJ244" s="387"/>
      <c r="BK244" s="387"/>
      <c r="BL244" s="387"/>
      <c r="BM244" s="388"/>
      <c r="BN244" s="388"/>
      <c r="BO244" s="388"/>
      <c r="BP244" s="388"/>
      <c r="BQ244" s="388"/>
      <c r="BR244" s="388"/>
    </row>
    <row r="245" spans="62:70" x14ac:dyDescent="0.35">
      <c r="BJ245" s="385"/>
      <c r="BK245" s="385"/>
      <c r="BL245" s="385"/>
      <c r="BM245" s="386"/>
      <c r="BN245" s="386"/>
      <c r="BO245" s="386"/>
      <c r="BP245" s="386"/>
      <c r="BQ245" s="386"/>
      <c r="BR245" s="386"/>
    </row>
    <row r="246" spans="62:70" x14ac:dyDescent="0.35">
      <c r="BJ246" s="385"/>
      <c r="BK246" s="385"/>
      <c r="BL246" s="385"/>
      <c r="BM246" s="386"/>
      <c r="BN246" s="386"/>
      <c r="BO246" s="386"/>
      <c r="BP246" s="386"/>
      <c r="BQ246" s="386"/>
      <c r="BR246" s="386"/>
    </row>
    <row r="247" spans="62:70" x14ac:dyDescent="0.35">
      <c r="BJ247" s="385"/>
      <c r="BK247" s="385"/>
      <c r="BL247" s="385"/>
      <c r="BM247" s="386"/>
      <c r="BN247" s="386"/>
      <c r="BO247" s="386"/>
      <c r="BP247" s="386"/>
      <c r="BQ247" s="386"/>
      <c r="BR247" s="386"/>
    </row>
    <row r="248" spans="62:70" x14ac:dyDescent="0.35">
      <c r="BJ248" s="385"/>
      <c r="BK248" s="385"/>
      <c r="BL248" s="385"/>
      <c r="BM248" s="386"/>
      <c r="BN248" s="386"/>
      <c r="BO248" s="386"/>
      <c r="BP248" s="386"/>
      <c r="BQ248" s="386"/>
      <c r="BR248" s="386"/>
    </row>
    <row r="249" spans="62:70" x14ac:dyDescent="0.35">
      <c r="BJ249" s="385"/>
      <c r="BK249" s="385"/>
      <c r="BL249" s="385"/>
      <c r="BM249" s="386"/>
      <c r="BN249" s="386"/>
      <c r="BO249" s="386"/>
      <c r="BP249" s="386"/>
      <c r="BQ249" s="386"/>
      <c r="BR249" s="386"/>
    </row>
    <row r="250" spans="62:70" x14ac:dyDescent="0.35">
      <c r="BJ250" s="385"/>
      <c r="BK250" s="385"/>
      <c r="BL250" s="385"/>
      <c r="BM250" s="386"/>
      <c r="BN250" s="386"/>
      <c r="BO250" s="386"/>
      <c r="BP250" s="386"/>
      <c r="BQ250" s="386"/>
      <c r="BR250" s="386"/>
    </row>
    <row r="251" spans="62:70" x14ac:dyDescent="0.35">
      <c r="BJ251" s="385"/>
      <c r="BK251" s="385"/>
      <c r="BL251" s="385"/>
      <c r="BM251" s="386"/>
      <c r="BN251" s="386"/>
      <c r="BO251" s="386"/>
      <c r="BP251" s="386"/>
      <c r="BQ251" s="386"/>
      <c r="BR251" s="386"/>
    </row>
    <row r="252" spans="62:70" x14ac:dyDescent="0.35">
      <c r="BJ252" s="385"/>
      <c r="BK252" s="385"/>
      <c r="BL252" s="385"/>
      <c r="BM252" s="386"/>
      <c r="BN252" s="386"/>
      <c r="BO252" s="386"/>
      <c r="BP252" s="386"/>
      <c r="BQ252" s="386"/>
      <c r="BR252" s="386"/>
    </row>
    <row r="253" spans="62:70" x14ac:dyDescent="0.35">
      <c r="BJ253" s="385"/>
      <c r="BK253" s="385"/>
      <c r="BL253" s="385"/>
      <c r="BM253" s="386"/>
      <c r="BN253" s="386"/>
      <c r="BO253" s="386"/>
      <c r="BP253" s="386"/>
      <c r="BQ253" s="386"/>
      <c r="BR253" s="386"/>
    </row>
    <row r="254" spans="62:70" x14ac:dyDescent="0.35">
      <c r="BJ254" s="385"/>
      <c r="BK254" s="385"/>
      <c r="BL254" s="385"/>
      <c r="BM254" s="386"/>
      <c r="BN254" s="386"/>
      <c r="BO254" s="386"/>
      <c r="BP254" s="386"/>
      <c r="BQ254" s="386"/>
      <c r="BR254" s="386"/>
    </row>
    <row r="255" spans="62:70" x14ac:dyDescent="0.35">
      <c r="BJ255" s="385"/>
      <c r="BK255" s="385"/>
      <c r="BL255" s="385"/>
      <c r="BM255" s="386"/>
      <c r="BN255" s="386"/>
      <c r="BO255" s="386"/>
      <c r="BP255" s="386"/>
      <c r="BQ255" s="386"/>
      <c r="BR255" s="386"/>
    </row>
    <row r="256" spans="62:70" x14ac:dyDescent="0.35">
      <c r="BJ256" s="385"/>
      <c r="BK256" s="385"/>
      <c r="BL256" s="385"/>
      <c r="BM256" s="386"/>
      <c r="BN256" s="386"/>
      <c r="BO256" s="386"/>
      <c r="BP256" s="386"/>
      <c r="BQ256" s="386"/>
      <c r="BR256" s="386"/>
    </row>
    <row r="257" spans="62:70" x14ac:dyDescent="0.35">
      <c r="BJ257" s="385"/>
      <c r="BK257" s="385"/>
      <c r="BL257" s="385"/>
      <c r="BM257" s="386"/>
      <c r="BN257" s="386"/>
      <c r="BO257" s="386"/>
      <c r="BP257" s="386"/>
      <c r="BQ257" s="386"/>
      <c r="BR257" s="386"/>
    </row>
    <row r="258" spans="62:70" x14ac:dyDescent="0.35">
      <c r="BJ258" s="385"/>
      <c r="BK258" s="385"/>
      <c r="BL258" s="385"/>
      <c r="BM258" s="386"/>
      <c r="BN258" s="386"/>
      <c r="BO258" s="386"/>
      <c r="BP258" s="386"/>
      <c r="BQ258" s="386"/>
      <c r="BR258" s="386"/>
    </row>
    <row r="259" spans="62:70" x14ac:dyDescent="0.35">
      <c r="BJ259" s="385"/>
      <c r="BK259" s="385"/>
      <c r="BL259" s="385"/>
      <c r="BM259" s="386"/>
      <c r="BN259" s="386"/>
      <c r="BO259" s="386"/>
      <c r="BP259" s="386"/>
      <c r="BQ259" s="386"/>
      <c r="BR259" s="386"/>
    </row>
    <row r="260" spans="62:70" x14ac:dyDescent="0.35">
      <c r="BJ260" s="385"/>
      <c r="BK260" s="385"/>
      <c r="BL260" s="385"/>
      <c r="BM260" s="386"/>
      <c r="BN260" s="386"/>
      <c r="BO260" s="386"/>
      <c r="BP260" s="386"/>
      <c r="BQ260" s="386"/>
      <c r="BR260" s="386"/>
    </row>
    <row r="261" spans="62:70" x14ac:dyDescent="0.35">
      <c r="BJ261" s="385"/>
      <c r="BK261" s="385"/>
      <c r="BL261" s="385"/>
      <c r="BM261" s="386"/>
      <c r="BN261" s="386"/>
      <c r="BO261" s="386"/>
      <c r="BP261" s="386"/>
      <c r="BQ261" s="386"/>
      <c r="BR261" s="386"/>
    </row>
    <row r="262" spans="62:70" x14ac:dyDescent="0.35">
      <c r="BJ262" s="385"/>
      <c r="BK262" s="385"/>
      <c r="BL262" s="385"/>
      <c r="BM262" s="386"/>
      <c r="BN262" s="386"/>
      <c r="BO262" s="386"/>
      <c r="BP262" s="386"/>
      <c r="BQ262" s="386"/>
      <c r="BR262" s="386"/>
    </row>
    <row r="263" spans="62:70" x14ac:dyDescent="0.35">
      <c r="BJ263" s="385"/>
      <c r="BK263" s="385"/>
      <c r="BL263" s="385"/>
      <c r="BM263" s="386"/>
      <c r="BN263" s="386"/>
      <c r="BO263" s="386"/>
      <c r="BP263" s="386"/>
      <c r="BQ263" s="386"/>
      <c r="BR263" s="386"/>
    </row>
    <row r="264" spans="62:70" x14ac:dyDescent="0.35">
      <c r="BJ264" s="385"/>
      <c r="BK264" s="385"/>
      <c r="BL264" s="385"/>
      <c r="BM264" s="386"/>
      <c r="BN264" s="386"/>
      <c r="BO264" s="386"/>
      <c r="BP264" s="386"/>
      <c r="BQ264" s="386"/>
      <c r="BR264" s="386"/>
    </row>
    <row r="265" spans="62:70" x14ac:dyDescent="0.35">
      <c r="BJ265" s="385"/>
      <c r="BK265" s="385"/>
      <c r="BL265" s="385"/>
      <c r="BM265" s="386"/>
      <c r="BN265" s="386"/>
      <c r="BO265" s="386"/>
      <c r="BP265" s="386"/>
      <c r="BQ265" s="386"/>
      <c r="BR265" s="386"/>
    </row>
    <row r="266" spans="62:70" x14ac:dyDescent="0.35">
      <c r="BJ266" s="385"/>
      <c r="BK266" s="385"/>
      <c r="BL266" s="385"/>
      <c r="BM266" s="386"/>
      <c r="BN266" s="386"/>
      <c r="BO266" s="386"/>
      <c r="BP266" s="386"/>
      <c r="BQ266" s="386"/>
      <c r="BR266" s="386"/>
    </row>
    <row r="267" spans="62:70" x14ac:dyDescent="0.35">
      <c r="BJ267" s="385"/>
      <c r="BK267" s="385"/>
      <c r="BL267" s="385"/>
      <c r="BM267" s="386"/>
      <c r="BN267" s="386"/>
      <c r="BO267" s="386"/>
      <c r="BP267" s="386"/>
      <c r="BQ267" s="386"/>
      <c r="BR267" s="386"/>
    </row>
    <row r="268" spans="62:70" x14ac:dyDescent="0.35">
      <c r="BJ268" s="385"/>
      <c r="BK268" s="385"/>
      <c r="BL268" s="385"/>
      <c r="BM268" s="386"/>
      <c r="BN268" s="386"/>
      <c r="BO268" s="386"/>
      <c r="BP268" s="386"/>
      <c r="BQ268" s="386"/>
      <c r="BR268" s="386"/>
    </row>
    <row r="269" spans="62:70" x14ac:dyDescent="0.35">
      <c r="BJ269" s="385"/>
      <c r="BK269" s="385"/>
      <c r="BL269" s="385"/>
      <c r="BM269" s="386"/>
      <c r="BN269" s="386"/>
      <c r="BO269" s="386"/>
      <c r="BP269" s="386"/>
      <c r="BQ269" s="386"/>
      <c r="BR269" s="386"/>
    </row>
    <row r="270" spans="62:70" x14ac:dyDescent="0.35">
      <c r="BJ270" s="385"/>
      <c r="BK270" s="385"/>
      <c r="BL270" s="385"/>
      <c r="BM270" s="386"/>
      <c r="BN270" s="386"/>
      <c r="BO270" s="386"/>
      <c r="BP270" s="386"/>
      <c r="BQ270" s="386"/>
      <c r="BR270" s="386"/>
    </row>
    <row r="271" spans="62:70" x14ac:dyDescent="0.35">
      <c r="BJ271" s="385"/>
      <c r="BK271" s="385"/>
      <c r="BL271" s="385"/>
      <c r="BM271" s="386"/>
      <c r="BN271" s="386"/>
      <c r="BO271" s="386"/>
      <c r="BP271" s="386"/>
      <c r="BQ271" s="386"/>
      <c r="BR271" s="386"/>
    </row>
    <row r="272" spans="62:70" x14ac:dyDescent="0.35">
      <c r="BJ272" s="385"/>
      <c r="BK272" s="385"/>
      <c r="BL272" s="385"/>
      <c r="BM272" s="386"/>
      <c r="BN272" s="386"/>
      <c r="BO272" s="386"/>
      <c r="BP272" s="386"/>
      <c r="BQ272" s="386"/>
      <c r="BR272" s="386"/>
    </row>
    <row r="273" spans="62:70" x14ac:dyDescent="0.35">
      <c r="BJ273" s="385"/>
      <c r="BK273" s="385"/>
      <c r="BL273" s="385"/>
      <c r="BM273" s="386"/>
      <c r="BN273" s="386"/>
      <c r="BO273" s="386"/>
      <c r="BP273" s="386"/>
      <c r="BQ273" s="386"/>
      <c r="BR273" s="386"/>
    </row>
    <row r="274" spans="62:70" x14ac:dyDescent="0.35">
      <c r="BJ274" s="385"/>
      <c r="BK274" s="385"/>
      <c r="BL274" s="385"/>
      <c r="BM274" s="386"/>
      <c r="BN274" s="386"/>
      <c r="BO274" s="386"/>
      <c r="BP274" s="386"/>
      <c r="BQ274" s="386"/>
      <c r="BR274" s="386"/>
    </row>
    <row r="275" spans="62:70" x14ac:dyDescent="0.35">
      <c r="BJ275" s="385"/>
      <c r="BK275" s="385"/>
      <c r="BL275" s="385"/>
      <c r="BM275" s="386"/>
      <c r="BN275" s="386"/>
      <c r="BO275" s="386"/>
      <c r="BP275" s="386"/>
      <c r="BQ275" s="386"/>
      <c r="BR275" s="386"/>
    </row>
    <row r="276" spans="62:70" x14ac:dyDescent="0.35">
      <c r="BJ276" s="385"/>
      <c r="BK276" s="385"/>
      <c r="BL276" s="385"/>
      <c r="BM276" s="386"/>
      <c r="BN276" s="386"/>
      <c r="BO276" s="386"/>
      <c r="BP276" s="386"/>
      <c r="BQ276" s="386"/>
      <c r="BR276" s="386"/>
    </row>
    <row r="277" spans="62:70" x14ac:dyDescent="0.35">
      <c r="BJ277" s="385"/>
      <c r="BK277" s="385"/>
      <c r="BL277" s="385"/>
      <c r="BM277" s="386"/>
      <c r="BN277" s="386"/>
      <c r="BO277" s="386"/>
      <c r="BP277" s="386"/>
      <c r="BQ277" s="386"/>
      <c r="BR277" s="386"/>
    </row>
    <row r="278" spans="62:70" x14ac:dyDescent="0.35">
      <c r="BJ278" s="385"/>
      <c r="BK278" s="385"/>
      <c r="BL278" s="385"/>
      <c r="BM278" s="386"/>
      <c r="BN278" s="386"/>
      <c r="BO278" s="386"/>
      <c r="BP278" s="386"/>
      <c r="BQ278" s="386"/>
      <c r="BR278" s="386"/>
    </row>
    <row r="279" spans="62:70" x14ac:dyDescent="0.35">
      <c r="BJ279" s="385"/>
      <c r="BK279" s="385"/>
      <c r="BL279" s="385"/>
      <c r="BM279" s="386"/>
      <c r="BN279" s="386"/>
      <c r="BO279" s="386"/>
      <c r="BP279" s="386"/>
      <c r="BQ279" s="386"/>
      <c r="BR279" s="386"/>
    </row>
    <row r="280" spans="62:70" x14ac:dyDescent="0.35">
      <c r="BJ280" s="385"/>
      <c r="BK280" s="385"/>
      <c r="BL280" s="385"/>
      <c r="BM280" s="386"/>
      <c r="BN280" s="386"/>
      <c r="BO280" s="386"/>
      <c r="BP280" s="386"/>
      <c r="BQ280" s="386"/>
      <c r="BR280" s="386"/>
    </row>
    <row r="281" spans="62:70" x14ac:dyDescent="0.35">
      <c r="BJ281" s="385"/>
      <c r="BK281" s="385"/>
      <c r="BL281" s="385"/>
      <c r="BM281" s="386"/>
      <c r="BN281" s="386"/>
      <c r="BO281" s="386"/>
      <c r="BP281" s="386"/>
      <c r="BQ281" s="386"/>
      <c r="BR281" s="386"/>
    </row>
    <row r="282" spans="62:70" x14ac:dyDescent="0.35">
      <c r="BJ282" s="385"/>
      <c r="BK282" s="385"/>
      <c r="BL282" s="385"/>
      <c r="BM282" s="386"/>
      <c r="BN282" s="386"/>
      <c r="BO282" s="386"/>
      <c r="BP282" s="386"/>
      <c r="BQ282" s="386"/>
      <c r="BR282" s="386"/>
    </row>
    <row r="283" spans="62:70" x14ac:dyDescent="0.35">
      <c r="BJ283" s="385"/>
      <c r="BK283" s="385"/>
      <c r="BL283" s="385"/>
      <c r="BM283" s="386"/>
      <c r="BN283" s="386"/>
      <c r="BO283" s="386"/>
      <c r="BP283" s="386"/>
      <c r="BQ283" s="386"/>
      <c r="BR283" s="386"/>
    </row>
    <row r="284" spans="62:70" x14ac:dyDescent="0.35">
      <c r="BJ284" s="385"/>
      <c r="BK284" s="385"/>
      <c r="BL284" s="385"/>
      <c r="BM284" s="386"/>
      <c r="BN284" s="386"/>
      <c r="BO284" s="386"/>
      <c r="BP284" s="386"/>
      <c r="BQ284" s="386"/>
      <c r="BR284" s="386"/>
    </row>
    <row r="285" spans="62:70" x14ac:dyDescent="0.35">
      <c r="BJ285" s="385"/>
      <c r="BK285" s="385"/>
      <c r="BL285" s="385"/>
      <c r="BM285" s="386"/>
      <c r="BN285" s="386"/>
      <c r="BO285" s="386"/>
      <c r="BP285" s="386"/>
      <c r="BQ285" s="386"/>
      <c r="BR285" s="386"/>
    </row>
    <row r="286" spans="62:70" x14ac:dyDescent="0.35">
      <c r="BJ286" s="385"/>
      <c r="BK286" s="385"/>
      <c r="BL286" s="385"/>
      <c r="BM286" s="386"/>
      <c r="BN286" s="386"/>
      <c r="BO286" s="386"/>
      <c r="BP286" s="386"/>
      <c r="BQ286" s="386"/>
      <c r="BR286" s="386"/>
    </row>
    <row r="287" spans="62:70" x14ac:dyDescent="0.35">
      <c r="BJ287" s="385"/>
      <c r="BK287" s="385"/>
      <c r="BL287" s="385"/>
      <c r="BM287" s="386"/>
      <c r="BN287" s="386"/>
      <c r="BO287" s="386"/>
      <c r="BP287" s="386"/>
      <c r="BQ287" s="386"/>
      <c r="BR287" s="386"/>
    </row>
    <row r="288" spans="62:70" x14ac:dyDescent="0.35">
      <c r="BJ288" s="385"/>
      <c r="BK288" s="385"/>
      <c r="BL288" s="385"/>
      <c r="BM288" s="386"/>
      <c r="BN288" s="386"/>
      <c r="BO288" s="386"/>
      <c r="BP288" s="386"/>
      <c r="BQ288" s="386"/>
      <c r="BR288" s="386"/>
    </row>
    <row r="289" spans="62:70" x14ac:dyDescent="0.35">
      <c r="BJ289" s="385"/>
      <c r="BK289" s="385"/>
      <c r="BL289" s="385"/>
      <c r="BM289" s="386"/>
      <c r="BN289" s="386"/>
      <c r="BO289" s="386"/>
      <c r="BP289" s="386"/>
      <c r="BQ289" s="386"/>
      <c r="BR289" s="386"/>
    </row>
    <row r="290" spans="62:70" x14ac:dyDescent="0.35">
      <c r="BJ290" s="385"/>
      <c r="BK290" s="385"/>
      <c r="BL290" s="385"/>
      <c r="BM290" s="386"/>
      <c r="BN290" s="386"/>
      <c r="BO290" s="386"/>
      <c r="BP290" s="386"/>
      <c r="BQ290" s="386"/>
      <c r="BR290" s="386"/>
    </row>
    <row r="291" spans="62:70" x14ac:dyDescent="0.35">
      <c r="BJ291" s="385"/>
      <c r="BK291" s="385"/>
      <c r="BL291" s="385"/>
      <c r="BM291" s="386"/>
      <c r="BN291" s="386"/>
      <c r="BO291" s="386"/>
      <c r="BP291" s="386"/>
      <c r="BQ291" s="386"/>
      <c r="BR291" s="386"/>
    </row>
    <row r="292" spans="62:70" x14ac:dyDescent="0.35">
      <c r="BJ292" s="385"/>
      <c r="BK292" s="385"/>
      <c r="BL292" s="385"/>
      <c r="BM292" s="386"/>
      <c r="BN292" s="386"/>
      <c r="BO292" s="386"/>
      <c r="BP292" s="386"/>
      <c r="BQ292" s="386"/>
      <c r="BR292" s="386"/>
    </row>
    <row r="293" spans="62:70" x14ac:dyDescent="0.35">
      <c r="BJ293" s="385"/>
      <c r="BK293" s="385"/>
      <c r="BL293" s="385"/>
      <c r="BM293" s="386"/>
      <c r="BN293" s="386"/>
      <c r="BO293" s="386"/>
      <c r="BP293" s="386"/>
      <c r="BQ293" s="386"/>
      <c r="BR293" s="386"/>
    </row>
    <row r="294" spans="62:70" x14ac:dyDescent="0.35">
      <c r="BJ294" s="385"/>
      <c r="BK294" s="385"/>
      <c r="BL294" s="385"/>
      <c r="BM294" s="386"/>
      <c r="BN294" s="386"/>
      <c r="BO294" s="386"/>
      <c r="BP294" s="386"/>
      <c r="BQ294" s="386"/>
      <c r="BR294" s="386"/>
    </row>
    <row r="295" spans="62:70" x14ac:dyDescent="0.35">
      <c r="BJ295" s="385"/>
      <c r="BK295" s="385"/>
      <c r="BL295" s="385"/>
      <c r="BM295" s="386"/>
      <c r="BN295" s="386"/>
      <c r="BO295" s="386"/>
      <c r="BP295" s="386"/>
      <c r="BQ295" s="386"/>
      <c r="BR295" s="386"/>
    </row>
    <row r="296" spans="62:70" x14ac:dyDescent="0.35">
      <c r="BJ296" s="385"/>
      <c r="BK296" s="385"/>
      <c r="BL296" s="385"/>
      <c r="BM296" s="386"/>
      <c r="BN296" s="386"/>
      <c r="BO296" s="386"/>
      <c r="BP296" s="386"/>
      <c r="BQ296" s="386"/>
      <c r="BR296" s="386"/>
    </row>
    <row r="297" spans="62:70" x14ac:dyDescent="0.35">
      <c r="BJ297" s="385"/>
      <c r="BK297" s="385"/>
      <c r="BL297" s="385"/>
      <c r="BM297" s="386"/>
      <c r="BN297" s="386"/>
      <c r="BO297" s="386"/>
      <c r="BP297" s="386"/>
      <c r="BQ297" s="386"/>
      <c r="BR297" s="386"/>
    </row>
    <row r="298" spans="62:70" x14ac:dyDescent="0.35">
      <c r="BJ298" s="385"/>
      <c r="BK298" s="385"/>
      <c r="BL298" s="385"/>
      <c r="BM298" s="386"/>
      <c r="BN298" s="386"/>
      <c r="BO298" s="386"/>
      <c r="BP298" s="386"/>
      <c r="BQ298" s="386"/>
      <c r="BR298" s="386"/>
    </row>
    <row r="299" spans="62:70" x14ac:dyDescent="0.35">
      <c r="BJ299" s="385"/>
      <c r="BK299" s="385"/>
      <c r="BL299" s="385"/>
      <c r="BM299" s="386"/>
      <c r="BN299" s="386"/>
      <c r="BO299" s="386"/>
      <c r="BP299" s="386"/>
      <c r="BQ299" s="386"/>
      <c r="BR299" s="386"/>
    </row>
    <row r="300" spans="62:70" x14ac:dyDescent="0.35">
      <c r="BJ300" s="385"/>
      <c r="BK300" s="385"/>
      <c r="BL300" s="385"/>
      <c r="BM300" s="386"/>
      <c r="BN300" s="386"/>
      <c r="BO300" s="386"/>
      <c r="BP300" s="386"/>
      <c r="BQ300" s="386"/>
      <c r="BR300" s="386"/>
    </row>
    <row r="301" spans="62:70" x14ac:dyDescent="0.35">
      <c r="BJ301" s="385"/>
      <c r="BK301" s="385"/>
      <c r="BL301" s="385"/>
      <c r="BM301" s="386"/>
      <c r="BN301" s="386"/>
      <c r="BO301" s="386"/>
      <c r="BP301" s="386"/>
      <c r="BQ301" s="386"/>
      <c r="BR301" s="386"/>
    </row>
    <row r="302" spans="62:70" x14ac:dyDescent="0.35">
      <c r="BJ302" s="385"/>
      <c r="BK302" s="385"/>
      <c r="BL302" s="385"/>
      <c r="BM302" s="386"/>
      <c r="BN302" s="386"/>
      <c r="BO302" s="386"/>
      <c r="BP302" s="386"/>
      <c r="BQ302" s="386"/>
      <c r="BR302" s="386"/>
    </row>
    <row r="303" spans="62:70" x14ac:dyDescent="0.35">
      <c r="BJ303" s="385"/>
      <c r="BK303" s="385"/>
      <c r="BL303" s="385"/>
      <c r="BM303" s="386"/>
      <c r="BN303" s="386"/>
      <c r="BO303" s="386"/>
      <c r="BP303" s="386"/>
      <c r="BQ303" s="386"/>
      <c r="BR303" s="386"/>
    </row>
    <row r="304" spans="62:70" x14ac:dyDescent="0.35">
      <c r="BJ304" s="385"/>
      <c r="BK304" s="385"/>
      <c r="BL304" s="385"/>
      <c r="BM304" s="386"/>
      <c r="BN304" s="386"/>
      <c r="BO304" s="386"/>
      <c r="BP304" s="386"/>
      <c r="BQ304" s="386"/>
      <c r="BR304" s="386"/>
    </row>
    <row r="305" spans="62:70" x14ac:dyDescent="0.35">
      <c r="BJ305" s="385"/>
      <c r="BK305" s="385"/>
      <c r="BL305" s="385"/>
      <c r="BM305" s="386"/>
      <c r="BN305" s="386"/>
      <c r="BO305" s="386"/>
      <c r="BP305" s="386"/>
      <c r="BQ305" s="386"/>
      <c r="BR305" s="386"/>
    </row>
    <row r="306" spans="62:70" x14ac:dyDescent="0.35">
      <c r="BJ306" s="385"/>
      <c r="BK306" s="385"/>
      <c r="BL306" s="385"/>
      <c r="BM306" s="386"/>
      <c r="BN306" s="386"/>
      <c r="BO306" s="386"/>
      <c r="BP306" s="386"/>
      <c r="BQ306" s="386"/>
      <c r="BR306" s="386"/>
    </row>
    <row r="307" spans="62:70" x14ac:dyDescent="0.35">
      <c r="BJ307" s="385"/>
      <c r="BK307" s="385"/>
      <c r="BL307" s="385"/>
      <c r="BM307" s="386"/>
      <c r="BN307" s="386"/>
      <c r="BO307" s="386"/>
      <c r="BP307" s="386"/>
      <c r="BQ307" s="386"/>
      <c r="BR307" s="386"/>
    </row>
    <row r="308" spans="62:70" x14ac:dyDescent="0.35">
      <c r="BJ308" s="385"/>
      <c r="BK308" s="385"/>
      <c r="BL308" s="385"/>
      <c r="BM308" s="386"/>
      <c r="BN308" s="386"/>
      <c r="BO308" s="386"/>
      <c r="BP308" s="386"/>
      <c r="BQ308" s="386"/>
      <c r="BR308" s="386"/>
    </row>
    <row r="309" spans="62:70" x14ac:dyDescent="0.35">
      <c r="BJ309" s="385"/>
      <c r="BK309" s="385"/>
      <c r="BL309" s="385"/>
      <c r="BM309" s="386"/>
      <c r="BN309" s="386"/>
      <c r="BO309" s="386"/>
      <c r="BP309" s="386"/>
      <c r="BQ309" s="386"/>
      <c r="BR309" s="386"/>
    </row>
    <row r="310" spans="62:70" x14ac:dyDescent="0.35">
      <c r="BJ310" s="385"/>
      <c r="BK310" s="385"/>
      <c r="BL310" s="385"/>
      <c r="BM310" s="386"/>
      <c r="BN310" s="386"/>
      <c r="BO310" s="386"/>
      <c r="BP310" s="386"/>
      <c r="BQ310" s="386"/>
      <c r="BR310" s="386"/>
    </row>
    <row r="311" spans="62:70" x14ac:dyDescent="0.35">
      <c r="BJ311" s="385"/>
      <c r="BK311" s="385"/>
      <c r="BL311" s="385"/>
      <c r="BM311" s="386"/>
      <c r="BN311" s="386"/>
      <c r="BO311" s="386"/>
      <c r="BP311" s="386"/>
      <c r="BQ311" s="386"/>
      <c r="BR311" s="386"/>
    </row>
    <row r="312" spans="62:70" x14ac:dyDescent="0.35">
      <c r="BJ312" s="385"/>
      <c r="BK312" s="385"/>
      <c r="BL312" s="385"/>
      <c r="BM312" s="386"/>
      <c r="BN312" s="386"/>
      <c r="BO312" s="386"/>
      <c r="BP312" s="386"/>
      <c r="BQ312" s="386"/>
      <c r="BR312" s="386"/>
    </row>
  </sheetData>
  <sortState xmlns:xlrd2="http://schemas.microsoft.com/office/spreadsheetml/2017/richdata2" ref="D6:G144">
    <sortCondition ref="D6:D144"/>
  </sortState>
  <mergeCells count="1">
    <mergeCell ref="A1:E1"/>
  </mergeCells>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898E-015A-49C8-8230-103724678B18}">
  <sheetPr codeName="Sheet7"/>
  <dimension ref="A1:V11"/>
  <sheetViews>
    <sheetView topLeftCell="N1" workbookViewId="0">
      <selection activeCell="S2" sqref="S2"/>
    </sheetView>
  </sheetViews>
  <sheetFormatPr baseColWidth="10" defaultColWidth="9.1796875" defaultRowHeight="14.5" x14ac:dyDescent="0.35"/>
  <cols>
    <col min="1" max="1" width="42.1796875" bestFit="1" customWidth="1"/>
    <col min="4" max="4" width="41.81640625" bestFit="1" customWidth="1"/>
    <col min="7" max="7" width="21.453125" bestFit="1" customWidth="1"/>
    <col min="8" max="8" width="30.81640625" bestFit="1" customWidth="1"/>
    <col min="9" max="9" width="28.26953125" bestFit="1" customWidth="1"/>
    <col min="10" max="10" width="25.54296875" bestFit="1" customWidth="1"/>
    <col min="11" max="11" width="19.453125" bestFit="1" customWidth="1"/>
    <col min="13" max="13" width="29" bestFit="1" customWidth="1"/>
    <col min="16" max="16" width="47.26953125" bestFit="1" customWidth="1"/>
    <col min="19" max="19" width="33.54296875" bestFit="1" customWidth="1"/>
  </cols>
  <sheetData>
    <row r="1" spans="1:22" ht="15" thickBot="1" x14ac:dyDescent="0.4">
      <c r="A1" t="s">
        <v>1997</v>
      </c>
      <c r="B1">
        <f xml:space="preserve"> ROW(helper_warStopper) - ROW(\selected_country1_Krieg)</f>
        <v>1</v>
      </c>
      <c r="D1" t="s">
        <v>1998</v>
      </c>
      <c r="E1" t="b">
        <v>1</v>
      </c>
      <c r="G1" s="581" t="s">
        <v>1999</v>
      </c>
      <c r="H1" s="582" t="s">
        <v>2000</v>
      </c>
      <c r="I1" s="582" t="s">
        <v>2001</v>
      </c>
      <c r="J1" s="582" t="s">
        <v>2002</v>
      </c>
      <c r="K1" s="583" t="s">
        <v>2003</v>
      </c>
      <c r="M1" t="s">
        <v>4626</v>
      </c>
      <c r="N1" t="b">
        <v>0</v>
      </c>
      <c r="P1" t="s">
        <v>4584</v>
      </c>
      <c r="Q1" s="591">
        <f xml:space="preserve"> (\selected_geoscope_national + \selected_geoscope_international)</f>
        <v>0</v>
      </c>
      <c r="S1" t="s">
        <v>4586</v>
      </c>
      <c r="T1" t="s">
        <v>4587</v>
      </c>
      <c r="U1" t="s">
        <v>4585</v>
      </c>
      <c r="V1" t="b">
        <f ca="1" xml:space="preserve"> OR(_xlfn.ANCHORARRAY(helper_geographicalScope_isDoubleEntry))</f>
        <v>0</v>
      </c>
    </row>
    <row r="2" spans="1:22" x14ac:dyDescent="0.35">
      <c r="A2" t="s">
        <v>2005</v>
      </c>
      <c r="B2" t="b">
        <f ca="1" xml:space="preserve"> COUNTA( OFFSET(\selected_country1_Krieg, 0, 0, helper_countryCount_war)) = helper_countryCount_war</f>
        <v>0</v>
      </c>
      <c r="D2" t="s">
        <v>2006</v>
      </c>
      <c r="E2" t="b">
        <v>0</v>
      </c>
      <c r="G2" s="584" cm="1">
        <f t="array" aca="1" ref="G2:G6" ca="1" xml:space="preserve"> ROW( OFFSET(Geoscope_int, 0, 0, ROWS(Geoscope_int))) - ROW(Geoscope_int_Wegerisiko_Sp)</f>
        <v>1</v>
      </c>
      <c r="H2" s="585" t="b" cm="1">
        <f t="array" aca="1" ref="H2:H6" ca="1" xml:space="preserve"> ISBLANK( OFFSET(Geoscope_int_Wegerisiko_Sp, 1, 0, ROWS(_xlfn.ANCHORARRAY($G$2))) )</f>
        <v>0</v>
      </c>
      <c r="I2" s="585" t="b" cm="1">
        <f t="array" aca="1" ref="I2:I6" ca="1" xml:space="preserve"> ISBLANK( OFFSET(Geoscope_int_Wegerisiko_Sp, 1, 1, ROWS(_xlfn.ANCHORARRAY($G$2))) )</f>
        <v>0</v>
      </c>
      <c r="J2" s="585" t="b" cm="1">
        <f t="array" aca="1" ref="J2:J6" ca="1" xml:space="preserve"> ISBLANK( OFFSET(Geoscope_int_Wegerisiko_Sp, 1, 2, ROWS(_xlfn.ANCHORARRAY($G$2))) )</f>
        <v>0</v>
      </c>
      <c r="K2" s="587" t="b" cm="1">
        <f t="array" aca="1" ref="K2:K6" ca="1" xml:space="preserve"> (--_xlfn.ANCHORARRAY(H2) + --_xlfn.ANCHORARRAY(I2) + --_xlfn.ANCHORARRAY(J2)) = 0</f>
        <v>1</v>
      </c>
      <c r="P2" t="s">
        <v>4580</v>
      </c>
      <c r="Q2" t="b">
        <f xml:space="preserve"> 1 = Q1</f>
        <v>0</v>
      </c>
      <c r="S2" t="str" cm="1">
        <f t="array" aca="1" ref="S2:S3" ca="1" xml:space="preserve"> _xlfn.LET(_xlpm.data, _xlfn.BYROW( OFFSET(Geoscope_int, 0, 0, ROWS(Geoscope_int), 3), _xleta.CONCAT ), _xlfn._xlws.FILTER(_xlpm.data, _xlpm.data &lt;&gt; ""))</f>
        <v>PurchaseAfrica - NorthAmerica - North</v>
      </c>
      <c r="T2" t="b" cm="1">
        <f t="array" aca="1" ref="T2:T3" ca="1" xml:space="preserve"> COUNTIF(_xlfn.ANCHORARRAY(S2),_xlfn.ANCHORARRAY( S2)) &gt; 1</f>
        <v>0</v>
      </c>
      <c r="U2" t="s">
        <v>4588</v>
      </c>
      <c r="V2" t="str">
        <f xml:space="preserve"> "There are duplicates in the international geographical scope list"</f>
        <v>There are duplicates in the international geographical scope list</v>
      </c>
    </row>
    <row r="3" spans="1:22" x14ac:dyDescent="0.35">
      <c r="A3" t="s">
        <v>2008</v>
      </c>
      <c r="B3">
        <f xml:space="preserve"> ROW(helper_strikeAndRiotStopper) -  ROW(\selected_country1_Streik)</f>
        <v>1</v>
      </c>
      <c r="G3" s="586">
        <f ca="1"/>
        <v>2</v>
      </c>
      <c r="H3" t="b">
        <f ca="1"/>
        <v>0</v>
      </c>
      <c r="I3" t="b">
        <f ca="1"/>
        <v>0</v>
      </c>
      <c r="J3" t="b">
        <f ca="1"/>
        <v>0</v>
      </c>
      <c r="K3" s="588" t="b">
        <f ca="1"/>
        <v>1</v>
      </c>
      <c r="P3" t="s">
        <v>4585</v>
      </c>
      <c r="Q3" t="b">
        <f xml:space="preserve"> NOT(helper_geographicalScope_nationalWorldwideSplit)</f>
        <v>1</v>
      </c>
      <c r="S3" t="str">
        <f ca="1"/>
        <v>ShipmentAmerica - NorthEurope - West</v>
      </c>
      <c r="T3" t="b">
        <f ca="1"/>
        <v>0</v>
      </c>
    </row>
    <row r="4" spans="1:22" x14ac:dyDescent="0.35">
      <c r="A4" t="s">
        <v>2010</v>
      </c>
      <c r="B4" t="b">
        <f ca="1" xml:space="preserve"> COUNTA( OFFSET(\selected_country1_Streik, 0, 0, helper_countryCount_strikeAndRiot)) = helper_countryCount_strikeAndRiot</f>
        <v>0</v>
      </c>
      <c r="G4" s="586">
        <f ca="1"/>
        <v>3</v>
      </c>
      <c r="H4" t="b">
        <f ca="1"/>
        <v>1</v>
      </c>
      <c r="I4" t="b">
        <f ca="1"/>
        <v>1</v>
      </c>
      <c r="J4" t="b">
        <f ca="1"/>
        <v>1</v>
      </c>
      <c r="K4" s="588" t="b">
        <f ca="1"/>
        <v>0</v>
      </c>
      <c r="P4" t="s">
        <v>4583</v>
      </c>
      <c r="Q4" s="591" t="str">
        <f xml:space="preserve"> "Attention! The detailed Geographical Scope currently does not add up to 100%. It currently only adds up to " &amp; FIXED(Q1 * 100, 0) &amp; "%!"</f>
        <v>Attention! The detailed Geographical Scope currently does not add up to 100%. It currently only adds up to 0%!</v>
      </c>
    </row>
    <row r="5" spans="1:22" x14ac:dyDescent="0.35">
      <c r="A5" t="s">
        <v>2011</v>
      </c>
      <c r="B5">
        <f xml:space="preserve"> ROW(GeoEnde) - ROW(Geoscope_int_Wegerisiko_Sp) - 1</f>
        <v>5</v>
      </c>
      <c r="G5" s="586">
        <f ca="1"/>
        <v>4</v>
      </c>
      <c r="H5" t="b">
        <f ca="1"/>
        <v>1</v>
      </c>
      <c r="I5" t="b">
        <f ca="1"/>
        <v>1</v>
      </c>
      <c r="J5" t="b">
        <f ca="1"/>
        <v>1</v>
      </c>
      <c r="K5" s="588" t="b">
        <f ca="1"/>
        <v>0</v>
      </c>
      <c r="P5" t="s">
        <v>4579</v>
      </c>
      <c r="Q5" t="b">
        <v>0</v>
      </c>
    </row>
    <row r="6" spans="1:22" x14ac:dyDescent="0.35">
      <c r="G6" s="586">
        <f ca="1"/>
        <v>5</v>
      </c>
      <c r="H6" t="b">
        <f ca="1"/>
        <v>1</v>
      </c>
      <c r="I6" t="b">
        <f ca="1"/>
        <v>1</v>
      </c>
      <c r="J6" t="b">
        <f ca="1"/>
        <v>1</v>
      </c>
      <c r="K6" s="588" t="b">
        <f ca="1"/>
        <v>0</v>
      </c>
      <c r="P6" t="s">
        <v>2004</v>
      </c>
      <c r="Q6" s="591">
        <f ca="1" xml:space="preserve"> SUM(_xlfn.ANCHORARRAY(calc_geoscope_int_int_perc_hashtag)) + calc_geoscope_int_nat_perc</f>
        <v>0</v>
      </c>
    </row>
    <row r="7" spans="1:22" x14ac:dyDescent="0.35">
      <c r="P7" t="s">
        <v>4581</v>
      </c>
      <c r="Q7" s="591" t="b">
        <f ca="1" xml:space="preserve"> helper_geographicalScope_filledCorrectlyShare = 1</f>
        <v>0</v>
      </c>
    </row>
    <row r="8" spans="1:22" x14ac:dyDescent="0.35">
      <c r="P8" t="s">
        <v>4585</v>
      </c>
      <c r="Q8" s="591" t="b">
        <f ca="1" xml:space="preserve"> AND(helper_geographicalScope_detailedView, NOT(helper_geographicalScope_filledCorrectlyBool))</f>
        <v>0</v>
      </c>
    </row>
    <row r="9" spans="1:22" x14ac:dyDescent="0.35">
      <c r="P9" t="s">
        <v>4582</v>
      </c>
      <c r="Q9" s="591" t="str">
        <f ca="1" xml:space="preserve"> "Attention! The detailed Geographical Scope currently does not add up to 100%. It currently only adds up to " &amp; FIXED(helper_geographicalScope_filledCorrectlyShare * 100, 0) &amp; "%!"</f>
        <v>Attention! The detailed Geographical Scope currently does not add up to 100%. It currently only adds up to 0%!</v>
      </c>
    </row>
    <row r="10" spans="1:22" x14ac:dyDescent="0.35">
      <c r="P10" t="s">
        <v>2007</v>
      </c>
      <c r="Q10" s="591" cm="1">
        <f t="array" aca="1" ref="Q10" ca="1" xml:space="preserve"> SUMPRODUCT( calc_goods_code_perc, --Type_of_goods_filled_all )</f>
        <v>1</v>
      </c>
    </row>
    <row r="11" spans="1:22" x14ac:dyDescent="0.35">
      <c r="P11" t="s">
        <v>2009</v>
      </c>
      <c r="Q11" t="b">
        <f xml:space="preserve"> AND( ISBLANK(\selected_turnover_cargo), NOT( ISBLANK( \selected_turnover_total )))</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18B00-0A04-4E5A-9350-93FB148A4A3A}">
  <sheetPr codeName="Sheet11">
    <tabColor rgb="FFC6EFCE"/>
  </sheetPr>
  <dimension ref="B1:AP10"/>
  <sheetViews>
    <sheetView showGridLines="0" workbookViewId="0">
      <pane ySplit="2" topLeftCell="A3" activePane="bottomLeft" state="frozen"/>
      <selection pane="bottomLeft" activeCell="R3" sqref="B3:R4"/>
    </sheetView>
  </sheetViews>
  <sheetFormatPr baseColWidth="10" defaultColWidth="9.1796875" defaultRowHeight="14.5" x14ac:dyDescent="0.35"/>
  <cols>
    <col min="1" max="1" width="18.81640625" customWidth="1"/>
    <col min="2" max="2" width="6.26953125" style="888" bestFit="1" customWidth="1"/>
    <col min="3" max="3" width="16.54296875" style="731" bestFit="1" customWidth="1"/>
    <col min="4" max="4" width="16.1796875" style="731" bestFit="1" customWidth="1"/>
    <col min="5" max="5" width="15.7265625" style="731" bestFit="1" customWidth="1"/>
    <col min="6" max="6" width="14.1796875" style="731" bestFit="1" customWidth="1"/>
    <col min="7" max="7" width="18.81640625" style="731" bestFit="1" customWidth="1"/>
    <col min="8" max="8" width="7.7265625" style="731" bestFit="1" customWidth="1"/>
    <col min="9" max="9" width="7.1796875" style="731" bestFit="1" customWidth="1"/>
    <col min="10" max="10" width="5.7265625" style="731" bestFit="1" customWidth="1"/>
    <col min="11" max="11" width="5.81640625" style="731" bestFit="1" customWidth="1"/>
    <col min="12" max="12" width="14.81640625" style="731" bestFit="1" customWidth="1"/>
    <col min="13" max="13" width="26.453125" style="822" bestFit="1" customWidth="1"/>
    <col min="14" max="14" width="25" style="822" bestFit="1" customWidth="1"/>
    <col min="15" max="15" width="11" style="889" bestFit="1" customWidth="1"/>
    <col min="16" max="16" width="12" style="889" bestFit="1" customWidth="1"/>
    <col min="17" max="17" width="13.81640625" style="731" bestFit="1" customWidth="1"/>
    <col min="18" max="18" width="13.81640625" customWidth="1"/>
    <col min="19" max="19" width="9.1796875" style="586" bestFit="1" customWidth="1"/>
    <col min="20" max="20" width="26" customWidth="1"/>
    <col min="22" max="22" width="7.81640625" style="731" bestFit="1" customWidth="1"/>
    <col min="23" max="23" width="14.81640625" style="731" bestFit="1" customWidth="1"/>
    <col min="24" max="24" width="18.453125" style="731" bestFit="1" customWidth="1"/>
    <col min="26" max="26" width="18" bestFit="1" customWidth="1"/>
    <col min="27" max="27" width="26" customWidth="1"/>
    <col min="28" max="28" width="15" hidden="1" customWidth="1"/>
    <col min="29" max="29" width="13.54296875" hidden="1" customWidth="1"/>
    <col min="30" max="30" width="3.26953125" hidden="1" customWidth="1"/>
    <col min="32" max="32" width="38.1796875" style="888" bestFit="1" customWidth="1"/>
    <col min="33" max="33" width="17.26953125" style="897" customWidth="1"/>
    <col min="34" max="34" width="17.26953125" style="735" customWidth="1"/>
    <col min="38" max="38" width="18.81640625" bestFit="1" customWidth="1"/>
    <col min="40" max="42" width="0" hidden="1" customWidth="1"/>
    <col min="44" max="44" width="18.81640625" bestFit="1" customWidth="1"/>
  </cols>
  <sheetData>
    <row r="1" spans="2:42" ht="45.75" customHeight="1" thickBot="1" x14ac:dyDescent="0.4">
      <c r="B1" s="959" t="s">
        <v>4410</v>
      </c>
      <c r="C1" s="959"/>
      <c r="D1" s="959"/>
      <c r="E1" s="959"/>
      <c r="F1" s="959"/>
      <c r="G1" s="959"/>
      <c r="H1" s="959"/>
      <c r="I1" s="959"/>
      <c r="J1" s="959"/>
      <c r="K1" s="959"/>
      <c r="L1" s="959"/>
      <c r="M1" s="959"/>
      <c r="N1" s="959"/>
      <c r="O1" s="959"/>
      <c r="P1" s="959"/>
      <c r="Q1" s="959"/>
      <c r="R1" s="960"/>
      <c r="T1" s="678" t="s">
        <v>4411</v>
      </c>
      <c r="U1" s="63"/>
      <c r="V1" s="681" t="s">
        <v>4412</v>
      </c>
      <c r="W1" s="682" t="s">
        <v>57</v>
      </c>
      <c r="X1" s="683" t="s">
        <v>4413</v>
      </c>
      <c r="Z1" s="63" t="s">
        <v>4414</v>
      </c>
      <c r="AA1" s="894" t="str">
        <f xml:space="preserve"> IFERROR("Deductible amount (in " &amp; calc_currency_code &amp; ")", "There is an issue with the currency. Please check.")</f>
        <v>Deductible amount (in EUR)</v>
      </c>
      <c r="AB1" s="63" t="s">
        <v>4415</v>
      </c>
      <c r="AC1" s="63" t="s">
        <v>4416</v>
      </c>
      <c r="AD1" s="63" t="s">
        <v>4417</v>
      </c>
      <c r="AF1" s="956" t="s">
        <v>4538</v>
      </c>
      <c r="AG1" s="957"/>
      <c r="AH1" s="958" t="str">
        <f xml:space="preserve"> IF( ISERROR(MATCH("Other (elaboration mandatory)", AF:AF, 0)), "", "You entered a reason that requires mandatory explanation! Please elaborate the adjustment in the cell below.")</f>
        <v/>
      </c>
      <c r="AI1" s="958"/>
      <c r="AL1" s="443"/>
      <c r="AN1" s="701" t="s">
        <v>4476</v>
      </c>
      <c r="AO1" s="716" t="s">
        <v>4477</v>
      </c>
      <c r="AP1" s="717" t="s">
        <v>4478</v>
      </c>
    </row>
    <row r="2" spans="2:42" ht="45.75" customHeight="1" thickBot="1" x14ac:dyDescent="0.4">
      <c r="B2" s="679" t="s">
        <v>4394</v>
      </c>
      <c r="C2" s="679" t="s">
        <v>4395</v>
      </c>
      <c r="D2" s="679" t="s">
        <v>4396</v>
      </c>
      <c r="E2" s="679" t="s">
        <v>4397</v>
      </c>
      <c r="F2" s="679" t="s">
        <v>4398</v>
      </c>
      <c r="G2" s="679" t="s">
        <v>4399</v>
      </c>
      <c r="H2" s="679" t="s">
        <v>4400</v>
      </c>
      <c r="I2" s="679" t="s">
        <v>4401</v>
      </c>
      <c r="J2" s="679" t="s">
        <v>4402</v>
      </c>
      <c r="K2" s="679" t="s">
        <v>4403</v>
      </c>
      <c r="L2" s="679" t="s">
        <v>4404</v>
      </c>
      <c r="M2" s="679" t="s">
        <v>4405</v>
      </c>
      <c r="N2" s="679" t="s">
        <v>4406</v>
      </c>
      <c r="O2" s="722" t="s">
        <v>4407</v>
      </c>
      <c r="P2" s="722" t="s">
        <v>4408</v>
      </c>
      <c r="Q2" s="680" t="s">
        <v>4409</v>
      </c>
      <c r="R2" s="680" t="s">
        <v>4566</v>
      </c>
      <c r="T2" s="890">
        <v>1</v>
      </c>
      <c r="U2" s="63"/>
      <c r="V2" s="891" cm="1">
        <f t="array" ref="V2">_xlfn.ANCHORARRAY( \storageCalc_typeOfGoodsNr)</f>
        <v>1</v>
      </c>
      <c r="W2" s="891" t="s">
        <v>4438</v>
      </c>
      <c r="X2" s="892">
        <v>1</v>
      </c>
      <c r="Z2" s="895" t="s">
        <v>4444</v>
      </c>
      <c r="AA2" s="896">
        <v>1000</v>
      </c>
      <c r="AB2" s="691">
        <v>0.1</v>
      </c>
      <c r="AC2" s="692">
        <v>5000</v>
      </c>
      <c r="AD2" s="692">
        <v>15000</v>
      </c>
      <c r="AF2" s="736" t="s">
        <v>4534</v>
      </c>
      <c r="AG2" s="737" t="s">
        <v>4535</v>
      </c>
      <c r="AH2" s="958"/>
      <c r="AI2" s="958"/>
      <c r="AL2" s="838"/>
    </row>
    <row r="3" spans="2:42" x14ac:dyDescent="0.35">
      <c r="S3" s="898"/>
      <c r="T3" s="63"/>
      <c r="U3" s="63"/>
      <c r="V3" s="891"/>
      <c r="W3" s="891" t="s">
        <v>4438</v>
      </c>
      <c r="X3" s="892">
        <v>0.3</v>
      </c>
      <c r="AH3" s="952"/>
      <c r="AI3" s="953"/>
    </row>
    <row r="4" spans="2:42" x14ac:dyDescent="0.35">
      <c r="U4" s="63"/>
      <c r="V4" s="891"/>
      <c r="W4" s="891"/>
      <c r="X4" s="893"/>
      <c r="AH4" s="952"/>
      <c r="AI4" s="953"/>
    </row>
    <row r="5" spans="2:42" ht="15" customHeight="1" x14ac:dyDescent="0.35">
      <c r="U5" s="63"/>
      <c r="V5" s="891"/>
      <c r="W5" s="891"/>
      <c r="X5" s="893"/>
      <c r="AH5" s="954" t="str" cm="1">
        <f t="array" ref="AH5" xml:space="preserve"> _xlfn.LET(_xlpm.values, _xlfn._xlws.FILTER(AF:AF, NOT(ISBLANK(AF:AF)), ""), IF( COUNTA(_xlpm.values) = COUNTA(_xlfn.UNIQUE(_xlpm.values)), "", "Attention! At least one entry is twice in your chosen UW-Adjustments. Only the first entry of each unique technical Adjustments will be considered."))</f>
        <v/>
      </c>
      <c r="AI5" s="955"/>
    </row>
    <row r="6" spans="2:42" x14ac:dyDescent="0.35">
      <c r="U6" s="63"/>
      <c r="V6" s="891"/>
      <c r="W6" s="891"/>
      <c r="X6" s="893"/>
      <c r="AH6" s="954"/>
      <c r="AI6" s="955"/>
    </row>
    <row r="7" spans="2:42" x14ac:dyDescent="0.35">
      <c r="AH7" s="954"/>
      <c r="AI7" s="955"/>
    </row>
    <row r="8" spans="2:42" x14ac:dyDescent="0.35">
      <c r="AH8" s="954"/>
      <c r="AI8" s="955"/>
    </row>
    <row r="9" spans="2:42" x14ac:dyDescent="0.35">
      <c r="AH9" s="954"/>
      <c r="AI9" s="955"/>
    </row>
    <row r="10" spans="2:42" x14ac:dyDescent="0.35">
      <c r="AH10" s="954"/>
      <c r="AI10" s="955"/>
    </row>
  </sheetData>
  <autoFilter ref="B2:R52" xr:uid="{40C18B00-0A04-4E5A-9350-93FB148A4A3A}"/>
  <mergeCells count="5">
    <mergeCell ref="AH3:AI4"/>
    <mergeCell ref="AH5:AI10"/>
    <mergeCell ref="AF1:AG1"/>
    <mergeCell ref="AH1:AI2"/>
    <mergeCell ref="B1:R1"/>
  </mergeCells>
  <conditionalFormatting sqref="V1:V6">
    <cfRule type="expression" dxfId="59" priority="12">
      <formula xml:space="preserve"> ISNUMBER(V1)</formula>
    </cfRule>
  </conditionalFormatting>
  <conditionalFormatting sqref="X1:X1048576">
    <cfRule type="expression" dxfId="58" priority="8">
      <formula xml:space="preserve"> AND(\storageCalc_typeOfGoods_totalShare &lt; 1, NOT(ISBLANK(W1)), ROW(W1) &gt; 1)</formula>
    </cfRule>
    <cfRule type="expression" dxfId="57" priority="9">
      <formula xml:space="preserve"> AND(\storageCalc_typeOfGoods_totalShare &gt; 1, NOT(ISBLANK(W1)), ROW(W1) &gt; 1)</formula>
    </cfRule>
    <cfRule type="expression" dxfId="56" priority="10">
      <formula xml:space="preserve"> ISNUMBER(V1)</formula>
    </cfRule>
  </conditionalFormatting>
  <conditionalFormatting sqref="V1:X1048576">
    <cfRule type="expression" dxfId="55" priority="11">
      <formula xml:space="preserve"> $V1 = MAX($V:$V)</formula>
    </cfRule>
  </conditionalFormatting>
  <conditionalFormatting sqref="W1:X1048576">
    <cfRule type="expression" dxfId="54" priority="6" stopIfTrue="1">
      <formula xml:space="preserve"> ISBLANK($V1)</formula>
    </cfRule>
    <cfRule type="expression" dxfId="53" priority="7">
      <formula xml:space="preserve"> AND( ISBLANK(W1), NOT(ISBLANK($V1)) )</formula>
    </cfRule>
  </conditionalFormatting>
  <conditionalFormatting sqref="AA1">
    <cfRule type="expression" dxfId="52" priority="5">
      <formula xml:space="preserve"> ISERROR(calc_currency_code)</formula>
    </cfRule>
  </conditionalFormatting>
  <conditionalFormatting sqref="AF3:AG1048576">
    <cfRule type="expression" dxfId="51" priority="1">
      <formula xml:space="preserve"> NOT(ISBLANK($AF2))</formula>
    </cfRule>
    <cfRule type="expression" dxfId="50" priority="4">
      <formula xml:space="preserve"> COUNTIF($AF:$AF, $AF3) &gt; 1</formula>
    </cfRule>
  </conditionalFormatting>
  <conditionalFormatting sqref="AH3:AI4">
    <cfRule type="expression" dxfId="49" priority="3">
      <formula>AND($AH$1 &lt;&gt; "", ISBLANK($AH$3))</formula>
    </cfRule>
  </conditionalFormatting>
  <conditionalFormatting sqref="AH5:AI10">
    <cfRule type="expression" dxfId="48" priority="2">
      <formula>$AH$5 &lt;&gt; ""</formula>
    </cfRule>
  </conditionalFormatting>
  <dataValidations count="11">
    <dataValidation type="decimal" allowBlank="1" showInputMessage="1" showErrorMessage="1" sqref="X2:X6" xr:uid="{BEAF3201-5820-45C2-822E-063CDD4DC94C}">
      <formula1>0</formula1>
      <formula2>1</formula2>
    </dataValidation>
    <dataValidation type="whole" operator="greaterThanOrEqual" allowBlank="1" showInputMessage="1" showErrorMessage="1" errorTitle="Invalid number entry" error="Please enter the number of type of goods you want to enter as an integer greater than or equal to one(1)." sqref="T2" xr:uid="{CBF6492F-2D01-412A-87D4-F310EC3D61FD}">
      <formula1>1</formula1>
    </dataValidation>
    <dataValidation type="list" allowBlank="1" showInputMessage="1" showErrorMessage="1" sqref="W2:W1048576" xr:uid="{A225660E-B42C-4A05-8B8F-100CA4ABCD19}">
      <formula1 xml:space="preserve"> INDEX(\storageParams_typeOfGoods, 0, 1)</formula1>
    </dataValidation>
    <dataValidation type="list" allowBlank="1" showInputMessage="1" showErrorMessage="1" sqref="Z2" xr:uid="{9515D772-4923-4CB2-AADF-6963617EFC64}">
      <formula1 xml:space="preserve"> \storageParams_DeductibleTypes</formula1>
    </dataValidation>
    <dataValidation type="decimal" operator="greaterThanOrEqual" allowBlank="1" showInputMessage="1" showErrorMessage="1" errorTitle="Invalid Deductible Entered" error="Please enter the deductible as a decimal greater than or equal to zero(0)." sqref="AA2 AC2 AD2" xr:uid="{E8E84F44-8F22-4526-AC3D-616BDB10C9D6}">
      <formula1>0</formula1>
    </dataValidation>
    <dataValidation type="decimal" allowBlank="1" showInputMessage="1" showErrorMessage="1" errorTitle="Invalid Deductible Percentage" error="Please enter the percentage deductible as a value between 0 and 1, or as a percentage value between 0% and 100%." sqref="AB2" xr:uid="{B1A5A47D-DFCE-4AB8-A16E-301630A3F237}">
      <formula1>0</formula1>
      <formula2>1</formula2>
    </dataValidation>
    <dataValidation type="list" allowBlank="1" showInputMessage="1" showErrorMessage="1" sqref="AF3:AF1048576" xr:uid="{38B0D3A5-2952-4AE8-BCA2-DA927F9072BD}">
      <formula1 xml:space="preserve"> \storageParams_technicalAdjustments_Reasons</formula1>
    </dataValidation>
    <dataValidation type="custom" allowBlank="1" showInputMessage="1" showErrorMessage="1" errorTitle="Invalid discount/surcharge" error="Please enter the discount/surcharge as a number (e.g. -10%)." sqref="AG3:AG1048576" xr:uid="{26224446-2424-43F6-9EC3-C9734D510191}">
      <formula1 xml:space="preserve"> ISNUMBER(AG3)</formula1>
    </dataValidation>
    <dataValidation type="list" allowBlank="1" showInputMessage="1" showErrorMessage="1" sqref="L3:L1048576" xr:uid="{E7C42D61-DB0A-4D33-AA75-75E3DD452E1F}">
      <formula1 xml:space="preserve"> \reference_currency_code</formula1>
    </dataValidation>
    <dataValidation type="decimal" operator="greaterThanOrEqual" allowBlank="1" showInputMessage="1" showErrorMessage="1" errorTitle="Invalid Limit" error="The limit has to be 0 or greater." sqref="M3:M1048576" xr:uid="{ADF7CCC8-D835-4AA7-96F9-0B945E98A836}">
      <formula1>0</formula1>
    </dataValidation>
    <dataValidation allowBlank="1" showInputMessage="1" showErrorMessage="1" errorTitle="Invalid value" error="The average value has to be 0 or greater." sqref="N3:N1048576" xr:uid="{4C64C3D9-409D-4A31-9ED9-289262EF11D6}"/>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82" r:id="rId4" name="Button 14">
              <controlPr defaultSize="0" print="0" autoFill="0" autoPict="0" macro="[0]!importRequest">
                <anchor moveWithCells="1" sizeWithCells="1">
                  <from>
                    <xdr:col>0</xdr:col>
                    <xdr:colOff>95250</xdr:colOff>
                    <xdr:row>2</xdr:row>
                    <xdr:rowOff>50800</xdr:rowOff>
                  </from>
                  <to>
                    <xdr:col>0</xdr:col>
                    <xdr:colOff>1231900</xdr:colOff>
                    <xdr:row>13</xdr:row>
                    <xdr:rowOff>127000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F29C-7F02-41E4-8847-EF18D78F98B9}">
  <sheetPr codeName="Sheet12">
    <tabColor rgb="FFF2F2F2"/>
  </sheetPr>
  <dimension ref="A1:AX138"/>
  <sheetViews>
    <sheetView showGridLines="0" topLeftCell="P1" workbookViewId="0">
      <pane ySplit="1" topLeftCell="A2" activePane="bottomLeft" state="frozen"/>
      <selection activeCell="T1" sqref="T1"/>
      <selection pane="bottomLeft" activeCell="AB2" sqref="AB2"/>
    </sheetView>
  </sheetViews>
  <sheetFormatPr baseColWidth="10" defaultColWidth="9.1796875" defaultRowHeight="14.5" outlineLevelCol="1" x14ac:dyDescent="0.35"/>
  <cols>
    <col min="1" max="1" width="15.453125" bestFit="1" customWidth="1"/>
    <col min="2" max="2" width="18.453125" bestFit="1" customWidth="1"/>
    <col min="3" max="3" width="18.1796875" style="591" bestFit="1" customWidth="1"/>
    <col min="4" max="4" width="18.7265625" bestFit="1" customWidth="1"/>
    <col min="6" max="6" width="17.453125" bestFit="1" customWidth="1"/>
    <col min="7" max="7" width="12.453125" bestFit="1" customWidth="1"/>
    <col min="9" max="9" width="16.54296875" bestFit="1" customWidth="1"/>
    <col min="10" max="10" width="20.7265625" bestFit="1" customWidth="1"/>
    <col min="12" max="12" width="9.81640625" style="477" bestFit="1" customWidth="1"/>
    <col min="13" max="14" width="16.26953125" style="699" customWidth="1" outlineLevel="1"/>
    <col min="15" max="15" width="22.26953125" style="708" customWidth="1" outlineLevel="1"/>
    <col min="16" max="16" width="16.26953125" style="699" customWidth="1" outlineLevel="1"/>
    <col min="17" max="17" width="23.453125" style="699" customWidth="1"/>
    <col min="18" max="18" width="26.54296875" style="699" bestFit="1" customWidth="1"/>
    <col min="19" max="19" width="14.26953125" style="699" bestFit="1" customWidth="1"/>
    <col min="20" max="20" width="17.54296875" style="709" customWidth="1" outlineLevel="1"/>
    <col min="21" max="21" width="26.7265625" style="699" customWidth="1" outlineLevel="1"/>
    <col min="22" max="22" width="25.7265625" style="708" customWidth="1" outlineLevel="1"/>
    <col min="23" max="23" width="25.1796875" style="709" customWidth="1" outlineLevel="1"/>
    <col min="24" max="24" width="27.81640625" style="699" customWidth="1" outlineLevel="1"/>
    <col min="25" max="25" width="26" style="708" customWidth="1" outlineLevel="1"/>
    <col min="26" max="26" width="25.1796875" style="699" customWidth="1" outlineLevel="1"/>
    <col min="27" max="27" width="15.26953125" style="699" customWidth="1" outlineLevel="1"/>
    <col min="28" max="28" width="21.453125" style="700" bestFit="1" customWidth="1"/>
    <col min="29" max="29" width="9" bestFit="1" customWidth="1"/>
    <col min="30" max="30" width="38.1796875" style="477" bestFit="1" customWidth="1"/>
    <col min="31" max="31" width="29.453125" style="478" bestFit="1" customWidth="1"/>
    <col min="32" max="32" width="36.54296875" bestFit="1" customWidth="1"/>
    <col min="33" max="33" width="35.1796875" bestFit="1" customWidth="1"/>
    <col min="34" max="34" width="9" customWidth="1"/>
    <col min="35" max="35" width="17.54296875" bestFit="1" customWidth="1"/>
    <col min="36" max="37" width="17.54296875" customWidth="1"/>
    <col min="38" max="38" width="32.453125" bestFit="1" customWidth="1"/>
    <col min="39" max="42" width="32.453125" customWidth="1"/>
    <col min="43" max="43" width="31" bestFit="1" customWidth="1"/>
    <col min="44" max="44" width="26.453125" bestFit="1" customWidth="1"/>
    <col min="45" max="45" width="20.81640625" bestFit="1" customWidth="1"/>
    <col min="46" max="46" width="18.1796875" bestFit="1" customWidth="1"/>
    <col min="47" max="47" width="15.1796875" bestFit="1" customWidth="1"/>
    <col min="49" max="49" width="20.453125" style="477" bestFit="1" customWidth="1"/>
    <col min="50" max="50" width="17.54296875" style="478" bestFit="1" customWidth="1"/>
  </cols>
  <sheetData>
    <row r="1" spans="1:50" ht="15" thickBot="1" x14ac:dyDescent="0.4">
      <c r="A1" s="444" t="s">
        <v>4419</v>
      </c>
      <c r="B1" s="444" t="s">
        <v>4440</v>
      </c>
      <c r="C1" s="444" t="s">
        <v>4420</v>
      </c>
      <c r="D1" s="444" t="s">
        <v>4421</v>
      </c>
      <c r="F1" s="684" t="s">
        <v>4441</v>
      </c>
      <c r="G1" s="685" t="s">
        <v>4442</v>
      </c>
      <c r="I1" s="444" t="s">
        <v>4448</v>
      </c>
      <c r="J1" s="444" t="s">
        <v>4449</v>
      </c>
      <c r="L1" s="701" t="s">
        <v>4446</v>
      </c>
      <c r="M1" s="702" t="s">
        <v>4484</v>
      </c>
      <c r="N1" s="702" t="s">
        <v>4786</v>
      </c>
      <c r="O1" s="739" t="s">
        <v>4485</v>
      </c>
      <c r="P1" s="702" t="s">
        <v>4486</v>
      </c>
      <c r="Q1" s="702" t="s">
        <v>4487</v>
      </c>
      <c r="R1" s="702" t="s">
        <v>4787</v>
      </c>
      <c r="S1" s="702" t="s">
        <v>4451</v>
      </c>
      <c r="T1" s="705" t="s">
        <v>4453</v>
      </c>
      <c r="U1" s="703" t="s">
        <v>4454</v>
      </c>
      <c r="V1" s="707" t="s">
        <v>4455</v>
      </c>
      <c r="W1" s="710" t="s">
        <v>4461</v>
      </c>
      <c r="X1" s="703" t="s">
        <v>4458</v>
      </c>
      <c r="Y1" s="707" t="s">
        <v>4456</v>
      </c>
      <c r="Z1" s="703" t="s">
        <v>4457</v>
      </c>
      <c r="AA1" s="703" t="s">
        <v>4459</v>
      </c>
      <c r="AB1" s="704" t="s">
        <v>4460</v>
      </c>
      <c r="AD1" s="741" t="s">
        <v>4539</v>
      </c>
      <c r="AE1" s="704" t="s">
        <v>4540</v>
      </c>
      <c r="AF1" s="748" t="s">
        <v>4548</v>
      </c>
      <c r="AG1" s="749" t="s">
        <v>4547</v>
      </c>
      <c r="AI1" s="714" t="s">
        <v>4567</v>
      </c>
      <c r="AJ1" s="715" t="s">
        <v>4568</v>
      </c>
      <c r="AK1" s="715" t="s">
        <v>4569</v>
      </c>
      <c r="AL1" s="714" t="s">
        <v>4570</v>
      </c>
      <c r="AM1" s="714" t="s">
        <v>4571</v>
      </c>
      <c r="AN1" s="714" t="s">
        <v>4575</v>
      </c>
      <c r="AO1" s="752"/>
      <c r="AP1" s="714" t="s">
        <v>4572</v>
      </c>
      <c r="AQ1" s="714" t="s">
        <v>4573</v>
      </c>
      <c r="AR1" s="714" t="s">
        <v>4574</v>
      </c>
      <c r="AS1" s="714" t="s">
        <v>4474</v>
      </c>
      <c r="AT1" s="715" t="s">
        <v>4475</v>
      </c>
      <c r="AU1" s="714" t="s">
        <v>4462</v>
      </c>
      <c r="AW1" s="741" t="s">
        <v>4488</v>
      </c>
      <c r="AX1" s="715" t="s">
        <v>4489</v>
      </c>
    </row>
    <row r="2" spans="1:50" ht="15" thickBot="1" x14ac:dyDescent="0.4">
      <c r="A2" cm="1">
        <f t="array" ref="A2" xml:space="preserve"> _xlfn.SEQUENCE(\storageInput_TypeOfGoodsCount)</f>
        <v>1</v>
      </c>
      <c r="B2" t="str" cm="1">
        <f t="array" aca="1" ref="B2" ca="1" xml:space="preserve"> OFFSET( \storageInput_TypeOfGoods_Top, 0, 0, \storageInput_TypeOfGoodsCount )</f>
        <v>Spare Parts</v>
      </c>
      <c r="C2" s="591" cm="1">
        <f t="array" aca="1" ref="C2" ca="1" xml:space="preserve"> OFFSET( \storageInput_TypeOfGoodsShare_Top, 0, 0, \storageInput_TypeOfGoodsCount )</f>
        <v>1</v>
      </c>
      <c r="D2" cm="1">
        <f t="array" aca="1" ref="D2" ca="1" xml:space="preserve"> INDEX( \storageParams_typeOfGoods, MATCH(_xlfn.ANCHORARRAY( B2), INDEX( \storageParams_typeOfGoods, 0, 1), 0), 2 )</f>
        <v>1</v>
      </c>
      <c r="F2" s="686">
        <f ca="1" xml:space="preserve"> SUM(_xlfn.ANCHORARRAY(C2))</f>
        <v>1</v>
      </c>
      <c r="G2" s="719">
        <f ca="1" xml:space="preserve"> SUMPRODUCT(_xlfn.ANCHORARRAY(C2),_xlfn.ANCHORARRAY( D2)) / \storageCalc_typeOfGoods_totalShare</f>
        <v>1</v>
      </c>
      <c r="I2" t="str">
        <f xml:space="preserve"> \storageInput_Deductible_Type</f>
        <v>Fixed Amount</v>
      </c>
      <c r="J2" s="690">
        <f xml:space="preserve"> IF(I2 = "Percentage", \storageInput_Deductible_PercentageAmount, \storageInput_Deductible_FixedAmount)</f>
        <v>1000</v>
      </c>
      <c r="L2" s="697" t="e" cm="1" vm="1">
        <f t="array" ref="L2" xml:space="preserve"> _xlfn.SEQUENCE( COUNT(Storage_Input!B:B) )</f>
        <v>#VALUE!</v>
      </c>
      <c r="M2" s="699" t="e" cm="1" vm="2">
        <f t="array" ref="M2" xml:space="preserve"> INDEX( Storage_Input!M:M, MATCH(_xlfn.ANCHORARRAY(L2), Storage_Input!B:B, 0), 1 )</f>
        <v>#VALUE!</v>
      </c>
      <c r="N2" s="699" t="e" cm="1" vm="2">
        <f t="array" ref="N2" xml:space="preserve"> INDEX( Storage_Input!N:N, MATCH(_xlfn.ANCHORARRAY(L2), Storage_Input!B:B, 0), 1 )</f>
        <v>#VALUE!</v>
      </c>
      <c r="O2" s="740" t="e" cm="1" vm="2">
        <f t="array" ref="O2" xml:space="preserve"> INDEX( Storage_Input!L:L, MATCH(_xlfn.ANCHORARRAY(L2), Storage_Input!B:B, 0), 1 )</f>
        <v>#VALUE!</v>
      </c>
      <c r="P2" s="723" t="e" cm="1" vm="2">
        <f t="array" ref="P2" xml:space="preserve"> INDEX(_xlfn.ANCHORARRAY(AX2), MATCH(_xlfn.ANCHORARRAY(O2),_xlfn.ANCHORARRAY( AW2), 0), 1)</f>
        <v>#VALUE!</v>
      </c>
      <c r="Q2" s="698" t="e" cm="1" vm="2">
        <f t="array" ref="Q2">_xlfn.ANCHORARRAY( M2) /_xlfn.ANCHORARRAY( P2) * calc_fxrate</f>
        <v>#VALUE!</v>
      </c>
      <c r="R2" s="698" t="e" cm="1" vm="2">
        <f t="array" ref="R2">_xlfn.ANCHORARRAY( N2) /_xlfn.ANCHORARRAY( $P2) * calc_fxrate</f>
        <v>#VALUE!</v>
      </c>
      <c r="S2" s="698" t="e" cm="1" vm="2">
        <f t="array" aca="1" ref="S2" ca="1">_xlfn.ANCHORARRAY(R2) * \storageCalc_typeOfGoods_totalFactor * \storageParams_BaseRate</f>
        <v>#VALUE!</v>
      </c>
      <c r="T2" s="706" t="e" cm="1" vm="2">
        <f t="array" ref="T2">_xlfn.ANCHORARRAY( R2) * \storageParams_ThresholdFactor</f>
        <v>#VALUE!</v>
      </c>
      <c r="U2" s="699" t="e" cm="1" vm="2">
        <f t="array" ref="U2" xml:space="preserve"> \storageParams_Alpha *_xlfn.ANCHORARRAY( T2) / (\storageParams_Alpha-1) - J2</f>
        <v>#VALUE!</v>
      </c>
      <c r="V2" s="708" t="e" cm="1" vm="2">
        <f t="array" ref="V2">1 / (\storageParams_Alpha-1) * J2 * (_xlfn.ANCHORARRAY(T2) / J2) ^ \storageParams_Alpha</f>
        <v>#VALUE!</v>
      </c>
      <c r="W2" s="709" t="e" cm="1" vm="2">
        <f t="array" ref="W2" xml:space="preserve"> IF(_xlfn.ANCHORARRAY(Q2) &lt; J2, J2,_xlfn.ANCHORARRAY( Q2))</f>
        <v>#VALUE!</v>
      </c>
      <c r="X2" s="699" t="e" cm="1" vm="2">
        <f t="array" ref="X2">IF(_xlfn.ANCHORARRAY(T2) &gt;= J2,_xlfn.ANCHORARRAY( U2),_xlfn.ANCHORARRAY( V2)) - (1 / (\storageParams_Alpha-1) *_xlfn.ANCHORARRAY( W2) * (_xlfn.ANCHORARRAY(T2) /_xlfn.ANCHORARRAY( W2)) ^ \storageParams_Alpha)</f>
        <v>#VALUE!</v>
      </c>
      <c r="Y2" s="708" t="e" cm="1" vm="2">
        <f t="array" ref="Y2">_xlfn.ANCHORARRAY(T2) * (1 - LN(_xlfn.ANCHORARRAY(T2) / (_xlfn.ANCHORARRAY(W2)))) - J2</f>
        <v>#VALUE!</v>
      </c>
      <c r="Z2" s="699" t="e" cm="1" vm="2">
        <f t="array" ref="Z2">_xlfn.BYROW(_xlfn.ANCHORARRAY(T2) * LN(_xlfn.ANCHORARRAY(W2)/J2), _xlfn.LAMBDA(_xlpm.value, MAX(_xlpm.value, 0)))</f>
        <v>#VALUE!</v>
      </c>
      <c r="AA2" s="699" t="e" cm="1" vm="2">
        <f t="array" ref="AA2" xml:space="preserve"> IF( \storageParams_Alpha = 1, IF(_xlfn.ANCHORARRAY(T2) &gt;= J2,_xlfn.ANCHORARRAY( Y2),_xlfn.ANCHORARRAY( Z2)),_xlfn.ANCHORARRAY( X2) )</f>
        <v>#VALUE!</v>
      </c>
      <c r="AB2" s="700" cm="1">
        <f t="array" aca="1" ref="AB2" ca="1" xml:space="preserve"> IFERROR(_xlfn.ANCHORARRAY( AA2) / \storageParams_ReturnPeriodThreshold, 0 ) * \storageCalc_typeOfGoods_totalFactor</f>
        <v>0</v>
      </c>
      <c r="AC2" s="721"/>
      <c r="AD2" s="746" t="str" cm="1">
        <f t="array" ref="AD2:AD6" xml:space="preserve"> \storageParams_technicalAdjustments_Reasons</f>
        <v>Annual aggregate limits</v>
      </c>
      <c r="AE2" s="747" cm="1">
        <f t="array" ref="AE2:AE6" xml:space="preserve"> IFERROR( INDEX( Storage_Input!AG:AG, MATCH(_xlfn.ANCHORARRAY(AD2), Storage_Input!AF:AF, 0), 1 ), 0)</f>
        <v>0</v>
      </c>
      <c r="AF2" s="750" cm="1">
        <f t="array" ref="AF2" xml:space="preserve"> PRODUCT(_xlfn.ANCHORARRAY(AE2) + 1)</f>
        <v>1</v>
      </c>
      <c r="AG2" s="751">
        <f xml:space="preserve"> MAX(MIN(AF2 - 1, \storageParams_technicalAdjustments_combinedReason_upperBound),\storageParams_technicalAdjustments_combinedReason_lowerBound) + 1</f>
        <v>1</v>
      </c>
      <c r="AH2" s="721"/>
      <c r="AI2" s="753">
        <f ca="1" xml:space="preserve"> COUNT( OFFSET(\paramhelper_StorageTableNatCatColumn, -ROW(\paramhelper_StorageTableNatCatColumn) + 1, 0, ROWS(A:A)) )</f>
        <v>0</v>
      </c>
      <c r="AJ2" s="753">
        <f xml:space="preserve"> COUNT(_xlfn.ANCHORARRAY(L2))</f>
        <v>0</v>
      </c>
      <c r="AK2" s="718">
        <f xml:space="preserve"> IFERROR(SUM(_xlfn.ANCHORARRAY(M2)), 0)</f>
        <v>0</v>
      </c>
      <c r="AL2" s="754" t="b">
        <f xml:space="preserve"> OR(AJ2 &gt; 10, AK2 &gt; 20000000)</f>
        <v>0</v>
      </c>
      <c r="AM2" s="754" t="b">
        <f ca="1" xml:space="preserve"> AI2 = 0</f>
        <v>1</v>
      </c>
      <c r="AN2" s="754">
        <f ca="1" xml:space="preserve"> IF( AND(AL2, AM2), 105%, 100% )</f>
        <v>1</v>
      </c>
      <c r="AO2" s="721"/>
      <c r="AP2" s="718">
        <f ca="1" xml:space="preserve"> IFERROR( SUM(_xlfn.ANCHORARRAY(AB2)), 0 )</f>
        <v>0</v>
      </c>
      <c r="AQ2" s="718">
        <f ca="1" xml:space="preserve"> AP2 * AG2</f>
        <v>0</v>
      </c>
      <c r="AR2" s="718">
        <f ca="1" xml:space="preserve"> AQ2 * AN2</f>
        <v>0</v>
      </c>
      <c r="AS2" s="718">
        <f ca="1" xml:space="preserve"> AU2</f>
        <v>0</v>
      </c>
      <c r="AT2" s="720"/>
      <c r="AU2" s="718">
        <f ca="1">AR2</f>
        <v>0</v>
      </c>
      <c r="AW2" s="477" t="e" cm="1" vm="2">
        <f t="array" ref="AW2" xml:space="preserve"> _xlfn.UNIQUE(_xlfn.ANCHORARRAY(O2))</f>
        <v>#VALUE!</v>
      </c>
      <c r="AX2" s="478" t="e" cm="1" vm="2">
        <f t="array" ref="AX2" xml:space="preserve"> INDEX( \parameter_fxrates, MATCH(_xlfn.ANCHORARRAY( AW2), INDEX(\parameter_fxrates, 0, 1), 0), 4 )</f>
        <v>#VALUE!</v>
      </c>
    </row>
    <row r="3" spans="1:50" x14ac:dyDescent="0.35">
      <c r="J3" s="690">
        <f xml:space="preserve"> \storageInput_Deductible_Min</f>
        <v>5000</v>
      </c>
      <c r="L3" s="697"/>
      <c r="O3" s="740"/>
      <c r="P3" s="723"/>
      <c r="Q3" s="698"/>
      <c r="R3" s="698"/>
      <c r="S3" s="698"/>
      <c r="T3" s="706"/>
      <c r="AD3" s="477" t="str">
        <v>Risk rating / qualitative assessment (HRC)</v>
      </c>
      <c r="AE3" s="747">
        <v>0</v>
      </c>
    </row>
    <row r="4" spans="1:50" x14ac:dyDescent="0.35">
      <c r="J4" s="690">
        <f xml:space="preserve"> \storageInput_Deductible_Max</f>
        <v>15000</v>
      </c>
      <c r="L4" s="697"/>
      <c r="O4" s="740"/>
      <c r="P4" s="723"/>
      <c r="Q4" s="698"/>
      <c r="R4" s="698"/>
      <c r="S4" s="698"/>
      <c r="T4" s="706"/>
      <c r="AD4" s="477" t="str">
        <v>Average storage value</v>
      </c>
      <c r="AE4" s="747">
        <v>0</v>
      </c>
    </row>
    <row r="5" spans="1:50" x14ac:dyDescent="0.35">
      <c r="P5" s="738"/>
      <c r="S5" s="708"/>
      <c r="T5" s="699"/>
      <c r="W5" s="699"/>
      <c r="AD5" s="477" t="str">
        <v xml:space="preserve">Storage duration </v>
      </c>
      <c r="AE5" s="747">
        <v>0</v>
      </c>
    </row>
    <row r="6" spans="1:50" x14ac:dyDescent="0.35">
      <c r="P6" s="738"/>
      <c r="AD6" s="477" t="str">
        <v>Tariff adjustment (pilot)</v>
      </c>
      <c r="AE6" s="747">
        <v>0</v>
      </c>
    </row>
    <row r="7" spans="1:50" x14ac:dyDescent="0.35">
      <c r="P7" s="738"/>
      <c r="AE7" s="747"/>
    </row>
    <row r="8" spans="1:50" x14ac:dyDescent="0.35">
      <c r="P8" s="738"/>
      <c r="AE8" s="747"/>
    </row>
    <row r="9" spans="1:50" x14ac:dyDescent="0.35">
      <c r="P9" s="738"/>
      <c r="AE9" s="747"/>
    </row>
    <row r="10" spans="1:50" x14ac:dyDescent="0.35">
      <c r="P10" s="738"/>
      <c r="AE10" s="747"/>
    </row>
    <row r="11" spans="1:50" x14ac:dyDescent="0.35">
      <c r="P11" s="738"/>
      <c r="AE11" s="747"/>
    </row>
    <row r="12" spans="1:50" x14ac:dyDescent="0.35">
      <c r="P12" s="738"/>
    </row>
    <row r="13" spans="1:50" x14ac:dyDescent="0.35">
      <c r="P13" s="738"/>
    </row>
    <row r="14" spans="1:50" x14ac:dyDescent="0.35">
      <c r="P14" s="738"/>
    </row>
    <row r="15" spans="1:50" x14ac:dyDescent="0.35">
      <c r="P15" s="738"/>
    </row>
    <row r="16" spans="1:50" x14ac:dyDescent="0.35">
      <c r="P16" s="738"/>
    </row>
    <row r="17" spans="16:16" x14ac:dyDescent="0.35">
      <c r="P17" s="738"/>
    </row>
    <row r="18" spans="16:16" x14ac:dyDescent="0.35">
      <c r="P18" s="738"/>
    </row>
    <row r="19" spans="16:16" x14ac:dyDescent="0.35">
      <c r="P19" s="738"/>
    </row>
    <row r="20" spans="16:16" x14ac:dyDescent="0.35">
      <c r="P20" s="738"/>
    </row>
    <row r="21" spans="16:16" x14ac:dyDescent="0.35">
      <c r="P21" s="738"/>
    </row>
    <row r="22" spans="16:16" x14ac:dyDescent="0.35">
      <c r="P22" s="738"/>
    </row>
    <row r="23" spans="16:16" x14ac:dyDescent="0.35">
      <c r="P23" s="738"/>
    </row>
    <row r="24" spans="16:16" x14ac:dyDescent="0.35">
      <c r="P24" s="738"/>
    </row>
    <row r="25" spans="16:16" x14ac:dyDescent="0.35">
      <c r="P25" s="738"/>
    </row>
    <row r="26" spans="16:16" x14ac:dyDescent="0.35">
      <c r="P26" s="738"/>
    </row>
    <row r="27" spans="16:16" x14ac:dyDescent="0.35">
      <c r="P27" s="738"/>
    </row>
    <row r="28" spans="16:16" x14ac:dyDescent="0.35">
      <c r="P28" s="738"/>
    </row>
    <row r="29" spans="16:16" x14ac:dyDescent="0.35">
      <c r="P29" s="738"/>
    </row>
    <row r="30" spans="16:16" x14ac:dyDescent="0.35">
      <c r="P30" s="738"/>
    </row>
    <row r="31" spans="16:16" x14ac:dyDescent="0.35">
      <c r="P31" s="738"/>
    </row>
    <row r="32" spans="16:16" x14ac:dyDescent="0.35">
      <c r="P32" s="738"/>
    </row>
    <row r="33" spans="16:16" x14ac:dyDescent="0.35">
      <c r="P33" s="738"/>
    </row>
    <row r="34" spans="16:16" x14ac:dyDescent="0.35">
      <c r="P34" s="738"/>
    </row>
    <row r="35" spans="16:16" x14ac:dyDescent="0.35">
      <c r="P35" s="738"/>
    </row>
    <row r="36" spans="16:16" x14ac:dyDescent="0.35">
      <c r="P36" s="738"/>
    </row>
    <row r="37" spans="16:16" x14ac:dyDescent="0.35">
      <c r="P37" s="738"/>
    </row>
    <row r="38" spans="16:16" x14ac:dyDescent="0.35">
      <c r="P38" s="738"/>
    </row>
    <row r="39" spans="16:16" x14ac:dyDescent="0.35">
      <c r="P39" s="738"/>
    </row>
    <row r="40" spans="16:16" x14ac:dyDescent="0.35">
      <c r="P40" s="738"/>
    </row>
    <row r="41" spans="16:16" x14ac:dyDescent="0.35">
      <c r="P41" s="738"/>
    </row>
    <row r="42" spans="16:16" x14ac:dyDescent="0.35">
      <c r="P42" s="738"/>
    </row>
    <row r="43" spans="16:16" x14ac:dyDescent="0.35">
      <c r="P43" s="738"/>
    </row>
    <row r="44" spans="16:16" x14ac:dyDescent="0.35">
      <c r="P44" s="738"/>
    </row>
    <row r="45" spans="16:16" x14ac:dyDescent="0.35">
      <c r="P45" s="738"/>
    </row>
    <row r="46" spans="16:16" x14ac:dyDescent="0.35">
      <c r="P46" s="738"/>
    </row>
    <row r="47" spans="16:16" x14ac:dyDescent="0.35">
      <c r="P47" s="738"/>
    </row>
    <row r="48" spans="16:16" x14ac:dyDescent="0.35">
      <c r="P48" s="738"/>
    </row>
    <row r="49" spans="16:16" x14ac:dyDescent="0.35">
      <c r="P49" s="738"/>
    </row>
    <row r="50" spans="16:16" x14ac:dyDescent="0.35">
      <c r="P50" s="738"/>
    </row>
    <row r="51" spans="16:16" x14ac:dyDescent="0.35">
      <c r="P51" s="738"/>
    </row>
    <row r="52" spans="16:16" x14ac:dyDescent="0.35">
      <c r="P52" s="738"/>
    </row>
    <row r="53" spans="16:16" x14ac:dyDescent="0.35">
      <c r="P53" s="738"/>
    </row>
    <row r="54" spans="16:16" x14ac:dyDescent="0.35">
      <c r="P54" s="738"/>
    </row>
    <row r="55" spans="16:16" x14ac:dyDescent="0.35">
      <c r="P55" s="738"/>
    </row>
    <row r="56" spans="16:16" x14ac:dyDescent="0.35">
      <c r="P56" s="738"/>
    </row>
    <row r="57" spans="16:16" x14ac:dyDescent="0.35">
      <c r="P57" s="738"/>
    </row>
    <row r="58" spans="16:16" x14ac:dyDescent="0.35">
      <c r="P58" s="738"/>
    </row>
    <row r="59" spans="16:16" x14ac:dyDescent="0.35">
      <c r="P59" s="738"/>
    </row>
    <row r="60" spans="16:16" x14ac:dyDescent="0.35">
      <c r="P60" s="738"/>
    </row>
    <row r="61" spans="16:16" x14ac:dyDescent="0.35">
      <c r="P61" s="738"/>
    </row>
    <row r="62" spans="16:16" x14ac:dyDescent="0.35">
      <c r="P62" s="738"/>
    </row>
    <row r="63" spans="16:16" x14ac:dyDescent="0.35">
      <c r="P63" s="738"/>
    </row>
    <row r="64" spans="16:16" x14ac:dyDescent="0.35">
      <c r="P64" s="738"/>
    </row>
    <row r="65" spans="16:16" x14ac:dyDescent="0.35">
      <c r="P65" s="738"/>
    </row>
    <row r="66" spans="16:16" x14ac:dyDescent="0.35">
      <c r="P66" s="738"/>
    </row>
    <row r="67" spans="16:16" x14ac:dyDescent="0.35">
      <c r="P67" s="738"/>
    </row>
    <row r="68" spans="16:16" x14ac:dyDescent="0.35">
      <c r="P68" s="738"/>
    </row>
    <row r="69" spans="16:16" x14ac:dyDescent="0.35">
      <c r="P69" s="738"/>
    </row>
    <row r="70" spans="16:16" x14ac:dyDescent="0.35">
      <c r="P70" s="738"/>
    </row>
    <row r="71" spans="16:16" x14ac:dyDescent="0.35">
      <c r="P71" s="738"/>
    </row>
    <row r="72" spans="16:16" x14ac:dyDescent="0.35">
      <c r="P72" s="738"/>
    </row>
    <row r="73" spans="16:16" x14ac:dyDescent="0.35">
      <c r="P73" s="738"/>
    </row>
    <row r="74" spans="16:16" x14ac:dyDescent="0.35">
      <c r="P74" s="738"/>
    </row>
    <row r="75" spans="16:16" x14ac:dyDescent="0.35">
      <c r="P75" s="738"/>
    </row>
    <row r="76" spans="16:16" x14ac:dyDescent="0.35">
      <c r="P76" s="738"/>
    </row>
    <row r="77" spans="16:16" x14ac:dyDescent="0.35">
      <c r="P77" s="738"/>
    </row>
    <row r="78" spans="16:16" x14ac:dyDescent="0.35">
      <c r="P78" s="738"/>
    </row>
    <row r="79" spans="16:16" x14ac:dyDescent="0.35">
      <c r="P79" s="738"/>
    </row>
    <row r="80" spans="16:16" x14ac:dyDescent="0.35">
      <c r="P80" s="738"/>
    </row>
    <row r="81" spans="16:16" x14ac:dyDescent="0.35">
      <c r="P81" s="738"/>
    </row>
    <row r="82" spans="16:16" x14ac:dyDescent="0.35">
      <c r="P82" s="738"/>
    </row>
    <row r="83" spans="16:16" x14ac:dyDescent="0.35">
      <c r="P83" s="738"/>
    </row>
    <row r="84" spans="16:16" x14ac:dyDescent="0.35">
      <c r="P84" s="738"/>
    </row>
    <row r="85" spans="16:16" x14ac:dyDescent="0.35">
      <c r="P85" s="738"/>
    </row>
    <row r="86" spans="16:16" x14ac:dyDescent="0.35">
      <c r="P86" s="738"/>
    </row>
    <row r="87" spans="16:16" x14ac:dyDescent="0.35">
      <c r="P87" s="738"/>
    </row>
    <row r="88" spans="16:16" x14ac:dyDescent="0.35">
      <c r="P88" s="738"/>
    </row>
    <row r="89" spans="16:16" x14ac:dyDescent="0.35">
      <c r="P89" s="738"/>
    </row>
    <row r="90" spans="16:16" x14ac:dyDescent="0.35">
      <c r="P90" s="738"/>
    </row>
    <row r="91" spans="16:16" x14ac:dyDescent="0.35">
      <c r="P91" s="738"/>
    </row>
    <row r="92" spans="16:16" x14ac:dyDescent="0.35">
      <c r="P92" s="738"/>
    </row>
    <row r="93" spans="16:16" x14ac:dyDescent="0.35">
      <c r="P93" s="738"/>
    </row>
    <row r="94" spans="16:16" x14ac:dyDescent="0.35">
      <c r="P94" s="738"/>
    </row>
    <row r="95" spans="16:16" x14ac:dyDescent="0.35">
      <c r="P95" s="738"/>
    </row>
    <row r="96" spans="16:16" x14ac:dyDescent="0.35">
      <c r="P96" s="738"/>
    </row>
    <row r="97" spans="16:16" x14ac:dyDescent="0.35">
      <c r="P97" s="738"/>
    </row>
    <row r="98" spans="16:16" x14ac:dyDescent="0.35">
      <c r="P98" s="738"/>
    </row>
    <row r="99" spans="16:16" x14ac:dyDescent="0.35">
      <c r="P99" s="738"/>
    </row>
    <row r="100" spans="16:16" x14ac:dyDescent="0.35">
      <c r="P100" s="738"/>
    </row>
    <row r="101" spans="16:16" x14ac:dyDescent="0.35">
      <c r="P101" s="738"/>
    </row>
    <row r="102" spans="16:16" x14ac:dyDescent="0.35">
      <c r="P102" s="738"/>
    </row>
    <row r="103" spans="16:16" x14ac:dyDescent="0.35">
      <c r="P103" s="738"/>
    </row>
    <row r="104" spans="16:16" x14ac:dyDescent="0.35">
      <c r="P104" s="738"/>
    </row>
    <row r="105" spans="16:16" x14ac:dyDescent="0.35">
      <c r="P105" s="738"/>
    </row>
    <row r="106" spans="16:16" x14ac:dyDescent="0.35">
      <c r="P106" s="738"/>
    </row>
    <row r="107" spans="16:16" x14ac:dyDescent="0.35">
      <c r="P107" s="738"/>
    </row>
    <row r="108" spans="16:16" x14ac:dyDescent="0.35">
      <c r="P108" s="738"/>
    </row>
    <row r="109" spans="16:16" x14ac:dyDescent="0.35">
      <c r="P109" s="738"/>
    </row>
    <row r="110" spans="16:16" x14ac:dyDescent="0.35">
      <c r="P110" s="738"/>
    </row>
    <row r="111" spans="16:16" x14ac:dyDescent="0.35">
      <c r="P111" s="738"/>
    </row>
    <row r="112" spans="16:16" x14ac:dyDescent="0.35">
      <c r="P112" s="738"/>
    </row>
    <row r="113" spans="16:16" x14ac:dyDescent="0.35">
      <c r="P113" s="738"/>
    </row>
    <row r="114" spans="16:16" x14ac:dyDescent="0.35">
      <c r="P114" s="738"/>
    </row>
    <row r="115" spans="16:16" x14ac:dyDescent="0.35">
      <c r="P115" s="738"/>
    </row>
    <row r="116" spans="16:16" x14ac:dyDescent="0.35">
      <c r="P116" s="738"/>
    </row>
    <row r="117" spans="16:16" x14ac:dyDescent="0.35">
      <c r="P117" s="738"/>
    </row>
    <row r="118" spans="16:16" x14ac:dyDescent="0.35">
      <c r="P118" s="738"/>
    </row>
    <row r="119" spans="16:16" x14ac:dyDescent="0.35">
      <c r="P119" s="738"/>
    </row>
    <row r="120" spans="16:16" x14ac:dyDescent="0.35">
      <c r="P120" s="738"/>
    </row>
    <row r="121" spans="16:16" x14ac:dyDescent="0.35">
      <c r="P121" s="738"/>
    </row>
    <row r="122" spans="16:16" x14ac:dyDescent="0.35">
      <c r="P122" s="738"/>
    </row>
    <row r="123" spans="16:16" x14ac:dyDescent="0.35">
      <c r="P123" s="738"/>
    </row>
    <row r="124" spans="16:16" x14ac:dyDescent="0.35">
      <c r="P124" s="738"/>
    </row>
    <row r="125" spans="16:16" x14ac:dyDescent="0.35">
      <c r="P125" s="738"/>
    </row>
    <row r="126" spans="16:16" x14ac:dyDescent="0.35">
      <c r="P126" s="738"/>
    </row>
    <row r="127" spans="16:16" x14ac:dyDescent="0.35">
      <c r="P127" s="738"/>
    </row>
    <row r="128" spans="16:16" x14ac:dyDescent="0.35">
      <c r="P128" s="738"/>
    </row>
    <row r="129" spans="16:16" x14ac:dyDescent="0.35">
      <c r="P129" s="738"/>
    </row>
    <row r="130" spans="16:16" x14ac:dyDescent="0.35">
      <c r="P130" s="738"/>
    </row>
    <row r="131" spans="16:16" x14ac:dyDescent="0.35">
      <c r="P131" s="738"/>
    </row>
    <row r="132" spans="16:16" x14ac:dyDescent="0.35">
      <c r="P132" s="738"/>
    </row>
    <row r="133" spans="16:16" x14ac:dyDescent="0.35">
      <c r="P133" s="738"/>
    </row>
    <row r="134" spans="16:16" x14ac:dyDescent="0.35">
      <c r="P134" s="738"/>
    </row>
    <row r="135" spans="16:16" x14ac:dyDescent="0.35">
      <c r="P135" s="738"/>
    </row>
    <row r="136" spans="16:16" x14ac:dyDescent="0.35">
      <c r="P136" s="738"/>
    </row>
    <row r="137" spans="16:16" x14ac:dyDescent="0.35">
      <c r="P137" s="738"/>
    </row>
    <row r="138" spans="16:16" x14ac:dyDescent="0.35">
      <c r="P138" s="738"/>
    </row>
  </sheetData>
  <conditionalFormatting sqref="J2">
    <cfRule type="expression" dxfId="47" priority="1">
      <formula>$I$2 = "Percentage"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9DEFE-5CB3-4289-9094-7F23FD855833}">
  <sheetPr codeName="Sheet13">
    <tabColor rgb="FF66D5FF"/>
  </sheetPr>
  <dimension ref="A1:AG81"/>
  <sheetViews>
    <sheetView workbookViewId="0">
      <selection activeCell="B4" sqref="B4"/>
    </sheetView>
  </sheetViews>
  <sheetFormatPr baseColWidth="10" defaultColWidth="9.1796875" defaultRowHeight="14.5" x14ac:dyDescent="0.35"/>
  <cols>
    <col min="1" max="1" width="25.7265625" bestFit="1" customWidth="1"/>
    <col min="2" max="2" width="7.7265625" bestFit="1" customWidth="1"/>
    <col min="4" max="4" width="20" bestFit="1" customWidth="1"/>
    <col min="5" max="5" width="18.54296875" bestFit="1" customWidth="1"/>
    <col min="7" max="7" width="15.1796875" bestFit="1" customWidth="1"/>
    <col min="10" max="10" width="39.1796875" bestFit="1" customWidth="1"/>
    <col min="11" max="11" width="31.7265625" bestFit="1" customWidth="1"/>
    <col min="12" max="12" width="26.1796875" bestFit="1" customWidth="1"/>
    <col min="14" max="14" width="17.1796875" bestFit="1" customWidth="1"/>
    <col min="16" max="16" width="23.7265625" bestFit="1" customWidth="1"/>
    <col min="17" max="17" width="16.1796875" bestFit="1" customWidth="1"/>
    <col min="18" max="18" width="59.7265625" bestFit="1" customWidth="1"/>
    <col min="19" max="19" width="59.7265625" customWidth="1"/>
    <col min="20" max="20" width="20.453125" bestFit="1" customWidth="1"/>
    <col min="21" max="21" width="20.453125" customWidth="1"/>
    <col min="22" max="22" width="56.453125" bestFit="1" customWidth="1"/>
    <col min="23" max="23" width="33.1796875" bestFit="1" customWidth="1"/>
    <col min="24" max="25" width="23.453125" bestFit="1" customWidth="1"/>
    <col min="26" max="26" width="29.453125" bestFit="1" customWidth="1"/>
    <col min="30" max="30" width="29.453125" bestFit="1" customWidth="1"/>
    <col min="33" max="33" width="27.1796875" bestFit="1" customWidth="1"/>
  </cols>
  <sheetData>
    <row r="1" spans="1:33" ht="15" thickBot="1" x14ac:dyDescent="0.4">
      <c r="D1" s="684" t="s">
        <v>4440</v>
      </c>
      <c r="E1" s="685" t="s">
        <v>4421</v>
      </c>
      <c r="G1" s="687" t="s">
        <v>4445</v>
      </c>
      <c r="J1" s="711" t="s">
        <v>4537</v>
      </c>
      <c r="K1" s="742" t="s">
        <v>4541</v>
      </c>
      <c r="L1" s="743" t="s">
        <v>4542</v>
      </c>
      <c r="N1" s="713" t="s">
        <v>4479</v>
      </c>
      <c r="P1" s="711" t="s">
        <v>4482</v>
      </c>
      <c r="Q1" s="713" t="s">
        <v>4472</v>
      </c>
      <c r="R1" s="713" t="s">
        <v>4480</v>
      </c>
      <c r="S1" s="713" t="s">
        <v>4481</v>
      </c>
      <c r="T1" s="713" t="s">
        <v>4463</v>
      </c>
      <c r="U1" s="713" t="s">
        <v>4470</v>
      </c>
      <c r="V1" s="713" t="s">
        <v>4490</v>
      </c>
      <c r="W1" s="713" t="s">
        <v>4491</v>
      </c>
      <c r="X1" s="713" t="s">
        <v>4492</v>
      </c>
      <c r="Y1" s="713" t="s">
        <v>4493</v>
      </c>
      <c r="Z1" s="713" t="s">
        <v>4497</v>
      </c>
      <c r="AA1" s="713" t="s">
        <v>4498</v>
      </c>
      <c r="AB1" s="713" t="s">
        <v>4499</v>
      </c>
      <c r="AC1" s="713" t="s">
        <v>4500</v>
      </c>
      <c r="AD1" s="713" t="s">
        <v>4503</v>
      </c>
      <c r="AE1" s="713" t="s">
        <v>4504</v>
      </c>
      <c r="AF1" s="713" t="s">
        <v>4505</v>
      </c>
      <c r="AG1" s="713" t="s">
        <v>4506</v>
      </c>
    </row>
    <row r="2" spans="1:33" ht="15" thickBot="1" x14ac:dyDescent="0.4">
      <c r="A2" t="s">
        <v>4439</v>
      </c>
      <c r="B2" s="693">
        <v>2.5000000000000001E-3</v>
      </c>
      <c r="D2" s="477" t="s">
        <v>4422</v>
      </c>
      <c r="E2" s="724">
        <f xml:space="preserve"> 0.5 / 0.25</f>
        <v>2</v>
      </c>
      <c r="G2" s="688"/>
      <c r="H2" t="s">
        <v>4443</v>
      </c>
      <c r="J2" s="711" t="s">
        <v>4778</v>
      </c>
      <c r="K2" s="742" t="s">
        <v>4543</v>
      </c>
      <c r="L2" s="745">
        <v>-1</v>
      </c>
      <c r="N2" s="718">
        <v>10000</v>
      </c>
      <c r="P2" s="712">
        <f xml:space="preserve"> COLUMNS(Storage_Input!B2:R2)</f>
        <v>17</v>
      </c>
      <c r="Q2" s="711" t="s">
        <v>4473</v>
      </c>
      <c r="R2" s="711" t="s">
        <v>4464</v>
      </c>
      <c r="S2" s="711">
        <v>1</v>
      </c>
      <c r="T2" s="583">
        <v>12</v>
      </c>
      <c r="U2" s="712" t="s">
        <v>4471</v>
      </c>
      <c r="V2" s="711" t="s">
        <v>4394</v>
      </c>
      <c r="W2" s="711">
        <v>1</v>
      </c>
      <c r="X2" s="583">
        <v>12</v>
      </c>
      <c r="Y2" s="712" t="s">
        <v>4471</v>
      </c>
      <c r="Z2" s="711" t="s">
        <v>2040</v>
      </c>
      <c r="AA2" s="711">
        <v>1</v>
      </c>
      <c r="AB2" s="583">
        <v>1</v>
      </c>
      <c r="AC2" s="712" t="s">
        <v>4501</v>
      </c>
      <c r="AD2" s="711" t="s">
        <v>2040</v>
      </c>
      <c r="AE2" s="711">
        <v>1</v>
      </c>
      <c r="AF2" s="583">
        <v>1</v>
      </c>
      <c r="AG2" s="712" t="s">
        <v>4501</v>
      </c>
    </row>
    <row r="3" spans="1:33" x14ac:dyDescent="0.35">
      <c r="A3" t="s">
        <v>4447</v>
      </c>
      <c r="B3" s="696">
        <v>1.5</v>
      </c>
      <c r="D3" s="477" t="s">
        <v>4423</v>
      </c>
      <c r="E3" s="724">
        <f xml:space="preserve"> (14/30) / (1/4)</f>
        <v>1.8666666666666667</v>
      </c>
      <c r="G3" s="688" t="s">
        <v>4444</v>
      </c>
      <c r="H3" t="s">
        <v>4444</v>
      </c>
      <c r="J3" s="688" t="s">
        <v>4779</v>
      </c>
      <c r="K3" s="477" t="s">
        <v>4544</v>
      </c>
      <c r="L3" s="839">
        <f>10^100</f>
        <v>1E+100</v>
      </c>
      <c r="Q3" s="688" t="s">
        <v>4494</v>
      </c>
      <c r="R3" s="688" t="s">
        <v>4395</v>
      </c>
      <c r="S3" s="688">
        <v>2</v>
      </c>
      <c r="V3" s="688" t="s">
        <v>4395</v>
      </c>
      <c r="W3" s="688">
        <v>2</v>
      </c>
      <c r="Z3" s="688" t="s">
        <v>2041</v>
      </c>
      <c r="AA3" s="688">
        <v>3</v>
      </c>
      <c r="AD3" s="688" t="s">
        <v>4550</v>
      </c>
      <c r="AE3" s="688"/>
    </row>
    <row r="4" spans="1:33" ht="15" thickBot="1" x14ac:dyDescent="0.4">
      <c r="A4" t="s">
        <v>4450</v>
      </c>
      <c r="B4" s="693">
        <v>0.01</v>
      </c>
      <c r="D4" s="477" t="s">
        <v>4424</v>
      </c>
      <c r="E4" s="724">
        <f t="shared" ref="E4:E5" si="0" xml:space="preserve"> (14/30) / (1/4)</f>
        <v>1.8666666666666667</v>
      </c>
      <c r="G4" s="689"/>
      <c r="H4" t="s">
        <v>4418</v>
      </c>
      <c r="J4" s="688" t="s">
        <v>4781</v>
      </c>
      <c r="K4" s="477" t="s">
        <v>4545</v>
      </c>
      <c r="L4" s="744">
        <v>-1</v>
      </c>
      <c r="Q4" s="688" t="s">
        <v>4495</v>
      </c>
      <c r="R4" s="688" t="s">
        <v>4396</v>
      </c>
      <c r="S4" s="688">
        <v>3</v>
      </c>
      <c r="V4" s="688" t="s">
        <v>4396</v>
      </c>
      <c r="W4" s="688">
        <v>3</v>
      </c>
      <c r="Z4" s="688" t="s">
        <v>2042</v>
      </c>
      <c r="AA4" s="688">
        <v>4</v>
      </c>
      <c r="AD4" s="688" t="s">
        <v>4551</v>
      </c>
      <c r="AE4" s="688"/>
    </row>
    <row r="5" spans="1:33" ht="15" thickBot="1" x14ac:dyDescent="0.4">
      <c r="A5" t="s">
        <v>4784</v>
      </c>
      <c r="B5" s="695">
        <f xml:space="preserve"> (1 - \storageParams_Alpha * \storageParams_ThresholdFactor^(1 - \storageParams_Alpha))/(\storageParams_BaseRate - \storageParams_Alpha * \storageParams_BaseRate)</f>
        <v>11200.000000000002</v>
      </c>
      <c r="D5" s="477" t="s">
        <v>4425</v>
      </c>
      <c r="E5" s="724">
        <f t="shared" si="0"/>
        <v>1.8666666666666667</v>
      </c>
      <c r="J5" s="688" t="s">
        <v>4782</v>
      </c>
      <c r="K5" s="226" t="s">
        <v>4546</v>
      </c>
      <c r="L5" s="840">
        <v>1E+100</v>
      </c>
      <c r="Q5" s="689" t="s">
        <v>4496</v>
      </c>
      <c r="R5" s="688" t="s">
        <v>4397</v>
      </c>
      <c r="S5" s="688">
        <v>4</v>
      </c>
      <c r="V5" s="688" t="s">
        <v>4397</v>
      </c>
      <c r="W5" s="688">
        <v>4</v>
      </c>
      <c r="Z5" s="688" t="s">
        <v>2043</v>
      </c>
      <c r="AA5" s="688">
        <v>2</v>
      </c>
      <c r="AD5" s="688" t="s">
        <v>2041</v>
      </c>
      <c r="AE5" s="688">
        <v>3</v>
      </c>
    </row>
    <row r="6" spans="1:33" ht="15" thickBot="1" x14ac:dyDescent="0.4">
      <c r="A6" t="s">
        <v>4785</v>
      </c>
      <c r="B6" s="694">
        <f xml:space="preserve"> 1-(\storageParams_ThresholdFactor)^\storageParams_Alpha</f>
        <v>0.999</v>
      </c>
      <c r="D6" s="477" t="s">
        <v>4426</v>
      </c>
      <c r="E6" s="724">
        <f xml:space="preserve"> (13/30) / (1/4)</f>
        <v>1.7333333333333334</v>
      </c>
      <c r="J6" s="689" t="s">
        <v>4780</v>
      </c>
      <c r="R6" s="688" t="s">
        <v>4398</v>
      </c>
      <c r="S6" s="688">
        <v>5</v>
      </c>
      <c r="V6" s="688" t="s">
        <v>4398</v>
      </c>
      <c r="W6" s="688">
        <v>5</v>
      </c>
      <c r="Z6" s="688" t="s">
        <v>2044</v>
      </c>
      <c r="AA6" s="688">
        <v>5</v>
      </c>
      <c r="AD6" s="688" t="s">
        <v>2042</v>
      </c>
      <c r="AE6" s="688">
        <v>4</v>
      </c>
    </row>
    <row r="7" spans="1:33" x14ac:dyDescent="0.35">
      <c r="A7" t="s">
        <v>4452</v>
      </c>
      <c r="B7">
        <f xml:space="preserve"> \storageParams_ReturnPeriodLimit * \storageParams_ThresholdFactor^\storageParams_Alpha</f>
        <v>11.200000000000005</v>
      </c>
      <c r="D7" s="477" t="s">
        <v>4427</v>
      </c>
      <c r="E7" s="724">
        <f xml:space="preserve"> (13/30) / (1/4)</f>
        <v>1.7333333333333334</v>
      </c>
      <c r="R7" s="688" t="s">
        <v>4400</v>
      </c>
      <c r="S7" s="688">
        <v>7</v>
      </c>
      <c r="V7" s="688" t="s">
        <v>4399</v>
      </c>
      <c r="W7" s="688">
        <v>6</v>
      </c>
      <c r="Z7" s="688" t="s">
        <v>2045</v>
      </c>
      <c r="AA7" s="688">
        <v>6</v>
      </c>
      <c r="AD7" s="688" t="s">
        <v>2043</v>
      </c>
      <c r="AE7" s="688">
        <v>2</v>
      </c>
    </row>
    <row r="8" spans="1:33" x14ac:dyDescent="0.35">
      <c r="D8" s="477" t="s">
        <v>4428</v>
      </c>
      <c r="E8" s="724">
        <f xml:space="preserve"> (11/30) / (1/4)</f>
        <v>1.4666666666666666</v>
      </c>
      <c r="R8" s="688" t="s">
        <v>4401</v>
      </c>
      <c r="S8" s="688">
        <v>8</v>
      </c>
      <c r="V8" s="688" t="s">
        <v>4400</v>
      </c>
      <c r="W8" s="688">
        <v>7</v>
      </c>
      <c r="Z8" s="688" t="s">
        <v>2046</v>
      </c>
      <c r="AA8" s="688">
        <v>7</v>
      </c>
      <c r="AD8" s="688" t="s">
        <v>2044</v>
      </c>
      <c r="AE8" s="688">
        <v>5</v>
      </c>
    </row>
    <row r="9" spans="1:33" x14ac:dyDescent="0.35">
      <c r="D9" s="477" t="s">
        <v>4429</v>
      </c>
      <c r="E9" s="724">
        <f xml:space="preserve"> (11/30) / (1/4)</f>
        <v>1.4666666666666666</v>
      </c>
      <c r="R9" s="688" t="s">
        <v>4465</v>
      </c>
      <c r="S9" s="688">
        <v>9</v>
      </c>
      <c r="V9" s="688" t="s">
        <v>4401</v>
      </c>
      <c r="W9" s="688">
        <v>8</v>
      </c>
      <c r="Z9" s="688" t="s">
        <v>2047</v>
      </c>
      <c r="AA9" s="688">
        <v>8</v>
      </c>
      <c r="AD9" s="688" t="s">
        <v>2045</v>
      </c>
      <c r="AE9" s="688">
        <v>6</v>
      </c>
    </row>
    <row r="10" spans="1:33" x14ac:dyDescent="0.35">
      <c r="D10" s="477" t="s">
        <v>4430</v>
      </c>
      <c r="E10" s="724">
        <f xml:space="preserve"> (1/3) / (1/4)</f>
        <v>1.3333333333333333</v>
      </c>
      <c r="R10" s="688" t="s">
        <v>4466</v>
      </c>
      <c r="S10" s="688">
        <v>10</v>
      </c>
      <c r="V10" s="688" t="s">
        <v>4402</v>
      </c>
      <c r="W10" s="688">
        <v>9</v>
      </c>
      <c r="Z10" s="688" t="s">
        <v>2048</v>
      </c>
      <c r="AA10" s="688">
        <v>9</v>
      </c>
      <c r="AD10" s="688" t="s">
        <v>2046</v>
      </c>
      <c r="AE10" s="688">
        <v>7</v>
      </c>
    </row>
    <row r="11" spans="1:33" x14ac:dyDescent="0.35">
      <c r="D11" s="477" t="s">
        <v>4431</v>
      </c>
      <c r="E11" s="724">
        <f xml:space="preserve"> 0.325 / 0.25</f>
        <v>1.3</v>
      </c>
      <c r="R11" s="688" t="s">
        <v>4404</v>
      </c>
      <c r="S11" s="688">
        <v>11</v>
      </c>
      <c r="V11" s="688" t="s">
        <v>4403</v>
      </c>
      <c r="W11" s="688">
        <v>10</v>
      </c>
      <c r="Z11" s="688" t="s">
        <v>2049</v>
      </c>
      <c r="AA11" s="688">
        <v>10</v>
      </c>
      <c r="AD11" s="688" t="s">
        <v>2047</v>
      </c>
      <c r="AE11" s="688">
        <v>8</v>
      </c>
    </row>
    <row r="12" spans="1:33" x14ac:dyDescent="0.35">
      <c r="D12" s="477" t="s">
        <v>4432</v>
      </c>
      <c r="E12" s="724">
        <f xml:space="preserve"> 0.325 / 0.25</f>
        <v>1.3</v>
      </c>
      <c r="R12" s="688" t="s">
        <v>4405</v>
      </c>
      <c r="S12" s="688">
        <v>12</v>
      </c>
      <c r="V12" s="688" t="s">
        <v>4404</v>
      </c>
      <c r="W12" s="688">
        <v>11</v>
      </c>
      <c r="Z12" s="688" t="s">
        <v>2050</v>
      </c>
      <c r="AA12" s="688"/>
      <c r="AD12" s="688" t="s">
        <v>2048</v>
      </c>
      <c r="AE12" s="688">
        <v>9</v>
      </c>
    </row>
    <row r="13" spans="1:33" x14ac:dyDescent="0.35">
      <c r="D13" s="477" t="s">
        <v>4433</v>
      </c>
      <c r="E13" s="724">
        <f xml:space="preserve"> 0.325 / 0.25</f>
        <v>1.3</v>
      </c>
      <c r="R13" s="688" t="s">
        <v>4406</v>
      </c>
      <c r="S13" s="688">
        <v>13</v>
      </c>
      <c r="V13" s="688" t="s">
        <v>4405</v>
      </c>
      <c r="W13" s="688">
        <v>12</v>
      </c>
      <c r="Z13" s="688" t="s">
        <v>2051</v>
      </c>
      <c r="AA13" s="688"/>
      <c r="AD13" s="688" t="s">
        <v>2049</v>
      </c>
      <c r="AE13" s="688">
        <v>10</v>
      </c>
    </row>
    <row r="14" spans="1:33" x14ac:dyDescent="0.35">
      <c r="D14" s="477" t="s">
        <v>4434</v>
      </c>
      <c r="E14" s="724">
        <f xml:space="preserve"> 0.325 / 0.25</f>
        <v>1.3</v>
      </c>
      <c r="R14" s="688" t="s">
        <v>4467</v>
      </c>
      <c r="S14" s="688">
        <v>14</v>
      </c>
      <c r="V14" s="688" t="s">
        <v>4406</v>
      </c>
      <c r="W14" s="688">
        <v>13</v>
      </c>
      <c r="Z14" s="688" t="s">
        <v>2052</v>
      </c>
      <c r="AA14" s="688"/>
      <c r="AD14" s="688" t="s">
        <v>2050</v>
      </c>
      <c r="AE14" s="688"/>
    </row>
    <row r="15" spans="1:33" x14ac:dyDescent="0.35">
      <c r="D15" s="477" t="s">
        <v>4435</v>
      </c>
      <c r="E15" s="724">
        <f xml:space="preserve"> 0.275 / 0.25</f>
        <v>1.1000000000000001</v>
      </c>
      <c r="R15" s="688" t="s">
        <v>4468</v>
      </c>
      <c r="S15" s="688">
        <v>15</v>
      </c>
      <c r="V15" s="688" t="s">
        <v>4407</v>
      </c>
      <c r="W15" s="688">
        <v>14</v>
      </c>
      <c r="Z15" s="688" t="s">
        <v>2053</v>
      </c>
      <c r="AA15" s="688">
        <v>12</v>
      </c>
      <c r="AD15" s="688" t="s">
        <v>2051</v>
      </c>
      <c r="AE15" s="688"/>
    </row>
    <row r="16" spans="1:33" ht="15" thickBot="1" x14ac:dyDescent="0.4">
      <c r="D16" s="477" t="s">
        <v>4436</v>
      </c>
      <c r="E16" s="724">
        <v>1</v>
      </c>
      <c r="R16" s="689" t="s">
        <v>4469</v>
      </c>
      <c r="S16" s="689">
        <v>16</v>
      </c>
      <c r="V16" s="688" t="s">
        <v>4408</v>
      </c>
      <c r="W16" s="688">
        <v>15</v>
      </c>
      <c r="Z16" s="688" t="s">
        <v>2054</v>
      </c>
      <c r="AA16" s="688">
        <v>13</v>
      </c>
      <c r="AD16" s="688" t="s">
        <v>2052</v>
      </c>
      <c r="AE16" s="688"/>
    </row>
    <row r="17" spans="4:31" ht="15" thickBot="1" x14ac:dyDescent="0.4">
      <c r="D17" s="477" t="s">
        <v>4437</v>
      </c>
      <c r="E17" s="724">
        <v>1</v>
      </c>
      <c r="V17" s="689" t="s">
        <v>4409</v>
      </c>
      <c r="W17" s="689">
        <v>16</v>
      </c>
      <c r="Z17" s="688" t="s">
        <v>2055</v>
      </c>
      <c r="AA17" s="688">
        <v>11</v>
      </c>
      <c r="AD17" s="688" t="s">
        <v>2053</v>
      </c>
      <c r="AE17" s="688">
        <v>12</v>
      </c>
    </row>
    <row r="18" spans="4:31" ht="15" thickBot="1" x14ac:dyDescent="0.4">
      <c r="D18" s="226" t="s">
        <v>4438</v>
      </c>
      <c r="E18" s="725">
        <v>1</v>
      </c>
      <c r="Z18" s="688" t="s">
        <v>2056</v>
      </c>
      <c r="AA18" s="688"/>
      <c r="AD18" s="688" t="s">
        <v>2054</v>
      </c>
      <c r="AE18" s="688">
        <v>13</v>
      </c>
    </row>
    <row r="19" spans="4:31" x14ac:dyDescent="0.35">
      <c r="Z19" s="688" t="s">
        <v>2057</v>
      </c>
      <c r="AA19" s="688"/>
      <c r="AD19" s="688" t="s">
        <v>2055</v>
      </c>
      <c r="AE19" s="688">
        <v>11</v>
      </c>
    </row>
    <row r="20" spans="4:31" x14ac:dyDescent="0.35">
      <c r="Z20" s="688" t="s">
        <v>2058</v>
      </c>
      <c r="AA20" s="688"/>
      <c r="AD20" s="688" t="s">
        <v>2056</v>
      </c>
      <c r="AE20" s="688"/>
    </row>
    <row r="21" spans="4:31" x14ac:dyDescent="0.35">
      <c r="Z21" s="688" t="s">
        <v>2059</v>
      </c>
      <c r="AA21" s="688"/>
      <c r="AD21" s="688" t="s">
        <v>2057</v>
      </c>
      <c r="AE21" s="688"/>
    </row>
    <row r="22" spans="4:31" x14ac:dyDescent="0.35">
      <c r="Z22" s="688" t="s">
        <v>2060</v>
      </c>
      <c r="AA22" s="688"/>
      <c r="AD22" s="688" t="s">
        <v>2058</v>
      </c>
      <c r="AE22" s="688"/>
    </row>
    <row r="23" spans="4:31" x14ac:dyDescent="0.35">
      <c r="Z23" s="688" t="s">
        <v>2061</v>
      </c>
      <c r="AA23" s="688"/>
      <c r="AD23" s="688" t="s">
        <v>2059</v>
      </c>
      <c r="AE23" s="688"/>
    </row>
    <row r="24" spans="4:31" x14ac:dyDescent="0.35">
      <c r="Z24" s="688" t="s">
        <v>2062</v>
      </c>
      <c r="AA24" s="688"/>
      <c r="AD24" s="688" t="s">
        <v>2060</v>
      </c>
      <c r="AE24" s="688"/>
    </row>
    <row r="25" spans="4:31" x14ac:dyDescent="0.35">
      <c r="Z25" s="688" t="s">
        <v>2063</v>
      </c>
      <c r="AA25" s="688"/>
      <c r="AD25" s="688" t="s">
        <v>2061</v>
      </c>
      <c r="AE25" s="688"/>
    </row>
    <row r="26" spans="4:31" x14ac:dyDescent="0.35">
      <c r="Z26" s="688" t="s">
        <v>2064</v>
      </c>
      <c r="AA26" s="688"/>
      <c r="AD26" s="688" t="s">
        <v>2062</v>
      </c>
      <c r="AE26" s="688"/>
    </row>
    <row r="27" spans="4:31" x14ac:dyDescent="0.35">
      <c r="Z27" s="688" t="s">
        <v>2065</v>
      </c>
      <c r="AA27" s="688"/>
      <c r="AD27" s="688" t="s">
        <v>2063</v>
      </c>
      <c r="AE27" s="688"/>
    </row>
    <row r="28" spans="4:31" x14ac:dyDescent="0.35">
      <c r="Z28" s="688" t="s">
        <v>2066</v>
      </c>
      <c r="AA28" s="688"/>
      <c r="AD28" s="688" t="s">
        <v>2064</v>
      </c>
      <c r="AE28" s="688"/>
    </row>
    <row r="29" spans="4:31" x14ac:dyDescent="0.35">
      <c r="Z29" s="688" t="s">
        <v>2067</v>
      </c>
      <c r="AA29" s="688"/>
      <c r="AD29" s="688" t="s">
        <v>2065</v>
      </c>
      <c r="AE29" s="688"/>
    </row>
    <row r="30" spans="4:31" x14ac:dyDescent="0.35">
      <c r="Z30" s="688" t="s">
        <v>2068</v>
      </c>
      <c r="AA30" s="688"/>
      <c r="AD30" s="688" t="s">
        <v>2066</v>
      </c>
      <c r="AE30" s="688"/>
    </row>
    <row r="31" spans="4:31" x14ac:dyDescent="0.35">
      <c r="Z31" s="688" t="s">
        <v>2069</v>
      </c>
      <c r="AA31" s="688"/>
      <c r="AD31" s="688" t="s">
        <v>2067</v>
      </c>
      <c r="AE31" s="688"/>
    </row>
    <row r="32" spans="4:31" x14ac:dyDescent="0.35">
      <c r="Z32" s="688" t="s">
        <v>2070</v>
      </c>
      <c r="AA32" s="688"/>
      <c r="AD32" s="688" t="s">
        <v>2068</v>
      </c>
      <c r="AE32" s="688"/>
    </row>
    <row r="33" spans="26:31" x14ac:dyDescent="0.35">
      <c r="Z33" s="688" t="s">
        <v>2071</v>
      </c>
      <c r="AA33" s="688"/>
      <c r="AD33" s="688" t="s">
        <v>2069</v>
      </c>
      <c r="AE33" s="688"/>
    </row>
    <row r="34" spans="26:31" x14ac:dyDescent="0.35">
      <c r="Z34" s="688" t="s">
        <v>2072</v>
      </c>
      <c r="AA34" s="688"/>
      <c r="AD34" s="688" t="s">
        <v>2070</v>
      </c>
      <c r="AE34" s="688"/>
    </row>
    <row r="35" spans="26:31" x14ac:dyDescent="0.35">
      <c r="Z35" s="688" t="s">
        <v>2073</v>
      </c>
      <c r="AA35" s="688"/>
      <c r="AD35" s="688" t="s">
        <v>2071</v>
      </c>
      <c r="AE35" s="688"/>
    </row>
    <row r="36" spans="26:31" x14ac:dyDescent="0.35">
      <c r="Z36" s="688" t="s">
        <v>2074</v>
      </c>
      <c r="AA36" s="688">
        <v>14</v>
      </c>
      <c r="AD36" s="688" t="s">
        <v>2072</v>
      </c>
      <c r="AE36" s="688"/>
    </row>
    <row r="37" spans="26:31" x14ac:dyDescent="0.35">
      <c r="Z37" s="688" t="s">
        <v>2075</v>
      </c>
      <c r="AA37" s="688">
        <v>15</v>
      </c>
      <c r="AD37" s="688" t="s">
        <v>2073</v>
      </c>
      <c r="AE37" s="688"/>
    </row>
    <row r="38" spans="26:31" x14ac:dyDescent="0.35">
      <c r="Z38" s="688" t="s">
        <v>2076</v>
      </c>
      <c r="AA38" s="688">
        <v>16</v>
      </c>
      <c r="AD38" s="688" t="s">
        <v>2074</v>
      </c>
      <c r="AE38" s="688">
        <v>14</v>
      </c>
    </row>
    <row r="39" spans="26:31" x14ac:dyDescent="0.35">
      <c r="Z39" s="688" t="s">
        <v>2077</v>
      </c>
      <c r="AA39" s="688"/>
      <c r="AD39" s="688" t="s">
        <v>2075</v>
      </c>
      <c r="AE39" s="688">
        <v>15</v>
      </c>
    </row>
    <row r="40" spans="26:31" x14ac:dyDescent="0.35">
      <c r="Z40" s="688" t="s">
        <v>2078</v>
      </c>
      <c r="AA40" s="688"/>
      <c r="AD40" s="688" t="s">
        <v>2076</v>
      </c>
      <c r="AE40" s="688">
        <v>16</v>
      </c>
    </row>
    <row r="41" spans="26:31" x14ac:dyDescent="0.35">
      <c r="Z41" s="688" t="s">
        <v>2079</v>
      </c>
      <c r="AA41" s="688"/>
      <c r="AD41" s="688" t="s">
        <v>2077</v>
      </c>
      <c r="AE41" s="688"/>
    </row>
    <row r="42" spans="26:31" x14ac:dyDescent="0.35">
      <c r="Z42" s="688" t="s">
        <v>2080</v>
      </c>
      <c r="AA42" s="688"/>
      <c r="AD42" s="688" t="s">
        <v>2078</v>
      </c>
      <c r="AE42" s="688"/>
    </row>
    <row r="43" spans="26:31" x14ac:dyDescent="0.35">
      <c r="Z43" s="688" t="s">
        <v>2081</v>
      </c>
      <c r="AA43" s="688"/>
      <c r="AD43" s="688" t="s">
        <v>2079</v>
      </c>
      <c r="AE43" s="688"/>
    </row>
    <row r="44" spans="26:31" x14ac:dyDescent="0.35">
      <c r="Z44" s="688" t="s">
        <v>2082</v>
      </c>
      <c r="AA44" s="688">
        <v>17</v>
      </c>
      <c r="AD44" s="688" t="s">
        <v>2080</v>
      </c>
      <c r="AE44" s="688"/>
    </row>
    <row r="45" spans="26:31" x14ac:dyDescent="0.35">
      <c r="Z45" s="688" t="s">
        <v>2083</v>
      </c>
      <c r="AA45" s="688"/>
      <c r="AD45" s="688" t="s">
        <v>2081</v>
      </c>
      <c r="AE45" s="688"/>
    </row>
    <row r="46" spans="26:31" x14ac:dyDescent="0.35">
      <c r="Z46" s="688" t="s">
        <v>2084</v>
      </c>
      <c r="AA46" s="688"/>
      <c r="AD46" s="688" t="s">
        <v>2082</v>
      </c>
      <c r="AE46" s="688">
        <v>17</v>
      </c>
    </row>
    <row r="47" spans="26:31" x14ac:dyDescent="0.35">
      <c r="Z47" s="688" t="s">
        <v>2085</v>
      </c>
      <c r="AA47" s="688"/>
      <c r="AD47" s="688" t="s">
        <v>2083</v>
      </c>
      <c r="AE47" s="688"/>
    </row>
    <row r="48" spans="26:31" x14ac:dyDescent="0.35">
      <c r="Z48" s="688" t="s">
        <v>2086</v>
      </c>
      <c r="AA48" s="688"/>
      <c r="AD48" s="688" t="s">
        <v>2084</v>
      </c>
      <c r="AE48" s="688"/>
    </row>
    <row r="49" spans="26:31" x14ac:dyDescent="0.35">
      <c r="Z49" s="688" t="s">
        <v>2087</v>
      </c>
      <c r="AA49" s="688"/>
      <c r="AD49" s="688" t="s">
        <v>4552</v>
      </c>
      <c r="AE49" s="688"/>
    </row>
    <row r="50" spans="26:31" x14ac:dyDescent="0.35">
      <c r="Z50" s="688" t="s">
        <v>2088</v>
      </c>
      <c r="AA50" s="688"/>
      <c r="AD50" s="688" t="s">
        <v>4553</v>
      </c>
      <c r="AE50" s="688"/>
    </row>
    <row r="51" spans="26:31" x14ac:dyDescent="0.35">
      <c r="Z51" s="688" t="s">
        <v>2089</v>
      </c>
      <c r="AA51" s="688"/>
      <c r="AD51" s="688" t="s">
        <v>2087</v>
      </c>
      <c r="AE51" s="688"/>
    </row>
    <row r="52" spans="26:31" x14ac:dyDescent="0.35">
      <c r="Z52" s="688" t="s">
        <v>2090</v>
      </c>
      <c r="AA52" s="688"/>
      <c r="AD52" s="688" t="s">
        <v>2088</v>
      </c>
      <c r="AE52" s="688"/>
    </row>
    <row r="53" spans="26:31" x14ac:dyDescent="0.35">
      <c r="Z53" s="688" t="s">
        <v>2091</v>
      </c>
      <c r="AA53" s="688"/>
      <c r="AD53" s="688" t="s">
        <v>2089</v>
      </c>
      <c r="AE53" s="688"/>
    </row>
    <row r="54" spans="26:31" x14ac:dyDescent="0.35">
      <c r="Z54" s="688" t="s">
        <v>2092</v>
      </c>
      <c r="AA54" s="688"/>
      <c r="AD54" s="688" t="s">
        <v>2090</v>
      </c>
      <c r="AE54" s="688"/>
    </row>
    <row r="55" spans="26:31" x14ac:dyDescent="0.35">
      <c r="Z55" s="688" t="s">
        <v>2093</v>
      </c>
      <c r="AA55" s="688"/>
      <c r="AD55" s="688" t="s">
        <v>2091</v>
      </c>
      <c r="AE55" s="688"/>
    </row>
    <row r="56" spans="26:31" x14ac:dyDescent="0.35">
      <c r="Z56" s="688" t="s">
        <v>2094</v>
      </c>
      <c r="AA56" s="688"/>
      <c r="AD56" s="688" t="s">
        <v>2092</v>
      </c>
      <c r="AE56" s="688"/>
    </row>
    <row r="57" spans="26:31" x14ac:dyDescent="0.35">
      <c r="Z57" s="688" t="s">
        <v>2095</v>
      </c>
      <c r="AA57" s="688"/>
      <c r="AD57" s="688" t="s">
        <v>2093</v>
      </c>
      <c r="AE57" s="688"/>
    </row>
    <row r="58" spans="26:31" x14ac:dyDescent="0.35">
      <c r="Z58" s="688" t="s">
        <v>2096</v>
      </c>
      <c r="AA58" s="688"/>
      <c r="AD58" s="688" t="s">
        <v>2094</v>
      </c>
      <c r="AE58" s="688"/>
    </row>
    <row r="59" spans="26:31" x14ac:dyDescent="0.35">
      <c r="Z59" s="688" t="s">
        <v>2097</v>
      </c>
      <c r="AA59" s="688"/>
      <c r="AD59" s="688" t="s">
        <v>2095</v>
      </c>
      <c r="AE59" s="688"/>
    </row>
    <row r="60" spans="26:31" x14ac:dyDescent="0.35">
      <c r="Z60" s="688" t="s">
        <v>2098</v>
      </c>
      <c r="AA60" s="688"/>
      <c r="AD60" s="688" t="s">
        <v>2096</v>
      </c>
      <c r="AE60" s="688"/>
    </row>
    <row r="61" spans="26:31" x14ac:dyDescent="0.35">
      <c r="Z61" s="688" t="s">
        <v>2099</v>
      </c>
      <c r="AA61" s="688"/>
      <c r="AD61" s="688" t="s">
        <v>2097</v>
      </c>
      <c r="AE61" s="688"/>
    </row>
    <row r="62" spans="26:31" x14ac:dyDescent="0.35">
      <c r="Z62" s="688" t="s">
        <v>2100</v>
      </c>
      <c r="AA62" s="688"/>
      <c r="AD62" s="688" t="s">
        <v>2098</v>
      </c>
      <c r="AE62" s="688"/>
    </row>
    <row r="63" spans="26:31" x14ac:dyDescent="0.35">
      <c r="Z63" s="688" t="s">
        <v>2101</v>
      </c>
      <c r="AA63" s="688"/>
      <c r="AD63" s="688" t="s">
        <v>2099</v>
      </c>
      <c r="AE63" s="688"/>
    </row>
    <row r="64" spans="26:31" x14ac:dyDescent="0.35">
      <c r="Z64" s="688" t="s">
        <v>2102</v>
      </c>
      <c r="AA64" s="688"/>
      <c r="AD64" s="688" t="s">
        <v>2100</v>
      </c>
      <c r="AE64" s="688"/>
    </row>
    <row r="65" spans="26:31" x14ac:dyDescent="0.35">
      <c r="Z65" s="688" t="s">
        <v>2103</v>
      </c>
      <c r="AA65" s="688"/>
      <c r="AD65" s="688" t="s">
        <v>2101</v>
      </c>
      <c r="AE65" s="688"/>
    </row>
    <row r="66" spans="26:31" x14ac:dyDescent="0.35">
      <c r="Z66" s="688" t="s">
        <v>2104</v>
      </c>
      <c r="AA66" s="688"/>
      <c r="AD66" s="688" t="s">
        <v>2102</v>
      </c>
      <c r="AE66" s="688"/>
    </row>
    <row r="67" spans="26:31" x14ac:dyDescent="0.35">
      <c r="Z67" s="688" t="s">
        <v>2105</v>
      </c>
      <c r="AA67" s="688"/>
      <c r="AD67" s="688" t="s">
        <v>2104</v>
      </c>
      <c r="AE67" s="688"/>
    </row>
    <row r="68" spans="26:31" x14ac:dyDescent="0.35">
      <c r="Z68" s="688" t="s">
        <v>2106</v>
      </c>
      <c r="AA68" s="688"/>
      <c r="AD68" s="688" t="s">
        <v>2105</v>
      </c>
      <c r="AE68" s="688"/>
    </row>
    <row r="69" spans="26:31" x14ac:dyDescent="0.35">
      <c r="Z69" s="688" t="s">
        <v>2107</v>
      </c>
      <c r="AA69" s="688"/>
      <c r="AD69" s="688" t="s">
        <v>2106</v>
      </c>
      <c r="AE69" s="688"/>
    </row>
    <row r="70" spans="26:31" x14ac:dyDescent="0.35">
      <c r="Z70" s="688" t="s">
        <v>2108</v>
      </c>
      <c r="AA70" s="688"/>
      <c r="AD70" s="688" t="s">
        <v>4554</v>
      </c>
      <c r="AE70" s="688"/>
    </row>
    <row r="71" spans="26:31" x14ac:dyDescent="0.35">
      <c r="Z71" s="688" t="s">
        <v>2109</v>
      </c>
      <c r="AA71" s="688"/>
      <c r="AD71" s="688" t="s">
        <v>4555</v>
      </c>
      <c r="AE71" s="688"/>
    </row>
    <row r="72" spans="26:31" x14ac:dyDescent="0.35">
      <c r="Z72" s="688" t="s">
        <v>2110</v>
      </c>
      <c r="AA72" s="688"/>
      <c r="AD72" s="688" t="s">
        <v>4556</v>
      </c>
      <c r="AE72" s="688"/>
    </row>
    <row r="73" spans="26:31" x14ac:dyDescent="0.35">
      <c r="Z73" s="688" t="s">
        <v>2111</v>
      </c>
      <c r="AA73" s="688"/>
      <c r="AD73" s="688" t="s">
        <v>4557</v>
      </c>
      <c r="AE73" s="688"/>
    </row>
    <row r="74" spans="26:31" x14ac:dyDescent="0.35">
      <c r="Z74" s="688" t="s">
        <v>2112</v>
      </c>
      <c r="AA74" s="688"/>
      <c r="AD74" s="688" t="s">
        <v>4558</v>
      </c>
      <c r="AE74" s="688"/>
    </row>
    <row r="75" spans="26:31" x14ac:dyDescent="0.35">
      <c r="Z75" s="688" t="s">
        <v>2113</v>
      </c>
      <c r="AA75" s="688"/>
      <c r="AD75" s="688" t="s">
        <v>4559</v>
      </c>
      <c r="AE75" s="688"/>
    </row>
    <row r="76" spans="26:31" x14ac:dyDescent="0.35">
      <c r="Z76" s="688" t="s">
        <v>2114</v>
      </c>
      <c r="AA76" s="688"/>
      <c r="AD76" s="688" t="s">
        <v>4560</v>
      </c>
      <c r="AE76" s="688"/>
    </row>
    <row r="77" spans="26:31" x14ac:dyDescent="0.35">
      <c r="Z77" s="688" t="s">
        <v>2115</v>
      </c>
      <c r="AA77" s="688"/>
      <c r="AD77" s="688" t="s">
        <v>4561</v>
      </c>
      <c r="AE77" s="688"/>
    </row>
    <row r="78" spans="26:31" ht="15" thickBot="1" x14ac:dyDescent="0.4">
      <c r="Z78" s="689" t="s">
        <v>4502</v>
      </c>
      <c r="AA78" s="689"/>
      <c r="AD78" s="688" t="s">
        <v>4562</v>
      </c>
      <c r="AE78" s="688"/>
    </row>
    <row r="79" spans="26:31" x14ac:dyDescent="0.35">
      <c r="AD79" s="688" t="s">
        <v>4563</v>
      </c>
      <c r="AE79" s="688"/>
    </row>
    <row r="80" spans="26:31" x14ac:dyDescent="0.35">
      <c r="AD80" s="688" t="s">
        <v>4564</v>
      </c>
      <c r="AE80" s="688"/>
    </row>
    <row r="81" spans="30:31" ht="15" thickBot="1" x14ac:dyDescent="0.4">
      <c r="AD81" s="689" t="s">
        <v>4565</v>
      </c>
      <c r="AE81" s="68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454BB-7DE7-44B2-ACBA-1EDDDB763886}">
  <sheetPr codeName="Sheet14">
    <tabColor rgb="FFC6EFCE"/>
  </sheetPr>
  <dimension ref="A1:G12"/>
  <sheetViews>
    <sheetView topLeftCell="C1" workbookViewId="0">
      <selection activeCell="C2" sqref="C2"/>
    </sheetView>
  </sheetViews>
  <sheetFormatPr baseColWidth="10" defaultColWidth="9.1796875" defaultRowHeight="14.5" x14ac:dyDescent="0.35"/>
  <cols>
    <col min="1" max="1" width="7.81640625" bestFit="1" customWidth="1"/>
    <col min="2" max="2" width="17.54296875" style="731" bestFit="1" customWidth="1"/>
    <col min="3" max="3" width="39.54296875" style="731" bestFit="1" customWidth="1"/>
    <col min="4" max="4" width="28.54296875" style="822" bestFit="1" customWidth="1"/>
    <col min="5" max="5" width="18.1796875" style="732" bestFit="1" customWidth="1"/>
    <col min="6" max="6" width="30.81640625" customWidth="1"/>
    <col min="7" max="7" width="38.54296875" style="690" bestFit="1" customWidth="1"/>
    <col min="8" max="8" width="39.1796875" bestFit="1" customWidth="1"/>
  </cols>
  <sheetData>
    <row r="1" spans="1:7" ht="15" thickBot="1" x14ac:dyDescent="0.4">
      <c r="A1" t="s">
        <v>4508</v>
      </c>
      <c r="B1" t="s">
        <v>4509</v>
      </c>
      <c r="C1" t="str">
        <f xml:space="preserve"> "Overwrite Minimum Premium (Default: " &amp; FIXED( \parameter_premiumPerLocalPolicy_EUR, 0 ) &amp; ")"</f>
        <v>Overwrite Minimum Premium (Default: 3.000)</v>
      </c>
      <c r="D1" t="s">
        <v>4627</v>
      </c>
      <c r="E1" t="s">
        <v>4510</v>
      </c>
      <c r="G1" t="s">
        <v>4625</v>
      </c>
    </row>
    <row r="2" spans="1:7" ht="14.5" customHeight="1" x14ac:dyDescent="0.35">
      <c r="A2" t="s">
        <v>4511</v>
      </c>
      <c r="D2" s="822">
        <v>70000000</v>
      </c>
      <c r="E2" s="732" cm="1">
        <f t="array" aca="1" ref="E2:E12" ca="1" xml:space="preserve"> _xlfn.LET(_xlpm.data, OFFSET(D2, 0, 0, \selected_ip_numberLocalPolicies + 1), _xlpm.data / SUM(_xlpm.data))</f>
        <v>0.7</v>
      </c>
      <c r="F2" s="961" t="str">
        <f xml:space="preserve"> IF( NOT(ISNUMBER(\selected_ip_numberLocalPolicies)), "Error! Please input the number of local policies in the input sheet!", "" )</f>
        <v/>
      </c>
      <c r="G2" s="690" t="e" cm="1">
        <f t="array" aca="1" ref="G2:G12" ca="1">_xlfn.ANCHORARRAY( LoPo_Algorithm!T3)</f>
        <v>#REF!</v>
      </c>
    </row>
    <row r="3" spans="1:7" ht="15" thickBot="1" x14ac:dyDescent="0.4">
      <c r="A3" cm="1">
        <f t="array" ref="A3:A12" xml:space="preserve"> _xlfn.SEQUENCE(\selected_ip_numberLocalPolicies, 1, 1, 1)</f>
        <v>1</v>
      </c>
      <c r="D3" s="822">
        <v>20000000</v>
      </c>
      <c r="E3" s="732">
        <f ca="1"/>
        <v>0.2</v>
      </c>
      <c r="F3" s="962"/>
      <c r="G3" s="690" t="e">
        <f ca="1"/>
        <v>#REF!</v>
      </c>
    </row>
    <row r="4" spans="1:7" x14ac:dyDescent="0.35">
      <c r="A4">
        <v>2</v>
      </c>
      <c r="D4" s="822">
        <v>10000000</v>
      </c>
      <c r="E4" s="732">
        <f ca="1"/>
        <v>0.1</v>
      </c>
      <c r="F4" s="961" t="str">
        <f xml:space="preserve"> IF(SUM(D:D) &lt;&gt; \selected_turnover_total, "Error! The turnovers entered here doen't add up to the turnover entered in the 'Input' sheet.", "")</f>
        <v>Error! The turnovers entered here doen't add up to the turnover entered in the 'Input' sheet.</v>
      </c>
      <c r="G4" s="690" t="e">
        <f ca="1"/>
        <v>#REF!</v>
      </c>
    </row>
    <row r="5" spans="1:7" ht="14.5" customHeight="1" x14ac:dyDescent="0.35">
      <c r="A5">
        <v>3</v>
      </c>
      <c r="E5" s="732">
        <f ca="1"/>
        <v>0</v>
      </c>
      <c r="F5" s="963"/>
      <c r="G5" s="690" t="e">
        <f ca="1"/>
        <v>#REF!</v>
      </c>
    </row>
    <row r="6" spans="1:7" ht="15" thickBot="1" x14ac:dyDescent="0.4">
      <c r="A6">
        <v>4</v>
      </c>
      <c r="E6" s="732">
        <f ca="1"/>
        <v>0</v>
      </c>
      <c r="F6" s="962"/>
      <c r="G6" s="690" t="e">
        <f ca="1"/>
        <v>#REF!</v>
      </c>
    </row>
    <row r="7" spans="1:7" x14ac:dyDescent="0.35">
      <c r="A7">
        <v>5</v>
      </c>
      <c r="E7" s="732">
        <f ca="1"/>
        <v>0</v>
      </c>
      <c r="G7" s="690" t="e">
        <f ca="1"/>
        <v>#REF!</v>
      </c>
    </row>
    <row r="8" spans="1:7" x14ac:dyDescent="0.35">
      <c r="A8">
        <v>6</v>
      </c>
      <c r="E8" s="732">
        <f ca="1"/>
        <v>0</v>
      </c>
      <c r="G8" s="690" t="e">
        <f ca="1"/>
        <v>#REF!</v>
      </c>
    </row>
    <row r="9" spans="1:7" x14ac:dyDescent="0.35">
      <c r="A9">
        <v>7</v>
      </c>
      <c r="E9" s="732">
        <f ca="1"/>
        <v>0</v>
      </c>
      <c r="G9" s="690" t="e">
        <f ca="1"/>
        <v>#REF!</v>
      </c>
    </row>
    <row r="10" spans="1:7" x14ac:dyDescent="0.35">
      <c r="A10">
        <v>8</v>
      </c>
      <c r="E10" s="732">
        <f ca="1"/>
        <v>0</v>
      </c>
      <c r="G10" s="690" t="e">
        <f ca="1"/>
        <v>#REF!</v>
      </c>
    </row>
    <row r="11" spans="1:7" x14ac:dyDescent="0.35">
      <c r="A11">
        <v>9</v>
      </c>
      <c r="E11" s="732">
        <f ca="1"/>
        <v>0</v>
      </c>
      <c r="G11" s="690" t="e">
        <f ca="1"/>
        <v>#REF!</v>
      </c>
    </row>
    <row r="12" spans="1:7" x14ac:dyDescent="0.35">
      <c r="A12">
        <v>10</v>
      </c>
      <c r="E12" s="732">
        <f ca="1"/>
        <v>0</v>
      </c>
      <c r="G12" s="690" t="e">
        <f ca="1"/>
        <v>#REF!</v>
      </c>
    </row>
  </sheetData>
  <mergeCells count="2">
    <mergeCell ref="F2:F3"/>
    <mergeCell ref="F4:F6"/>
  </mergeCells>
  <conditionalFormatting sqref="B1:E1048576">
    <cfRule type="expression" dxfId="46" priority="3">
      <formula xml:space="preserve"> AND( ISBLANK(B1), NOT(ISBLANK($A1)) )</formula>
    </cfRule>
  </conditionalFormatting>
  <conditionalFormatting sqref="F4">
    <cfRule type="expression" dxfId="45" priority="2">
      <formula>$F$4 &lt;&gt; ""</formula>
    </cfRule>
  </conditionalFormatting>
  <conditionalFormatting sqref="F2">
    <cfRule type="expression" dxfId="44" priority="1">
      <formula>$F$2 &lt;&gt; ""</formula>
    </cfRule>
  </conditionalFormatting>
  <dataValidations count="1">
    <dataValidation type="decimal" operator="greaterThan" allowBlank="1" showInputMessage="1" showErrorMessage="1" errorTitle="Invalid number" error="The turnover has to be a number greater than 0." sqref="D2:D1048576" xr:uid="{51A838BC-6E20-4605-8E2F-8852D7A7546F}">
      <formula1>0</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22EBF-19D4-47A4-B957-5E9FA324B926}">
  <sheetPr codeName="Sheet15">
    <tabColor rgb="FFC6EFCE"/>
  </sheetPr>
  <dimension ref="A1:AA14"/>
  <sheetViews>
    <sheetView zoomScale="71" workbookViewId="0">
      <selection activeCell="F31" sqref="F31"/>
    </sheetView>
  </sheetViews>
  <sheetFormatPr baseColWidth="10" defaultColWidth="9.1796875" defaultRowHeight="14.5" x14ac:dyDescent="0.35"/>
  <cols>
    <col min="1" max="1" width="22.54296875" bestFit="1" customWidth="1"/>
    <col min="4" max="4" width="9" bestFit="1" customWidth="1"/>
    <col min="5" max="5" width="9" customWidth="1"/>
    <col min="6" max="6" width="28" style="690" bestFit="1" customWidth="1"/>
    <col min="7" max="7" width="14.54296875" style="690" bestFit="1" customWidth="1"/>
    <col min="8" max="8" width="37.453125" style="690" bestFit="1" customWidth="1"/>
    <col min="9" max="9" width="11.1796875" bestFit="1" customWidth="1"/>
    <col min="10" max="10" width="11.1796875" customWidth="1"/>
    <col min="11" max="11" width="18.54296875" style="690" customWidth="1"/>
    <col min="12" max="12" width="10.54296875" bestFit="1" customWidth="1"/>
    <col min="13" max="13" width="15.81640625" style="690" bestFit="1" customWidth="1"/>
    <col min="15" max="15" width="43.7265625" style="690" bestFit="1" customWidth="1"/>
    <col min="16" max="16" width="52.81640625" style="690" bestFit="1" customWidth="1"/>
    <col min="18" max="18" width="23.453125" bestFit="1" customWidth="1"/>
    <col min="20" max="20" width="12" bestFit="1" customWidth="1"/>
  </cols>
  <sheetData>
    <row r="1" spans="1:27" ht="15" thickBot="1" x14ac:dyDescent="0.4">
      <c r="A1" s="964" t="s">
        <v>4519</v>
      </c>
      <c r="B1" s="965"/>
      <c r="D1" s="958"/>
      <c r="E1" s="958"/>
      <c r="F1" s="958"/>
      <c r="G1" s="958"/>
      <c r="H1" s="958"/>
      <c r="M1"/>
      <c r="R1" t="s">
        <v>4521</v>
      </c>
    </row>
    <row r="2" spans="1:27" x14ac:dyDescent="0.35">
      <c r="A2" s="477" t="s">
        <v>4512</v>
      </c>
      <c r="B2" s="734">
        <f ca="1" xml:space="preserve"> Algorithm!F814</f>
        <v>3431.4553419121939</v>
      </c>
      <c r="D2" t="s">
        <v>4515</v>
      </c>
      <c r="E2" t="s">
        <v>4524</v>
      </c>
      <c r="F2" s="690" t="s">
        <v>4516</v>
      </c>
      <c r="G2" s="690" t="s">
        <v>4517</v>
      </c>
      <c r="H2" s="690" t="s">
        <v>4518</v>
      </c>
      <c r="I2" s="690" t="s">
        <v>4520</v>
      </c>
      <c r="J2" s="690" t="s">
        <v>4525</v>
      </c>
      <c r="K2" s="690" t="s">
        <v>4526</v>
      </c>
      <c r="M2" s="690" t="s">
        <v>4527</v>
      </c>
      <c r="O2" s="690" t="s">
        <v>4528</v>
      </c>
      <c r="P2" s="690" t="s">
        <v>4529</v>
      </c>
      <c r="R2" s="690">
        <f ca="1" xml:space="preserve"> SUM(_xlfn.ANCHORARRAY(I3))</f>
        <v>33000</v>
      </c>
      <c r="T2" s="690" t="s">
        <v>4522</v>
      </c>
      <c r="AA2" s="733"/>
    </row>
    <row r="3" spans="1:27" x14ac:dyDescent="0.35">
      <c r="A3" s="477" t="s">
        <v>4513</v>
      </c>
      <c r="B3" s="478">
        <f xml:space="preserve"> \selected_ip_numberLocalPolicies</f>
        <v>10</v>
      </c>
      <c r="D3" cm="1">
        <f t="array" aca="1" ref="D3:D13" ca="1" xml:space="preserve"> OFFSET(Local_Policies!B1, 1, 0, B3+1)</f>
        <v>0</v>
      </c>
      <c r="E3" s="591" cm="1">
        <f t="array" aca="1" ref="E3:E13" ca="1" xml:space="preserve"> OFFSET(Local_Policies!E1, 1, 0, B3+1)</f>
        <v>0.7</v>
      </c>
      <c r="F3" s="690" cm="1">
        <f t="array" aca="1" ref="F3:F13" ca="1" xml:space="preserve"> _xlfn._xlws.FILTER(Local_Policies!E:E, ISNUMBER(Local_Policies!E:E)) * B2</f>
        <v>2402.0187393385354</v>
      </c>
      <c r="G3" s="690" cm="1">
        <f t="array" aca="1" ref="G3:G13" ca="1" xml:space="preserve"> _xlfn.LET(_xlpm.data, OFFSET(Local_Policies!C1, 1, 0, B3+1), IF(_xlpm.data = "", B4, _xlpm.data))</f>
        <v>3000</v>
      </c>
      <c r="H3" s="690" cm="1">
        <f t="array" aca="1" ref="H3:H13" ca="1" xml:space="preserve"> _xlfn.MAP(_xlfn.ANCHORARRAY(F3) -_xlfn.ANCHORARRAY( G3), _xlfn.LAMBDA(_xlpm.diff, MAX(_xlpm.diff, 0)))</f>
        <v>0</v>
      </c>
      <c r="I3" s="690" cm="1">
        <f t="array" aca="1" ref="I3:I13" ca="1" xml:space="preserve"> _xlfn.MAP(_xlfn.ANCHORARRAY(F3),_xlfn.ANCHORARRAY( G3), _xlfn.LAMBDA(_xlpm.to_based_premium,_xlpm.min_premium, MAX(_xlpm.to_based_premium, _xlpm.min_premium)))</f>
        <v>3000</v>
      </c>
      <c r="J3" s="690" cm="1">
        <f t="array" aca="1" ref="J3:J13" ca="1" xml:space="preserve"> (_xlfn.ANCHORARRAY(I3) -_xlfn.ANCHORARRAY( G3)) /_xlfn.ANCHORARRAY( E3)</f>
        <v>0</v>
      </c>
      <c r="K3" s="591" cm="1">
        <f t="array" aca="1" ref="K3:K13" ca="1" xml:space="preserve"> SUMIF(_xlfn.ANCHORARRAY(J3), "&gt;" &amp;_xlfn.ANCHORARRAY( J3),_xlfn.ANCHORARRAY( E3))</f>
        <v>0</v>
      </c>
      <c r="M3" s="690" cm="1">
        <f t="array" aca="1" ref="M3:M13" ca="1" xml:space="preserve"> _xlfn.SORTBY(_xlfn.ANCHORARRAY(J3),_xlfn.ANCHORARRAY( J3), 1)</f>
        <v>0</v>
      </c>
      <c r="N3" s="591" cm="1">
        <f t="array" aca="1" ref="N3:N13" ca="1" xml:space="preserve"> _xlfn.SORTBY(_xlfn.ANCHORARRAY(K3),_xlfn.ANCHORARRAY( J3), 1)</f>
        <v>0</v>
      </c>
      <c r="O3" s="690" cm="1">
        <f t="array" aca="1" ref="O3:O13" ca="1" xml:space="preserve"> IFERROR( (_xlfn.ANCHORARRAY(M3) - OFFSET(_xlfn.ANCHORARRAY(M3), -1, 0)) * OFFSET(_xlfn.ANCHORARRAY(N3), -1, 0), 0)</f>
        <v>0</v>
      </c>
      <c r="P3" s="690" cm="1">
        <f t="array" aca="1" ref="P3:P13" ca="1" xml:space="preserve"> _xlfn.SCAN(0,_xlfn.ANCHORARRAY( O3), _xlfn.LAMBDA(_xlpm.prev,_xlpm.curr, _xlpm.prev+_xlpm.curr))</f>
        <v>0</v>
      </c>
      <c r="T3" s="879" t="e" cm="1">
        <f t="array" aca="1" ref="T3:T13" ca="1" xml:space="preserve"> IF(R2 = B2,_xlfn.ANCHORARRAY( F3), _xlfn.MAP(_xlfn.ANCHORARRAY(I3) - R14 *_xlfn.ANCHORARRAY( E3),_xlfn.ANCHORARRAY( G3), _xlfn.LAMBDA(_xlpm.reduced_premium,_xlpm.min_premium, MAX(_xlpm.reduced_premium, _xlpm.min_premium))))</f>
        <v>#REF!</v>
      </c>
      <c r="Y3" s="733"/>
    </row>
    <row r="4" spans="1:27" ht="15" thickBot="1" x14ac:dyDescent="0.4">
      <c r="A4" s="226" t="s">
        <v>4514</v>
      </c>
      <c r="B4" s="481">
        <f xml:space="preserve"> \parameter_premiumPerLocalPolicy_EUR</f>
        <v>3000</v>
      </c>
      <c r="D4">
        <f ca="1"/>
        <v>0</v>
      </c>
      <c r="E4" s="591">
        <f ca="1"/>
        <v>0.2</v>
      </c>
      <c r="F4" s="690">
        <f ca="1"/>
        <v>686.29106838243888</v>
      </c>
      <c r="G4" s="690">
        <f ca="1"/>
        <v>3000</v>
      </c>
      <c r="H4" s="690">
        <f ca="1"/>
        <v>0</v>
      </c>
      <c r="I4" s="690">
        <f ca="1"/>
        <v>3000</v>
      </c>
      <c r="J4" s="690">
        <f ca="1"/>
        <v>0</v>
      </c>
      <c r="K4" s="591">
        <f ca="1"/>
        <v>0</v>
      </c>
      <c r="M4" s="690">
        <f ca="1"/>
        <v>0</v>
      </c>
      <c r="N4" s="591">
        <f ca="1"/>
        <v>0</v>
      </c>
      <c r="O4" s="690">
        <f ca="1"/>
        <v>0</v>
      </c>
      <c r="P4" s="690">
        <f ca="1"/>
        <v>0</v>
      </c>
      <c r="R4" t="s">
        <v>4530</v>
      </c>
      <c r="T4" s="879" t="e">
        <f ca="1"/>
        <v>#REF!</v>
      </c>
      <c r="Y4" s="733"/>
    </row>
    <row r="5" spans="1:27" x14ac:dyDescent="0.35">
      <c r="D5">
        <f ca="1"/>
        <v>0</v>
      </c>
      <c r="E5" s="591">
        <f ca="1"/>
        <v>0.1</v>
      </c>
      <c r="F5" s="690">
        <f ca="1"/>
        <v>343.14553419121944</v>
      </c>
      <c r="G5" s="690">
        <f ca="1"/>
        <v>3000</v>
      </c>
      <c r="H5" s="690">
        <f ca="1"/>
        <v>0</v>
      </c>
      <c r="I5" s="690">
        <f ca="1"/>
        <v>3000</v>
      </c>
      <c r="J5" s="690">
        <f ca="1"/>
        <v>0</v>
      </c>
      <c r="K5" s="591">
        <f ca="1"/>
        <v>0</v>
      </c>
      <c r="M5" s="690">
        <f ca="1"/>
        <v>0</v>
      </c>
      <c r="N5" s="591">
        <f ca="1"/>
        <v>0</v>
      </c>
      <c r="O5" s="690">
        <f ca="1"/>
        <v>0</v>
      </c>
      <c r="P5" s="690">
        <f ca="1"/>
        <v>0</v>
      </c>
      <c r="R5" s="733">
        <f ca="1" xml:space="preserve"> R2 - B2</f>
        <v>29568.544658087805</v>
      </c>
      <c r="T5" s="879" t="e">
        <f ca="1"/>
        <v>#REF!</v>
      </c>
    </row>
    <row r="6" spans="1:27" x14ac:dyDescent="0.35">
      <c r="D6">
        <f ca="1"/>
        <v>0</v>
      </c>
      <c r="E6">
        <f ca="1"/>
        <v>0</v>
      </c>
      <c r="F6" s="690">
        <f ca="1"/>
        <v>0</v>
      </c>
      <c r="G6" s="690">
        <f ca="1"/>
        <v>3000</v>
      </c>
      <c r="H6" s="690">
        <f ca="1"/>
        <v>0</v>
      </c>
      <c r="I6">
        <f ca="1"/>
        <v>3000</v>
      </c>
      <c r="J6" t="e">
        <f ca="1"/>
        <v>#DIV/0!</v>
      </c>
      <c r="K6" s="690">
        <f ca="1"/>
        <v>0</v>
      </c>
      <c r="M6" s="690" t="e">
        <f ca="1"/>
        <v>#DIV/0!</v>
      </c>
      <c r="N6">
        <f ca="1"/>
        <v>0</v>
      </c>
      <c r="O6" s="690">
        <f ca="1"/>
        <v>0</v>
      </c>
      <c r="P6" s="690">
        <f ca="1"/>
        <v>0</v>
      </c>
      <c r="R6" t="s">
        <v>4531</v>
      </c>
      <c r="T6" t="e">
        <f ca="1"/>
        <v>#REF!</v>
      </c>
    </row>
    <row r="7" spans="1:27" x14ac:dyDescent="0.35">
      <c r="D7">
        <f ca="1"/>
        <v>0</v>
      </c>
      <c r="E7">
        <f ca="1"/>
        <v>0</v>
      </c>
      <c r="F7" s="690">
        <f ca="1"/>
        <v>0</v>
      </c>
      <c r="G7" s="690">
        <f ca="1"/>
        <v>3000</v>
      </c>
      <c r="H7" s="690">
        <f ca="1"/>
        <v>0</v>
      </c>
      <c r="I7">
        <f ca="1"/>
        <v>3000</v>
      </c>
      <c r="J7" t="e">
        <f ca="1"/>
        <v>#DIV/0!</v>
      </c>
      <c r="K7" s="690">
        <f ca="1"/>
        <v>0</v>
      </c>
      <c r="M7" s="690" t="e">
        <f ca="1"/>
        <v>#DIV/0!</v>
      </c>
      <c r="N7">
        <f ca="1"/>
        <v>0</v>
      </c>
      <c r="O7" s="690">
        <f ca="1"/>
        <v>0</v>
      </c>
      <c r="P7" s="690">
        <f ca="1"/>
        <v>0</v>
      </c>
      <c r="R7" s="733">
        <f ca="1" xml:space="preserve"> COUNTIF(_xlfn.ANCHORARRAY(P3), "&lt;" &amp; R5)</f>
        <v>11</v>
      </c>
      <c r="T7" t="e">
        <f ca="1"/>
        <v>#REF!</v>
      </c>
    </row>
    <row r="8" spans="1:27" x14ac:dyDescent="0.35">
      <c r="D8">
        <f ca="1"/>
        <v>0</v>
      </c>
      <c r="E8">
        <f ca="1"/>
        <v>0</v>
      </c>
      <c r="F8" s="690">
        <f ca="1"/>
        <v>0</v>
      </c>
      <c r="G8" s="690">
        <f ca="1"/>
        <v>3000</v>
      </c>
      <c r="H8" s="690">
        <f ca="1"/>
        <v>0</v>
      </c>
      <c r="I8">
        <f ca="1"/>
        <v>3000</v>
      </c>
      <c r="J8" t="e">
        <f ca="1"/>
        <v>#DIV/0!</v>
      </c>
      <c r="K8" s="690">
        <f ca="1"/>
        <v>0</v>
      </c>
      <c r="M8" s="690" t="e">
        <f ca="1"/>
        <v>#DIV/0!</v>
      </c>
      <c r="N8">
        <f ca="1"/>
        <v>0</v>
      </c>
      <c r="O8" s="690">
        <f ca="1"/>
        <v>0</v>
      </c>
      <c r="P8" s="690">
        <f ca="1"/>
        <v>0</v>
      </c>
      <c r="R8" t="s">
        <v>4532</v>
      </c>
      <c r="T8" t="e">
        <f ca="1"/>
        <v>#REF!</v>
      </c>
    </row>
    <row r="9" spans="1:27" x14ac:dyDescent="0.35">
      <c r="D9">
        <f ca="1"/>
        <v>0</v>
      </c>
      <c r="E9">
        <f ca="1"/>
        <v>0</v>
      </c>
      <c r="F9" s="690">
        <f ca="1"/>
        <v>0</v>
      </c>
      <c r="G9" s="690">
        <f ca="1"/>
        <v>3000</v>
      </c>
      <c r="H9" s="690">
        <f ca="1"/>
        <v>0</v>
      </c>
      <c r="I9">
        <f ca="1"/>
        <v>3000</v>
      </c>
      <c r="J9" t="e">
        <f ca="1"/>
        <v>#DIV/0!</v>
      </c>
      <c r="K9" s="690">
        <f ca="1"/>
        <v>0</v>
      </c>
      <c r="M9" s="690" t="e">
        <f ca="1"/>
        <v>#DIV/0!</v>
      </c>
      <c r="N9">
        <f ca="1"/>
        <v>0</v>
      </c>
      <c r="O9" s="690">
        <f ca="1"/>
        <v>0</v>
      </c>
      <c r="P9" s="690">
        <f ca="1"/>
        <v>0</v>
      </c>
      <c r="R9" t="e" cm="1">
        <f t="array" aca="1" ref="R9" ca="1" xml:space="preserve"> _xlfn.LET(_xlpm.lowerBound, INDEX(_xlfn.ANCHORARRAY(P3), R7, 1), _xlpm.upperBound, INDEX(_xlfn.ANCHORARRAY(P3), R7+1, 1), _xlpm.val, R5, (_xlpm.val - _xlpm.lowerBound) / (_xlpm.upperBound - _xlpm.lowerBound))</f>
        <v>#REF!</v>
      </c>
      <c r="T9" t="e">
        <f ca="1"/>
        <v>#REF!</v>
      </c>
    </row>
    <row r="10" spans="1:27" x14ac:dyDescent="0.35">
      <c r="D10">
        <f ca="1"/>
        <v>0</v>
      </c>
      <c r="E10">
        <f ca="1"/>
        <v>0</v>
      </c>
      <c r="F10" s="690">
        <f ca="1"/>
        <v>0</v>
      </c>
      <c r="G10" s="690">
        <f ca="1"/>
        <v>3000</v>
      </c>
      <c r="H10" s="690">
        <f ca="1"/>
        <v>0</v>
      </c>
      <c r="I10">
        <f ca="1"/>
        <v>3000</v>
      </c>
      <c r="J10" t="e">
        <f ca="1"/>
        <v>#DIV/0!</v>
      </c>
      <c r="K10" s="690">
        <f ca="1"/>
        <v>0</v>
      </c>
      <c r="M10" s="690" t="e">
        <f ca="1"/>
        <v>#DIV/0!</v>
      </c>
      <c r="N10">
        <f ca="1"/>
        <v>0</v>
      </c>
      <c r="O10" s="690">
        <f ca="1"/>
        <v>0</v>
      </c>
      <c r="P10" s="690">
        <f ca="1"/>
        <v>0</v>
      </c>
      <c r="R10" t="s">
        <v>4533</v>
      </c>
      <c r="T10" t="e">
        <f ca="1"/>
        <v>#REF!</v>
      </c>
    </row>
    <row r="11" spans="1:27" x14ac:dyDescent="0.35">
      <c r="D11">
        <f ca="1"/>
        <v>0</v>
      </c>
      <c r="E11">
        <f ca="1"/>
        <v>0</v>
      </c>
      <c r="F11" s="690">
        <f ca="1"/>
        <v>0</v>
      </c>
      <c r="G11" s="690">
        <f ca="1"/>
        <v>3000</v>
      </c>
      <c r="H11" s="690">
        <f ca="1"/>
        <v>0</v>
      </c>
      <c r="I11">
        <f ca="1"/>
        <v>3000</v>
      </c>
      <c r="J11" t="e">
        <f ca="1"/>
        <v>#DIV/0!</v>
      </c>
      <c r="K11" s="690">
        <f ca="1"/>
        <v>0</v>
      </c>
      <c r="M11" s="690" t="e">
        <f ca="1"/>
        <v>#DIV/0!</v>
      </c>
      <c r="N11">
        <f ca="1"/>
        <v>0</v>
      </c>
      <c r="O11" s="690">
        <f ca="1"/>
        <v>0</v>
      </c>
      <c r="P11" s="690">
        <f ca="1"/>
        <v>0</v>
      </c>
      <c r="R11" t="e" cm="1">
        <f t="array" aca="1" ref="R11" ca="1" xml:space="preserve"> _xlfn.LET(_xlpm.lowerBound, INDEX(_xlfn.ANCHORARRAY(M3), R7, 1), _xlpm.upperBound, INDEX(_xlfn.ANCHORARRAY(M3), R7+1, 1), _xlpm.pct, R9, _xlpm.pct * (_xlpm.upperBound - _xlpm.lowerBound) + _xlpm.lowerBound)</f>
        <v>#REF!</v>
      </c>
      <c r="T11" t="e">
        <f ca="1"/>
        <v>#REF!</v>
      </c>
    </row>
    <row r="12" spans="1:27" x14ac:dyDescent="0.35">
      <c r="D12">
        <f ca="1"/>
        <v>0</v>
      </c>
      <c r="E12">
        <f ca="1"/>
        <v>0</v>
      </c>
      <c r="F12" s="690">
        <f ca="1"/>
        <v>0</v>
      </c>
      <c r="G12" s="690">
        <f ca="1"/>
        <v>3000</v>
      </c>
      <c r="H12" s="690">
        <f ca="1"/>
        <v>0</v>
      </c>
      <c r="I12">
        <f ca="1"/>
        <v>3000</v>
      </c>
      <c r="J12" t="e">
        <f ca="1"/>
        <v>#DIV/0!</v>
      </c>
      <c r="K12" s="690">
        <f ca="1"/>
        <v>0</v>
      </c>
      <c r="M12" s="690" t="e">
        <f ca="1"/>
        <v>#DIV/0!</v>
      </c>
      <c r="N12">
        <f ca="1"/>
        <v>0</v>
      </c>
      <c r="O12" s="690">
        <f ca="1"/>
        <v>0</v>
      </c>
      <c r="P12" s="690">
        <f ca="1"/>
        <v>0</v>
      </c>
      <c r="T12" t="e">
        <f ca="1"/>
        <v>#REF!</v>
      </c>
    </row>
    <row r="13" spans="1:27" x14ac:dyDescent="0.35">
      <c r="D13">
        <f ca="1"/>
        <v>0</v>
      </c>
      <c r="E13">
        <f ca="1"/>
        <v>0</v>
      </c>
      <c r="F13" s="690">
        <f ca="1"/>
        <v>0</v>
      </c>
      <c r="G13" s="690">
        <f ca="1"/>
        <v>3000</v>
      </c>
      <c r="H13" s="690">
        <f ca="1"/>
        <v>0</v>
      </c>
      <c r="I13">
        <f ca="1"/>
        <v>3000</v>
      </c>
      <c r="J13" t="e">
        <f ca="1"/>
        <v>#DIV/0!</v>
      </c>
      <c r="K13" s="690">
        <f ca="1"/>
        <v>0</v>
      </c>
      <c r="M13" s="690" t="e">
        <f ca="1"/>
        <v>#DIV/0!</v>
      </c>
      <c r="N13">
        <f ca="1"/>
        <v>0</v>
      </c>
      <c r="O13" s="690">
        <f ca="1"/>
        <v>0</v>
      </c>
      <c r="P13" s="690">
        <f ca="1"/>
        <v>0</v>
      </c>
      <c r="R13" t="s">
        <v>4523</v>
      </c>
      <c r="T13" t="e">
        <f ca="1"/>
        <v>#REF!</v>
      </c>
    </row>
    <row r="14" spans="1:27" x14ac:dyDescent="0.35">
      <c r="R14" s="733" t="e">
        <f ca="1" xml:space="preserve"> R11</f>
        <v>#REF!</v>
      </c>
    </row>
  </sheetData>
  <mergeCells count="2">
    <mergeCell ref="A1:B1"/>
    <mergeCell ref="D1: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rgb="FFFAFD7B"/>
  </sheetPr>
  <dimension ref="A1:K80"/>
  <sheetViews>
    <sheetView zoomScale="71" zoomScaleNormal="85" workbookViewId="0">
      <selection activeCell="E5" sqref="E5"/>
    </sheetView>
  </sheetViews>
  <sheetFormatPr baseColWidth="10" defaultColWidth="11.453125" defaultRowHeight="14.5" x14ac:dyDescent="0.35"/>
  <cols>
    <col min="1" max="1" width="3.453125" customWidth="1"/>
    <col min="2" max="2" width="59.7265625" bestFit="1" customWidth="1"/>
    <col min="3" max="6" width="21.7265625" customWidth="1"/>
    <col min="7" max="7" width="15.1796875" bestFit="1" customWidth="1"/>
  </cols>
  <sheetData>
    <row r="1" spans="1:6" ht="23.5" x14ac:dyDescent="0.35">
      <c r="A1" s="966" t="s">
        <v>94</v>
      </c>
      <c r="B1" s="926"/>
      <c r="C1" s="926"/>
      <c r="D1" s="926"/>
    </row>
    <row r="2" spans="1:6" x14ac:dyDescent="0.35">
      <c r="E2" s="821"/>
    </row>
    <row r="3" spans="1:6" x14ac:dyDescent="0.35">
      <c r="B3" s="16" t="s">
        <v>96</v>
      </c>
      <c r="C3" s="5" t="str">
        <f>\selected_currency</f>
        <v>EUR - Euro</v>
      </c>
    </row>
    <row r="4" spans="1:6" x14ac:dyDescent="0.35">
      <c r="B4" s="3" t="s">
        <v>97</v>
      </c>
    </row>
    <row r="5" spans="1:6" x14ac:dyDescent="0.35">
      <c r="B5" s="3"/>
    </row>
    <row r="7" spans="1:6" ht="15.5" hidden="1" x14ac:dyDescent="0.35">
      <c r="B7" s="7" t="s">
        <v>98</v>
      </c>
      <c r="C7" s="7"/>
      <c r="D7" s="7"/>
      <c r="E7" s="7"/>
      <c r="F7" s="7"/>
    </row>
    <row r="8" spans="1:6" hidden="1" x14ac:dyDescent="0.35">
      <c r="B8" s="26"/>
    </row>
    <row r="9" spans="1:6" hidden="1" x14ac:dyDescent="0.35">
      <c r="B9" s="16" t="s">
        <v>99</v>
      </c>
      <c r="C9" s="6">
        <f>calc_llthreshold1_transport_polcurr</f>
        <v>250000</v>
      </c>
    </row>
    <row r="10" spans="1:6" hidden="1" x14ac:dyDescent="0.35">
      <c r="B10" s="26"/>
    </row>
    <row r="11" spans="1:6" hidden="1" x14ac:dyDescent="0.35">
      <c r="C11" s="17" t="s">
        <v>100</v>
      </c>
      <c r="D11" s="18" t="s">
        <v>101</v>
      </c>
      <c r="E11" s="19" t="s">
        <v>102</v>
      </c>
      <c r="F11" s="2"/>
    </row>
    <row r="12" spans="1:6" ht="15" hidden="1" thickBot="1" x14ac:dyDescent="0.4">
      <c r="B12" s="20" t="s">
        <v>4483</v>
      </c>
      <c r="C12" s="33">
        <f ca="1">Algorithm!K732</f>
        <v>1629.4101467263508</v>
      </c>
      <c r="D12" s="33">
        <f ca="1">Algorithm!L732</f>
        <v>0</v>
      </c>
      <c r="E12" s="34">
        <f ca="1">Algorithm!M732</f>
        <v>1867.4582899076531</v>
      </c>
      <c r="F12" s="38"/>
    </row>
    <row r="13" spans="1:6" ht="15" hidden="1" thickTop="1" x14ac:dyDescent="0.35">
      <c r="B13" s="21" t="s">
        <v>104</v>
      </c>
      <c r="C13" s="8" t="s">
        <v>4549</v>
      </c>
      <c r="D13" s="9" t="s">
        <v>4549</v>
      </c>
      <c r="E13" s="10">
        <f ca="1">Algorithm!M733</f>
        <v>0</v>
      </c>
      <c r="F13" s="38"/>
    </row>
    <row r="14" spans="1:6" hidden="1" x14ac:dyDescent="0.35">
      <c r="B14" s="23" t="s">
        <v>105</v>
      </c>
      <c r="C14" s="11" t="s">
        <v>4549</v>
      </c>
      <c r="D14" s="12" t="s">
        <v>4549</v>
      </c>
      <c r="E14" s="10">
        <f ca="1">Algorithm!M734</f>
        <v>0</v>
      </c>
      <c r="F14" s="42"/>
    </row>
    <row r="15" spans="1:6" hidden="1" x14ac:dyDescent="0.35">
      <c r="B15" s="23" t="s">
        <v>106</v>
      </c>
      <c r="C15" s="11" t="s">
        <v>4549</v>
      </c>
      <c r="D15" s="12" t="s">
        <v>4549</v>
      </c>
      <c r="E15" s="10">
        <f>Algorithm!M735</f>
        <v>0</v>
      </c>
      <c r="F15" s="42"/>
    </row>
    <row r="16" spans="1:6" ht="15" hidden="1" thickBot="1" x14ac:dyDescent="0.4">
      <c r="B16" s="21" t="s">
        <v>107</v>
      </c>
      <c r="C16" s="13">
        <f>Algorithm!K736</f>
        <v>0</v>
      </c>
      <c r="D16" s="14">
        <f>Algorithm!L736</f>
        <v>0</v>
      </c>
      <c r="E16" s="10">
        <f>Algorithm!M736</f>
        <v>0</v>
      </c>
      <c r="F16" s="38"/>
    </row>
    <row r="17" spans="2:6" ht="15" hidden="1" thickTop="1" x14ac:dyDescent="0.35">
      <c r="B17" s="22" t="s">
        <v>108</v>
      </c>
      <c r="C17" s="35">
        <f ca="1">Algorithm!K737</f>
        <v>1629.4101467263508</v>
      </c>
      <c r="D17" s="35">
        <f ca="1">Algorithm!L737</f>
        <v>0</v>
      </c>
      <c r="E17" s="36">
        <f ca="1" xml:space="preserve"> result_expectedloss_total</f>
        <v>1867.4582899076531</v>
      </c>
      <c r="F17" s="43"/>
    </row>
    <row r="18" spans="2:6" hidden="1" x14ac:dyDescent="0.35"/>
    <row r="19" spans="2:6" hidden="1" x14ac:dyDescent="0.35"/>
    <row r="20" spans="2:6" hidden="1" x14ac:dyDescent="0.35"/>
    <row r="21" spans="2:6" ht="15.5" hidden="1" x14ac:dyDescent="0.35">
      <c r="B21" s="7" t="s">
        <v>109</v>
      </c>
      <c r="C21" s="7"/>
      <c r="D21" s="7"/>
      <c r="E21" s="7"/>
      <c r="F21" s="7"/>
    </row>
    <row r="22" spans="2:6" hidden="1" x14ac:dyDescent="0.35">
      <c r="B22" s="26"/>
    </row>
    <row r="23" spans="2:6" ht="15" hidden="1" thickBot="1" x14ac:dyDescent="0.4">
      <c r="B23" s="213" t="s">
        <v>110</v>
      </c>
      <c r="C23" s="101" t="s">
        <v>103</v>
      </c>
      <c r="D23" s="101" t="s">
        <v>104</v>
      </c>
      <c r="E23" s="101" t="s">
        <v>111</v>
      </c>
      <c r="F23" s="101" t="s">
        <v>102</v>
      </c>
    </row>
    <row r="24" spans="2:6" ht="15" hidden="1" thickTop="1" x14ac:dyDescent="0.35">
      <c r="B24" s="85" t="s">
        <v>112</v>
      </c>
      <c r="C24" s="407">
        <f ca="1">Algorithm!K760</f>
        <v>1867.4582899076531</v>
      </c>
      <c r="D24" s="408">
        <f ca="1">Algorithm!L760</f>
        <v>0</v>
      </c>
      <c r="E24" s="408">
        <f>Algorithm!M760</f>
        <v>0</v>
      </c>
      <c r="F24" s="409">
        <f ca="1">Algorithm!N760</f>
        <v>1867.4582899076531</v>
      </c>
    </row>
    <row r="25" spans="2:6" ht="15" hidden="1" thickBot="1" x14ac:dyDescent="0.4">
      <c r="B25" s="85" t="s">
        <v>113</v>
      </c>
      <c r="C25" s="401">
        <f ca="1">Algorithm!K761</f>
        <v>1.1518483275822815E-4</v>
      </c>
      <c r="D25" s="402">
        <f ca="1">Algorithm!L761</f>
        <v>0</v>
      </c>
      <c r="E25" s="402">
        <f ca="1">Algorithm!M761</f>
        <v>0</v>
      </c>
      <c r="F25" s="403">
        <f ca="1">Algorithm!N761</f>
        <v>1.1518483275822815E-4</v>
      </c>
    </row>
    <row r="26" spans="2:6" hidden="1" x14ac:dyDescent="0.35">
      <c r="B26" s="85"/>
      <c r="C26" s="404"/>
      <c r="D26" s="405"/>
      <c r="E26" s="405"/>
      <c r="F26" s="406"/>
    </row>
    <row r="27" spans="2:6" hidden="1" x14ac:dyDescent="0.35">
      <c r="B27" s="85" t="s">
        <v>114</v>
      </c>
      <c r="C27" s="971" t="s">
        <v>4663</v>
      </c>
      <c r="D27" s="972"/>
      <c r="E27" s="972"/>
      <c r="F27" s="973"/>
    </row>
    <row r="28" spans="2:6" hidden="1" x14ac:dyDescent="0.35">
      <c r="B28" s="85" t="s">
        <v>115</v>
      </c>
      <c r="C28" s="974"/>
      <c r="D28" s="975"/>
      <c r="E28" s="975"/>
      <c r="F28" s="976"/>
    </row>
    <row r="29" spans="2:6" hidden="1" x14ac:dyDescent="0.35">
      <c r="B29" s="85" t="s">
        <v>116</v>
      </c>
      <c r="C29" s="974"/>
      <c r="D29" s="975"/>
      <c r="E29" s="975"/>
      <c r="F29" s="976"/>
    </row>
    <row r="30" spans="2:6" hidden="1" x14ac:dyDescent="0.35">
      <c r="B30" s="85"/>
      <c r="C30" s="974"/>
      <c r="D30" s="975"/>
      <c r="E30" s="975"/>
      <c r="F30" s="976"/>
    </row>
    <row r="31" spans="2:6" hidden="1" x14ac:dyDescent="0.35">
      <c r="B31" s="85" t="s">
        <v>117</v>
      </c>
      <c r="C31" s="974"/>
      <c r="D31" s="975"/>
      <c r="E31" s="975"/>
      <c r="F31" s="976"/>
    </row>
    <row r="32" spans="2:6" hidden="1" x14ac:dyDescent="0.35">
      <c r="B32" s="85" t="s">
        <v>118</v>
      </c>
      <c r="C32" s="974"/>
      <c r="D32" s="975"/>
      <c r="E32" s="975"/>
      <c r="F32" s="976"/>
    </row>
    <row r="33" spans="2:6" hidden="1" x14ac:dyDescent="0.35">
      <c r="B33" s="85" t="s">
        <v>119</v>
      </c>
      <c r="C33" s="974"/>
      <c r="D33" s="975"/>
      <c r="E33" s="975"/>
      <c r="F33" s="976"/>
    </row>
    <row r="34" spans="2:6" hidden="1" x14ac:dyDescent="0.35">
      <c r="B34" s="85" t="s">
        <v>120</v>
      </c>
      <c r="C34" s="974"/>
      <c r="D34" s="975"/>
      <c r="E34" s="975"/>
      <c r="F34" s="976"/>
    </row>
    <row r="35" spans="2:6" hidden="1" x14ac:dyDescent="0.35">
      <c r="B35" s="85" t="s">
        <v>121</v>
      </c>
      <c r="C35" s="974"/>
      <c r="D35" s="975"/>
      <c r="E35" s="975"/>
      <c r="F35" s="976"/>
    </row>
    <row r="36" spans="2:6" hidden="1" x14ac:dyDescent="0.35">
      <c r="B36" s="85"/>
      <c r="C36" s="974"/>
      <c r="D36" s="975"/>
      <c r="E36" s="975"/>
      <c r="F36" s="976"/>
    </row>
    <row r="37" spans="2:6" hidden="1" x14ac:dyDescent="0.35">
      <c r="B37" s="85" t="s">
        <v>122</v>
      </c>
      <c r="C37" s="974"/>
      <c r="D37" s="975"/>
      <c r="E37" s="975"/>
      <c r="F37" s="976"/>
    </row>
    <row r="38" spans="2:6" hidden="1" x14ac:dyDescent="0.35">
      <c r="B38" s="85" t="s">
        <v>123</v>
      </c>
      <c r="C38" s="974"/>
      <c r="D38" s="975"/>
      <c r="E38" s="975"/>
      <c r="F38" s="976"/>
    </row>
    <row r="39" spans="2:6" hidden="1" x14ac:dyDescent="0.35">
      <c r="B39" s="85" t="s">
        <v>124</v>
      </c>
      <c r="C39" s="974"/>
      <c r="D39" s="975"/>
      <c r="E39" s="975"/>
      <c r="F39" s="976"/>
    </row>
    <row r="40" spans="2:6" hidden="1" x14ac:dyDescent="0.35">
      <c r="B40" s="85"/>
      <c r="C40" s="974"/>
      <c r="D40" s="975"/>
      <c r="E40" s="975"/>
      <c r="F40" s="976"/>
    </row>
    <row r="41" spans="2:6" hidden="1" x14ac:dyDescent="0.35">
      <c r="B41" s="85" t="s">
        <v>125</v>
      </c>
      <c r="C41" s="974"/>
      <c r="D41" s="975"/>
      <c r="E41" s="975"/>
      <c r="F41" s="976"/>
    </row>
    <row r="42" spans="2:6" hidden="1" x14ac:dyDescent="0.35">
      <c r="B42" s="85" t="s">
        <v>126</v>
      </c>
      <c r="C42" s="974"/>
      <c r="D42" s="975"/>
      <c r="E42" s="975"/>
      <c r="F42" s="976"/>
    </row>
    <row r="43" spans="2:6" hidden="1" x14ac:dyDescent="0.35">
      <c r="B43" s="85" t="s">
        <v>127</v>
      </c>
      <c r="C43" s="974"/>
      <c r="D43" s="975"/>
      <c r="E43" s="975"/>
      <c r="F43" s="976"/>
    </row>
    <row r="44" spans="2:6" hidden="1" x14ac:dyDescent="0.35">
      <c r="B44" s="85"/>
      <c r="C44" s="974"/>
      <c r="D44" s="975"/>
      <c r="E44" s="975"/>
      <c r="F44" s="976"/>
    </row>
    <row r="45" spans="2:6" hidden="1" x14ac:dyDescent="0.35">
      <c r="B45" s="85" t="s">
        <v>128</v>
      </c>
      <c r="C45" s="974"/>
      <c r="D45" s="975"/>
      <c r="E45" s="975"/>
      <c r="F45" s="976"/>
    </row>
    <row r="46" spans="2:6" hidden="1" x14ac:dyDescent="0.35">
      <c r="B46" s="85" t="s">
        <v>129</v>
      </c>
      <c r="C46" s="974"/>
      <c r="D46" s="975"/>
      <c r="E46" s="975"/>
      <c r="F46" s="976"/>
    </row>
    <row r="47" spans="2:6" hidden="1" x14ac:dyDescent="0.35">
      <c r="B47" s="85" t="s">
        <v>130</v>
      </c>
      <c r="C47" s="974"/>
      <c r="D47" s="975"/>
      <c r="E47" s="975"/>
      <c r="F47" s="976"/>
    </row>
    <row r="48" spans="2:6" hidden="1" x14ac:dyDescent="0.35">
      <c r="B48" s="85"/>
      <c r="C48" s="974"/>
      <c r="D48" s="975"/>
      <c r="E48" s="975"/>
      <c r="F48" s="976"/>
    </row>
    <row r="49" spans="2:11" hidden="1" x14ac:dyDescent="0.35">
      <c r="B49" s="85" t="s">
        <v>131</v>
      </c>
      <c r="C49" s="974"/>
      <c r="D49" s="975"/>
      <c r="E49" s="975"/>
      <c r="F49" s="976"/>
    </row>
    <row r="50" spans="2:11" hidden="1" x14ac:dyDescent="0.35">
      <c r="B50" s="85" t="s">
        <v>132</v>
      </c>
      <c r="C50" s="974"/>
      <c r="D50" s="975"/>
      <c r="E50" s="975"/>
      <c r="F50" s="976"/>
    </row>
    <row r="51" spans="2:11" ht="15" hidden="1" thickBot="1" x14ac:dyDescent="0.4">
      <c r="B51" s="85" t="s">
        <v>133</v>
      </c>
      <c r="C51" s="977"/>
      <c r="D51" s="978"/>
      <c r="E51" s="978"/>
      <c r="F51" s="979"/>
    </row>
    <row r="52" spans="2:11" ht="15" hidden="1" thickTop="1" x14ac:dyDescent="0.35"/>
    <row r="53" spans="2:11" hidden="1" x14ac:dyDescent="0.35">
      <c r="B53" s="967" t="e">
        <f>IF( OR( Input!A60 = "Yes", Input!#REF! = "Yes" ), "Please note that neither war nor strike was considered in the displayed values.", "" )</f>
        <v>#REF!</v>
      </c>
      <c r="C53" s="967"/>
      <c r="D53" s="967"/>
      <c r="E53" s="967"/>
      <c r="F53" s="967"/>
    </row>
    <row r="54" spans="2:11" hidden="1" x14ac:dyDescent="0.35">
      <c r="B54" s="967"/>
      <c r="C54" s="967"/>
      <c r="D54" s="967"/>
      <c r="E54" s="967"/>
      <c r="F54" s="967"/>
    </row>
    <row r="55" spans="2:11" hidden="1" x14ac:dyDescent="0.35">
      <c r="B55" s="967"/>
      <c r="C55" s="967"/>
      <c r="D55" s="967"/>
      <c r="E55" s="967"/>
      <c r="F55" s="967"/>
    </row>
    <row r="56" spans="2:11" hidden="1" x14ac:dyDescent="0.35"/>
    <row r="57" spans="2:11" hidden="1" x14ac:dyDescent="0.35">
      <c r="B57" s="968"/>
      <c r="C57" s="968"/>
      <c r="D57" s="968"/>
      <c r="E57" s="968"/>
      <c r="F57" s="968"/>
    </row>
    <row r="59" spans="2:11" ht="15.5" x14ac:dyDescent="0.35">
      <c r="B59" s="7" t="s">
        <v>134</v>
      </c>
      <c r="C59" s="7"/>
    </row>
    <row r="60" spans="2:11" x14ac:dyDescent="0.35">
      <c r="B60" s="26"/>
    </row>
    <row r="61" spans="2:11" x14ac:dyDescent="0.35">
      <c r="B61" s="85" t="s">
        <v>4618</v>
      </c>
      <c r="C61" s="813">
        <v>21</v>
      </c>
      <c r="D61" s="813" t="s">
        <v>352</v>
      </c>
    </row>
    <row r="62" spans="2:11" x14ac:dyDescent="0.35">
      <c r="B62" s="26"/>
    </row>
    <row r="63" spans="2:11" ht="14.5" customHeight="1" thickBot="1" x14ac:dyDescent="0.4">
      <c r="B63" s="213" t="s">
        <v>110</v>
      </c>
      <c r="C63" s="806" t="s">
        <v>4608</v>
      </c>
    </row>
    <row r="64" spans="2:11" ht="15" thickTop="1" x14ac:dyDescent="0.35">
      <c r="B64" s="85" t="s">
        <v>112</v>
      </c>
      <c r="C64" s="807" cm="1">
        <f t="array" aca="1" ref="C64:C75" ca="1" xml:space="preserve"> _xlfn.LET(_xlpm.data, Algorithm!F804:F815, IF(_xlpm.data = "", "", _xlpm.data))</f>
        <v>1867.4582899076531</v>
      </c>
      <c r="E64" s="969" t="str">
        <f ca="1" xml:space="preserve"> "The Technical Premium is: " &amp; FIXED(C74, 0) &amp; "€" &amp; IF( TRUE, CHAR(10) &amp; "This corresponds to a premium rate of " &amp; FIXED(C75 * 1000, 2) &amp; "‰.", "" )</f>
        <v>The Technical Premium is: 3.431€
This corresponds to a premium rate of 0,21‰.</v>
      </c>
      <c r="F64" s="969"/>
      <c r="G64" s="969"/>
      <c r="H64" s="969"/>
      <c r="I64" s="969"/>
      <c r="J64" s="969"/>
      <c r="K64" s="969"/>
    </row>
    <row r="65" spans="2:11" ht="15" thickBot="1" x14ac:dyDescent="0.4">
      <c r="B65" s="85" t="s">
        <v>113</v>
      </c>
      <c r="C65" s="808">
        <f ca="1"/>
        <v>1.1518483275822815E-4</v>
      </c>
      <c r="E65" s="969"/>
      <c r="F65" s="969"/>
      <c r="G65" s="969"/>
      <c r="H65" s="969"/>
      <c r="I65" s="969"/>
      <c r="J65" s="969"/>
      <c r="K65" s="969"/>
    </row>
    <row r="66" spans="2:11" x14ac:dyDescent="0.35">
      <c r="B66" s="85"/>
      <c r="C66" s="809" t="str">
        <f ca="1"/>
        <v/>
      </c>
      <c r="E66" s="969"/>
      <c r="F66" s="969"/>
      <c r="G66" s="969"/>
      <c r="H66" s="969"/>
      <c r="I66" s="969"/>
      <c r="J66" s="969"/>
      <c r="K66" s="969"/>
    </row>
    <row r="67" spans="2:11" x14ac:dyDescent="0.35">
      <c r="B67" s="85" t="s">
        <v>114</v>
      </c>
      <c r="C67" s="810">
        <f ca="1"/>
        <v>172.79791057698969</v>
      </c>
      <c r="E67" s="969"/>
      <c r="F67" s="969"/>
      <c r="G67" s="969"/>
      <c r="H67" s="969"/>
      <c r="I67" s="969"/>
      <c r="J67" s="969"/>
      <c r="K67" s="969"/>
    </row>
    <row r="68" spans="2:11" x14ac:dyDescent="0.35">
      <c r="B68" s="85" t="s">
        <v>115</v>
      </c>
      <c r="C68" s="811">
        <f ca="1"/>
        <v>2040.2562004846429</v>
      </c>
      <c r="E68" s="969"/>
      <c r="F68" s="969"/>
      <c r="G68" s="969"/>
      <c r="H68" s="969"/>
      <c r="I68" s="969"/>
      <c r="J68" s="969"/>
      <c r="K68" s="969"/>
    </row>
    <row r="69" spans="2:11" ht="15" thickBot="1" x14ac:dyDescent="0.4">
      <c r="B69" s="85" t="s">
        <v>116</v>
      </c>
      <c r="C69" s="808">
        <f ca="1"/>
        <v>1.2584300838568277E-4</v>
      </c>
      <c r="E69" s="969"/>
      <c r="F69" s="969"/>
      <c r="G69" s="969"/>
      <c r="H69" s="969"/>
      <c r="I69" s="969"/>
      <c r="J69" s="969"/>
      <c r="K69" s="969"/>
    </row>
    <row r="70" spans="2:11" x14ac:dyDescent="0.35">
      <c r="B70" s="85"/>
      <c r="C70" s="809" t="str">
        <f ca="1"/>
        <v/>
      </c>
      <c r="E70" s="969"/>
      <c r="F70" s="969"/>
      <c r="G70" s="969"/>
      <c r="H70" s="969"/>
      <c r="I70" s="969"/>
      <c r="J70" s="969"/>
      <c r="K70" s="969"/>
    </row>
    <row r="71" spans="2:11" x14ac:dyDescent="0.35">
      <c r="B71" s="85" t="s">
        <v>117</v>
      </c>
      <c r="C71" s="810">
        <f ca="1"/>
        <v>670.59351962599044</v>
      </c>
      <c r="E71" s="969"/>
      <c r="F71" s="969"/>
      <c r="G71" s="969"/>
      <c r="H71" s="969"/>
      <c r="I71" s="969"/>
      <c r="J71" s="969"/>
      <c r="K71" s="969"/>
    </row>
    <row r="72" spans="2:11" x14ac:dyDescent="0.35">
      <c r="B72" s="85" t="s">
        <v>118</v>
      </c>
      <c r="C72" s="811">
        <f ca="1"/>
        <v>2710.8497201106334</v>
      </c>
      <c r="E72" s="969"/>
      <c r="F72" s="969"/>
      <c r="G72" s="969"/>
      <c r="H72" s="969"/>
      <c r="I72" s="969"/>
      <c r="J72" s="969"/>
      <c r="K72" s="969"/>
    </row>
    <row r="73" spans="2:11" x14ac:dyDescent="0.35">
      <c r="B73" s="85" t="s">
        <v>119</v>
      </c>
      <c r="C73" s="810">
        <f ca="1"/>
        <v>720.60562180156057</v>
      </c>
      <c r="E73" s="969"/>
      <c r="F73" s="969"/>
      <c r="G73" s="969"/>
      <c r="H73" s="969"/>
      <c r="I73" s="969"/>
      <c r="J73" s="969"/>
      <c r="K73" s="969"/>
    </row>
    <row r="74" spans="2:11" x14ac:dyDescent="0.35">
      <c r="B74" s="85" t="s">
        <v>120</v>
      </c>
      <c r="C74" s="811">
        <f ca="1"/>
        <v>3431.4553419121939</v>
      </c>
      <c r="E74" s="969"/>
      <c r="F74" s="969"/>
      <c r="G74" s="969"/>
      <c r="H74" s="969"/>
      <c r="I74" s="969"/>
      <c r="J74" s="969"/>
      <c r="K74" s="969"/>
    </row>
    <row r="75" spans="2:11" ht="15" thickBot="1" x14ac:dyDescent="0.4">
      <c r="B75" s="85" t="s">
        <v>121</v>
      </c>
      <c r="C75" s="814">
        <f ca="1"/>
        <v>2.1165217547912681E-4</v>
      </c>
      <c r="E75" s="969"/>
      <c r="F75" s="969"/>
      <c r="G75" s="969"/>
      <c r="H75" s="969"/>
      <c r="I75" s="969"/>
      <c r="J75" s="969"/>
      <c r="K75" s="969"/>
    </row>
    <row r="76" spans="2:11" ht="15" thickTop="1" x14ac:dyDescent="0.35"/>
    <row r="77" spans="2:11" ht="14.5" customHeight="1" x14ac:dyDescent="0.35">
      <c r="E77" s="970" t="str">
        <f ca="1" xml:space="preserve"> IF(Algorithm!H820 &gt; \parameter_aussteuerungLossRatio, "The historical loss amount is too large for an automatic offer. This offer has to be reviewed by an Underwriter!", "")</f>
        <v/>
      </c>
      <c r="F77" s="970"/>
      <c r="G77" s="970"/>
      <c r="H77" s="970"/>
      <c r="I77" s="970"/>
      <c r="J77" s="970"/>
      <c r="K77" s="970"/>
    </row>
    <row r="78" spans="2:11" ht="14.5" customHeight="1" x14ac:dyDescent="0.35">
      <c r="E78" s="970"/>
      <c r="F78" s="970"/>
      <c r="G78" s="970"/>
      <c r="H78" s="970"/>
      <c r="I78" s="970"/>
      <c r="J78" s="970"/>
      <c r="K78" s="970"/>
    </row>
    <row r="79" spans="2:11" x14ac:dyDescent="0.35">
      <c r="E79" s="970"/>
      <c r="F79" s="970"/>
      <c r="G79" s="970"/>
      <c r="H79" s="970"/>
      <c r="I79" s="970"/>
      <c r="J79" s="970"/>
      <c r="K79" s="970"/>
    </row>
    <row r="80" spans="2:11" x14ac:dyDescent="0.35">
      <c r="E80" s="970"/>
      <c r="F80" s="970"/>
      <c r="G80" s="970"/>
      <c r="H80" s="970"/>
      <c r="I80" s="970"/>
      <c r="J80" s="970"/>
      <c r="K80" s="970"/>
    </row>
  </sheetData>
  <sheetProtection algorithmName="SHA-512" hashValue="O1DEfHsw0FmckFueUlXT1mIVLvWgHeKb0MX+OK3jUllZgLlBsqPAN8KJKoejUUyip8yixxmqmzCE+p1vso+lPQ==" saltValue="o6dd9fC3yux1fZu+CVnCNw==" spinCount="100000" sheet="1" formatCells="0" formatColumns="0" formatRows="0" insertRows="0" autoFilter="0"/>
  <mergeCells count="6">
    <mergeCell ref="A1:D1"/>
    <mergeCell ref="B53:F55"/>
    <mergeCell ref="B57:F57"/>
    <mergeCell ref="E64:K75"/>
    <mergeCell ref="E77:K80"/>
    <mergeCell ref="C27:F51"/>
  </mergeCells>
  <conditionalFormatting sqref="A23:A42 A1:F1 A3:F22 A2:E2 B23:F26 B28:B51 B27:C27">
    <cfRule type="expression" dxfId="43" priority="9">
      <formula>ISERROR(A1)</formula>
    </cfRule>
  </conditionalFormatting>
  <conditionalFormatting sqref="G23:G51">
    <cfRule type="expression" dxfId="42" priority="4">
      <formula>ISERROR(G23)</formula>
    </cfRule>
  </conditionalFormatting>
  <conditionalFormatting sqref="B59:C75">
    <cfRule type="expression" dxfId="41" priority="3">
      <formula>ISERROR(B59)</formula>
    </cfRule>
  </conditionalFormatting>
  <conditionalFormatting sqref="E77">
    <cfRule type="expression" dxfId="40" priority="1">
      <formula xml:space="preserve"> $E$77 &lt;&gt; ""</formula>
    </cfRule>
  </conditionalFormatting>
  <dataValidations count="2">
    <dataValidation type="list" allowBlank="1" showInputMessage="1" showErrorMessage="1" sqref="D61" xr:uid="{A74933D5-2232-48F5-8C3F-E4F49456FBAD}">
      <formula1>\reference_absoluterelative</formula1>
    </dataValidation>
    <dataValidation type="decimal" operator="greaterThanOrEqual" allowBlank="1" showInputMessage="1" showErrorMessage="1" sqref="C61" xr:uid="{F34F0A62-420D-49A9-81F3-783BB61772C9}">
      <formula1>0</formula1>
    </dataValidation>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65" id="{13E74031-F99D-4771-818C-E3CD890252C7}">
            <xm:f xml:space="preserve"> OR(Input!$A$60 = "Yes", Input!#REF! = "Yes")</xm:f>
            <x14:dxf>
              <font>
                <color theme="6"/>
              </font>
              <fill>
                <patternFill>
                  <bgColor rgb="FFFF0000"/>
                </patternFill>
              </fill>
            </x14:dxf>
          </x14:cfRule>
          <xm:sqref>B53:F55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2" tint="-0.249977111117893"/>
  </sheetPr>
  <dimension ref="A1:AH189"/>
  <sheetViews>
    <sheetView topLeftCell="I1" workbookViewId="0">
      <pane ySplit="3" topLeftCell="A46" activePane="bottomLeft" state="frozen"/>
      <selection activeCell="A2" sqref="A2"/>
      <selection pane="bottomLeft" activeCell="M55" sqref="M55:M58"/>
    </sheetView>
  </sheetViews>
  <sheetFormatPr baseColWidth="10" defaultColWidth="11.453125" defaultRowHeight="13" x14ac:dyDescent="0.35"/>
  <cols>
    <col min="1" max="1" width="8" style="273" bestFit="1" customWidth="1"/>
    <col min="2" max="2" width="30" style="273" bestFit="1" customWidth="1"/>
    <col min="3" max="3" width="2.7265625" style="273" customWidth="1"/>
    <col min="4" max="4" width="6.1796875" style="274" bestFit="1" customWidth="1"/>
    <col min="5" max="5" width="107" style="273" bestFit="1" customWidth="1"/>
    <col min="6" max="6" width="2.7265625" style="273" customWidth="1"/>
    <col min="7" max="7" width="43.81640625" style="273" bestFit="1" customWidth="1"/>
    <col min="8" max="8" width="2.7265625" style="273" customWidth="1"/>
    <col min="9" max="9" width="41" style="273" bestFit="1" customWidth="1"/>
    <col min="10" max="10" width="2.7265625" style="273" customWidth="1"/>
    <col min="11" max="11" width="24.26953125" style="273" bestFit="1" customWidth="1"/>
    <col min="12" max="12" width="2.7265625" style="273" customWidth="1"/>
    <col min="13" max="13" width="32.81640625" style="273" bestFit="1" customWidth="1"/>
    <col min="14" max="14" width="2.7265625" style="273" customWidth="1"/>
    <col min="15" max="15" width="39.7265625" style="273" bestFit="1" customWidth="1"/>
    <col min="16" max="16" width="15.54296875" style="273" bestFit="1" customWidth="1"/>
    <col min="17" max="17" width="20" style="273" bestFit="1" customWidth="1"/>
    <col min="18" max="18" width="41" style="273" bestFit="1" customWidth="1"/>
    <col min="19" max="19" width="34.453125" style="273" bestFit="1" customWidth="1"/>
    <col min="20" max="20" width="21.54296875" style="273" bestFit="1" customWidth="1"/>
    <col min="21" max="21" width="50.453125" style="273" bestFit="1" customWidth="1"/>
    <col min="22" max="22" width="42.81640625" style="273" bestFit="1" customWidth="1"/>
    <col min="23" max="23" width="42.7265625" style="273" bestFit="1" customWidth="1"/>
    <col min="24" max="24" width="45.453125" style="273" bestFit="1" customWidth="1"/>
    <col min="25" max="25" width="33.26953125" style="273" bestFit="1" customWidth="1"/>
    <col min="26" max="26" width="40.81640625" style="273" bestFit="1" customWidth="1"/>
    <col min="27" max="27" width="62" style="273" bestFit="1" customWidth="1"/>
    <col min="28" max="28" width="23.54296875" style="273" bestFit="1" customWidth="1"/>
    <col min="29" max="29" width="27.7265625" style="273" bestFit="1" customWidth="1"/>
    <col min="30" max="30" width="18" style="273" bestFit="1" customWidth="1"/>
    <col min="31" max="31" width="28.54296875" style="273" customWidth="1"/>
    <col min="32" max="32" width="20.26953125" style="273" bestFit="1" customWidth="1"/>
    <col min="33" max="33" width="19.453125" style="273" customWidth="1"/>
    <col min="34" max="34" width="32.1796875" style="273" bestFit="1" customWidth="1"/>
    <col min="35" max="37" width="11.453125" style="273"/>
    <col min="38" max="38" width="12.54296875" style="273" bestFit="1" customWidth="1"/>
    <col min="39" max="16384" width="11.453125" style="273"/>
  </cols>
  <sheetData>
    <row r="1" spans="1:34" ht="23.5" x14ac:dyDescent="0.35">
      <c r="A1" s="949" t="s">
        <v>135</v>
      </c>
      <c r="B1" s="949"/>
      <c r="C1" s="951"/>
      <c r="D1" s="951"/>
      <c r="E1" s="951"/>
      <c r="P1" s="275">
        <f>LEN(P2)</f>
        <v>37</v>
      </c>
      <c r="Q1" s="275">
        <f t="shared" ref="Q1:AH1" si="0">LEN(Q2)</f>
        <v>35</v>
      </c>
      <c r="R1" s="275">
        <f t="shared" si="0"/>
        <v>21</v>
      </c>
      <c r="S1" s="275">
        <f t="shared" si="0"/>
        <v>23</v>
      </c>
      <c r="T1" s="275">
        <f t="shared" si="0"/>
        <v>32</v>
      </c>
      <c r="U1" s="275">
        <f t="shared" si="0"/>
        <v>26</v>
      </c>
      <c r="V1" s="275">
        <f t="shared" si="0"/>
        <v>30</v>
      </c>
      <c r="W1" s="275">
        <f t="shared" si="0"/>
        <v>32</v>
      </c>
      <c r="X1" s="275">
        <f t="shared" si="0"/>
        <v>47</v>
      </c>
      <c r="Y1" s="275">
        <f t="shared" si="0"/>
        <v>25</v>
      </c>
      <c r="Z1" s="275">
        <f t="shared" si="0"/>
        <v>45</v>
      </c>
      <c r="AA1" s="275">
        <f t="shared" si="0"/>
        <v>29</v>
      </c>
      <c r="AB1" s="275">
        <f t="shared" si="0"/>
        <v>23</v>
      </c>
      <c r="AC1" s="275">
        <f t="shared" si="0"/>
        <v>57</v>
      </c>
      <c r="AD1" s="275">
        <f t="shared" si="0"/>
        <v>34</v>
      </c>
      <c r="AE1" s="275">
        <f t="shared" si="0"/>
        <v>57</v>
      </c>
      <c r="AF1" s="275">
        <f t="shared" si="0"/>
        <v>33</v>
      </c>
      <c r="AG1" s="275">
        <f t="shared" si="0"/>
        <v>44</v>
      </c>
      <c r="AH1" s="275">
        <f t="shared" si="0"/>
        <v>57</v>
      </c>
    </row>
    <row r="2" spans="1:34" ht="21.5" thickBot="1" x14ac:dyDescent="0.4">
      <c r="P2" s="276" t="str">
        <f>LEFT("\reference_"&amp;SUBSTITUTE(SUBSTITUTE(SUBSTITUTE(SUBSTITUTE(SUBSTITUTE(SUBSTITUTE(SUBSTITUTE(SUBSTITUTE(SUBSTITUTE(SUBSTITUTE(SUBSTITUTE(SUBSTITUTE(SUBSTITUTE(SUBSTITUTE(MID(Language!A2,SEARCH(". ",Language!A2)+2,100),"&amp;",""),".","")," ","_"),"ä","ae"),"ü","ue"),"ö","oe"),"(",""),")",""),"/","_"),"-",""),",",""),"?",""),"___","_"),"__","_"),57)</f>
        <v>\reference_Allgemeine_Gebrauchsgueter</v>
      </c>
      <c r="Q2" s="276" t="str">
        <f>LEFT("\reference_"&amp;SUBSTITUTE(SUBSTITUTE(SUBSTITUTE(SUBSTITUTE(SUBSTITUTE(SUBSTITUTE(SUBSTITUTE(SUBSTITUTE(SUBSTITUTE(SUBSTITUTE(SUBSTITUTE(SUBSTITUTE(SUBSTITUTE(SUBSTITUTE(MID(Language!B2,SEARCH(". ",Language!B2)+2,100),"&amp;",""),".","")," ","_"),"ä","ae"),"ü","ue"),"ö","oe"),"(",""),")",""),"/","_"),"-",""),",",""),"?",""),"___","_"),"__","_"),57)</f>
        <v>\reference_Andere_vegetabile_Gueter</v>
      </c>
      <c r="R2" s="276" t="str">
        <f>LEFT("\reference_"&amp;SUBSTITUTE(SUBSTITUTE(SUBSTITUTE(SUBSTITUTE(SUBSTITUTE(SUBSTITUTE(SUBSTITUTE(SUBSTITUTE(SUBSTITUTE(SUBSTITUTE(SUBSTITUTE(SUBSTITUTE(SUBSTITUTE(SUBSTITUTE(MID(Language!C2,SEARCH(". ",Language!C2)+2,100),"&amp;",""),".","")," ","_"),"ä","ae"),"ü","ue"),"ö","oe"),"(",""),")",""),"/","_"),"-",""),",",""),"?",""),"___","_"),"__","_"),57)</f>
        <v>\reference_Anlagenbau</v>
      </c>
      <c r="S2" s="276" t="str">
        <f>LEFT("\reference_"&amp;SUBSTITUTE(SUBSTITUTE(SUBSTITUTE(SUBSTITUTE(SUBSTITUTE(SUBSTITUTE(SUBSTITUTE(SUBSTITUTE(SUBSTITUTE(SUBSTITUTE(SUBSTITUTE(SUBSTITUTE(SUBSTITUTE(SUBSTITUTE(MID(Language!D2,SEARCH(". ",Language!D2)+2,100),"&amp;",""),".","")," ","_"),"ä","ae"),"ü","ue"),"ö","oe"),"(",""),")",""),"/","_"),"-",""),",",""),"?",""),"___","_"),"__","_"),57)</f>
        <v>\reference_Automobilbau</v>
      </c>
      <c r="T2" s="276" t="str">
        <f>LEFT("\reference_"&amp;SUBSTITUTE(SUBSTITUTE(SUBSTITUTE(SUBSTITUTE(SUBSTITUTE(SUBSTITUTE(SUBSTITUTE(SUBSTITUTE(SUBSTITUTE(SUBSTITUTE(SUBSTITUTE(SUBSTITUTE(SUBSTITUTE(SUBSTITUTE(MID(Language!E2,SEARCH(". ",Language!E2)+2,100),"&amp;",""),".","")," ","_"),"ä","ae"),"ü","ue"),"ö","oe"),"(",""),")",""),"/","_"),"-",""),",",""),"?",""),"___","_"),"__","_"),57)</f>
        <v>\reference_Baustoffe_Bauelemente</v>
      </c>
      <c r="U2" s="276" t="str">
        <f>LEFT("\reference_"&amp;SUBSTITUTE(SUBSTITUTE(SUBSTITUTE(SUBSTITUTE(SUBSTITUTE(SUBSTITUTE(SUBSTITUTE(SUBSTITUTE(SUBSTITUTE(SUBSTITUTE(SUBSTITUTE(SUBSTITUTE(SUBSTITUTE(SUBSTITUTE(MID(Language!F2,SEARCH(". ",Language!F2)+2,100),"&amp;",""),".","")," ","_"),"ä","ae"),"ü","ue"),"ö","oe"),"(",""),")",""),"/","_"),"-",""),",",""),"?",""),"___","_"),"__","_"),57)</f>
        <v>\reference_Bulkgueter_fest</v>
      </c>
      <c r="V2" s="276" t="str">
        <f>LEFT("\reference_"&amp;SUBSTITUTE(SUBSTITUTE(SUBSTITUTE(SUBSTITUTE(SUBSTITUTE(SUBSTITUTE(SUBSTITUTE(SUBSTITUTE(SUBSTITUTE(SUBSTITUTE(SUBSTITUTE(SUBSTITUTE(SUBSTITUTE(SUBSTITUTE(MID(Language!G2,SEARCH(". ",Language!G2)+2,100),"&amp;",""),".","")," ","_"),"ä","ae"),"ü","ue"),"ö","oe"),"(",""),")",""),"/","_"),"-",""),",",""),"?",""),"___","_"),"__","_"),57)</f>
        <v>\reference_Bulkgueter_fluessig</v>
      </c>
      <c r="W2" s="276" t="str">
        <f>LEFT("\reference_"&amp;SUBSTITUTE(SUBSTITUTE(SUBSTITUTE(SUBSTITUTE(SUBSTITUTE(SUBSTITUTE(SUBSTITUTE(SUBSTITUTE(SUBSTITUTE(SUBSTITUTE(SUBSTITUTE(SUBSTITUTE(SUBSTITUTE(SUBSTITUTE(MID(Language!H2,SEARCH(". ",Language!H2)+2,100),"&amp;",""),".","")," ","_"),"ä","ae"),"ü","ue"),"ö","oe"),"(",""),")",""),"/","_"),"-",""),",",""),"?",""),"___","_"),"__","_"),57)</f>
        <v>\reference_Bulkgueter_gasfoermig</v>
      </c>
      <c r="X2" s="276" t="str">
        <f>LEFT("\reference_"&amp;SUBSTITUTE(SUBSTITUTE(SUBSTITUTE(SUBSTITUTE(SUBSTITUTE(SUBSTITUTE(SUBSTITUTE(SUBSTITUTE(SUBSTITUTE(SUBSTITUTE(SUBSTITUTE(SUBSTITUTE(SUBSTITUTE(SUBSTITUTE(MID(Language!I2,SEARCH(". ",Language!I2)+2,100),"&amp;",""),".","")," ","_"),"ä","ae"),"ü","ue"),"ö","oe"),"(",""),")",""),"/","_"),"-",""),",",""),"?",""),"___","_"),"__","_"),57)</f>
        <v>\reference_Pharma_Medizin_Kosmetik_Lebensmittel</v>
      </c>
      <c r="Y2" s="276" t="str">
        <f>LEFT("\reference_"&amp;SUBSTITUTE(SUBSTITUTE(SUBSTITUTE(SUBSTITUTE(SUBSTITUTE(SUBSTITUTE(SUBSTITUTE(SUBSTITUTE(SUBSTITUTE(SUBSTITUTE(SUBSTITUTE(SUBSTITUTE(SUBSTITUTE(SUBSTITUTE(MID(Language!J2,SEARCH(". ",Language!J2)+2,100),"&amp;",""),".","")," ","_"),"ä","ae"),"ü","ue"),"ö","oe"),"(",""),")",""),"/","_"),"-",""),",",""),"?",""),"___","_"),"__","_"),57)</f>
        <v>\reference_Elektronik_EDV</v>
      </c>
      <c r="Z2" s="276" t="str">
        <f>LEFT("\reference_"&amp;SUBSTITUTE(SUBSTITUTE(SUBSTITUTE(SUBSTITUTE(SUBSTITUTE(SUBSTITUTE(SUBSTITUTE(SUBSTITUTE(SUBSTITUTE(SUBSTITUTE(SUBSTITUTE(SUBSTITUTE(SUBSTITUTE(SUBSTITUTE(MID(Language!K2,SEARCH(". ",Language!K2)+2,100),"&amp;",""),".","")," ","_"),"ä","ae"),"ü","ue"),"ö","oe"),"(",""),")",""),"/","_"),"-",""),",",""),"?",""),"___","_"),"__","_"),57)</f>
        <v>\reference_Elektrotechnik_Schaltschraenke_etc</v>
      </c>
      <c r="AA2" s="276" t="str">
        <f>LEFT("\reference_"&amp;SUBSTITUTE(SUBSTITUTE(SUBSTITUTE(SUBSTITUTE(SUBSTITUTE(SUBSTITUTE(SUBSTITUTE(SUBSTITUTE(SUBSTITUTE(SUBSTITUTE(SUBSTITUTE(SUBSTITUTE(SUBSTITUTE(SUBSTITUTE(MID(Language!L2,SEARCH(". ",Language!L2)+2,100),"&amp;",""),".","")," ","_"),"ä","ae"),"ü","ue"),"ö","oe"),"(",""),")",""),"/","_"),"-",""),",",""),"?",""),"___","_"),"__","_"),57)</f>
        <v>\reference_Feinmechanik_Optik</v>
      </c>
      <c r="AB2" s="276" t="str">
        <f>LEFT("\reference_"&amp;SUBSTITUTE(SUBSTITUTE(SUBSTITUTE(SUBSTITUTE(SUBSTITUTE(SUBSTITUTE(SUBSTITUTE(SUBSTITUTE(SUBSTITUTE(SUBSTITUTE(SUBSTITUTE(SUBSTITUTE(SUBSTITUTE(SUBSTITUTE(MID(Language!M2,SEARCH(". ",Language!M2)+2,100),"&amp;",""),".","")," ","_"),"ä","ae"),"ü","ue"),"ö","oe"),"(",""),")",""),"/","_"),"-",""),",",""),"?",""),"___","_"),"__","_"),57)</f>
        <v>\reference_Maschinenbau</v>
      </c>
      <c r="AC2" s="276" t="str">
        <f>LEFT("\reference_"&amp;SUBSTITUTE(SUBSTITUTE(SUBSTITUTE(SUBSTITUTE(SUBSTITUTE(SUBSTITUTE(SUBSTITUTE(SUBSTITUTE(SUBSTITUTE(SUBSTITUTE(SUBSTITUTE(SUBSTITUTE(SUBSTITUTE(SUBSTITUTE(MID(Language!N2,SEARCH(". ",Language!N2)+2,100),"&amp;",""),".","")," ","_"),"ä","ae"),"ü","ue"),"ö","oe"),"(",""),")",""),"/","_"),"-",""),",",""),"?",""),"___","_"),"__","_"),57)</f>
        <v>\reference_Militaerisches_Material_Wehrtechnik_Schusswaff</v>
      </c>
      <c r="AD2" s="276" t="str">
        <f>LEFT("\reference_"&amp;SUBSTITUTE(SUBSTITUTE(SUBSTITUTE(SUBSTITUTE(SUBSTITUTE(SUBSTITUTE(SUBSTITUTE(SUBSTITUTE(SUBSTITUTE(SUBSTITUTE(SUBSTITUTE(SUBSTITUTE(SUBSTITUTE(SUBSTITUTE(MID(Language!O2,SEARCH(". ",Language!O2)+2,100),"&amp;",""),".","")," ","_"),"ä","ae"),"ü","ue"),"ö","oe"),"(",""),")",""),"/","_"),"-",""),",",""),"?",""),"___","_"),"__","_"),57)</f>
        <v>\reference_Papier_Druckerzeugnisse</v>
      </c>
      <c r="AE2" s="276" t="str">
        <f>LEFT("\reference_"&amp;SUBSTITUTE(SUBSTITUTE(SUBSTITUTE(SUBSTITUTE(SUBSTITUTE(SUBSTITUTE(SUBSTITUTE(SUBSTITUTE(SUBSTITUTE(SUBSTITUTE(SUBSTITUTE(SUBSTITUTE(SUBSTITUTE(SUBSTITUTE(MID(Language!P2,SEARCH(". ",Language!P2)+2,100),"&amp;",""),".","")," ","_"),"ä","ae"),"ü","ue"),"ö","oe"),"(",""),")",""),"/","_"),"-",""),",",""),"?",""),"___","_"),"__","_"),57)</f>
        <v>\reference_Schiffs_Luft_Schienenbau_Fahrzeuge_excl_Automo</v>
      </c>
      <c r="AF2" s="276" t="str">
        <f>LEFT("\reference_"&amp;SUBSTITUTE(SUBSTITUTE(SUBSTITUTE(SUBSTITUTE(SUBSTITUTE(SUBSTITUTE(SUBSTITUTE(SUBSTITUTE(SUBSTITUTE(SUBSTITUTE(SUBSTITUTE(SUBSTITUTE(SUBSTITUTE(SUBSTITUTE(MID(Language!Q2,SEARCH(". ",Language!Q2)+2,100),"&amp;",""),".","")," ","_"),"ä","ae"),"ü","ue"),"ö","oe"),"(",""),")",""),"/","_"),"-",""),",",""),"?",""),"___","_"),"__","_"),57)</f>
        <v>\reference_Technische_Komponenten</v>
      </c>
      <c r="AG2" s="276" t="str">
        <f>LEFT("\reference_"&amp;SUBSTITUTE(SUBSTITUTE(SUBSTITUTE(SUBSTITUTE(SUBSTITUTE(SUBSTITUTE(SUBSTITUTE(SUBSTITUTE(SUBSTITUTE(SUBSTITUTE(SUBSTITUTE(SUBSTITUTE(SUBSTITUTE(SUBSTITUTE(MID(Language!R2,SEARCH(". ",Language!R2)+2,100),"&amp;",""),".","")," ","_"),"ä","ae"),"ü","ue"),"ö","oe"),"(",""),")",""),"/","_"),"-",""),",",""),"?",""),"___","_"),"__","_"),57)</f>
        <v>\reference_Textilien_Leder_Bekleidung_Schuhe</v>
      </c>
      <c r="AH2" s="276" t="str">
        <f>LEFT("\reference_"&amp;SUBSTITUTE(SUBSTITUTE(SUBSTITUTE(SUBSTITUTE(SUBSTITUTE(SUBSTITUTE(SUBSTITUTE(SUBSTITUTE(SUBSTITUTE(SUBSTITUTE(SUBSTITUTE(SUBSTITUTE(SUBSTITUTE(SUBSTITUTE(MID(Language!S2,SEARCH(". ",Language!S2)+2,100),"&amp;",""),".","")," ","_"),"ä","ae"),"ü","ue"),"ö","oe"),"(",""),")",""),"/","_"),"-",""),",",""),"?",""),"___","_"),"__","_"),57)</f>
        <v>\reference_Kabel_Seile_Seekabel_Tragseile_fuer_Bruecken_S</v>
      </c>
    </row>
    <row r="3" spans="1:34" s="277" customFormat="1" ht="40" thickTop="1" thickBot="1" x14ac:dyDescent="0.4">
      <c r="A3" s="41" t="s">
        <v>136</v>
      </c>
      <c r="B3" s="41" t="s">
        <v>137</v>
      </c>
      <c r="D3" s="41" t="s">
        <v>138</v>
      </c>
      <c r="E3" s="41" t="s">
        <v>137</v>
      </c>
      <c r="G3" s="41" t="s">
        <v>64</v>
      </c>
      <c r="I3" s="40" t="s">
        <v>139</v>
      </c>
      <c r="K3" s="278" t="s">
        <v>140</v>
      </c>
      <c r="M3" s="278" t="s">
        <v>141</v>
      </c>
      <c r="O3" s="384" t="s">
        <v>142</v>
      </c>
      <c r="P3" s="279" t="str" cm="1">
        <f t="array" aca="1" ref="P3:AH14" ca="1">IF( ISBLANK(OFFSET( \language_german, Language!D31, 0)), "", OFFSET( \language_german, Language!D31, 0) )</f>
        <v>1. General consumer goods</v>
      </c>
      <c r="Q3" s="280" t="str">
        <f ca="1"/>
        <v>2. Other vegetable goods</v>
      </c>
      <c r="R3" s="280" t="str">
        <f ca="1"/>
        <v>3. Plant construction</v>
      </c>
      <c r="S3" s="280" t="str">
        <f ca="1"/>
        <v>4. Automobile construction</v>
      </c>
      <c r="T3" s="280" t="str">
        <f ca="1"/>
        <v>5. Building materials / Building elements</v>
      </c>
      <c r="U3" s="280" t="str">
        <f ca="1"/>
        <v>6. Bulk goods, solid</v>
      </c>
      <c r="V3" s="280" t="str">
        <f ca="1"/>
        <v>7. Bulk goods, liquid</v>
      </c>
      <c r="W3" s="280" t="str">
        <f ca="1"/>
        <v>8. Bulk goods, gaseous</v>
      </c>
      <c r="X3" s="280" t="str">
        <f ca="1"/>
        <v>9. Pharma, medicine, cosmetics, food</v>
      </c>
      <c r="Y3" s="280" t="str">
        <f ca="1"/>
        <v>10. Electronics, EDP</v>
      </c>
      <c r="Z3" s="280" t="str">
        <f ca="1"/>
        <v>11. Electrical engineering (control cabinets, etc..)</v>
      </c>
      <c r="AA3" s="280" t="str">
        <f ca="1"/>
        <v>12. Precision mechanics, optics</v>
      </c>
      <c r="AB3" s="280" t="str">
        <f ca="1"/>
        <v>13. mechanical engineering</v>
      </c>
      <c r="AC3" s="280" t="str">
        <f ca="1"/>
        <v>14. Military material / military technology / firearms</v>
      </c>
      <c r="AD3" s="280" t="str">
        <f ca="1"/>
        <v>15. paper, printed products</v>
      </c>
      <c r="AE3" s="280" t="str">
        <f ca="1"/>
        <v>16. shipbuilding, aircraft, rail (vehicles excl. automotive)</v>
      </c>
      <c r="AF3" s="280" t="str">
        <f ca="1"/>
        <v>17. technical components</v>
      </c>
      <c r="AG3" s="280" t="str">
        <f ca="1"/>
        <v>18. textiles, leather, clothing, footwear</v>
      </c>
      <c r="AH3" s="281" t="str">
        <f ca="1"/>
        <v>19. cables &amp; ropes (submarine cables, suspension cables for bridges, tension cables)</v>
      </c>
    </row>
    <row r="4" spans="1:34" ht="14" thickTop="1" thickBot="1" x14ac:dyDescent="0.4">
      <c r="A4" s="282" t="s">
        <v>58</v>
      </c>
      <c r="B4" s="306" t="s">
        <v>143</v>
      </c>
      <c r="D4" s="383" t="s">
        <v>144</v>
      </c>
      <c r="E4" s="303" t="s">
        <v>145</v>
      </c>
      <c r="G4" s="306" t="s">
        <v>146</v>
      </c>
      <c r="I4" s="306" t="s">
        <v>147</v>
      </c>
      <c r="K4" s="308" t="s">
        <v>148</v>
      </c>
      <c r="M4" s="309" t="s">
        <v>95</v>
      </c>
      <c r="O4" s="384" t="s">
        <v>149</v>
      </c>
      <c r="P4" s="283" t="str">
        <f ca="1"/>
        <v/>
      </c>
      <c r="Q4" s="284" t="str">
        <f ca="1"/>
        <v/>
      </c>
      <c r="R4" s="285" t="str">
        <f ca="1"/>
        <v>Project - containerized</v>
      </c>
      <c r="S4" s="285" t="str">
        <f ca="1"/>
        <v>Vehicles - car combustion</v>
      </c>
      <c r="T4" s="285" t="str">
        <f ca="1"/>
        <v>Organic</v>
      </c>
      <c r="U4" s="286" t="str">
        <f ca="1"/>
        <v>Loose goods (excl. chemical products) - containerized</v>
      </c>
      <c r="V4" s="287" t="str">
        <f ca="1"/>
        <v>Food (excl. fats and oils)</v>
      </c>
      <c r="W4" s="287" t="str">
        <f ca="1"/>
        <v>Containerized or smaller cargo units</v>
      </c>
      <c r="X4" s="287" t="str">
        <f ca="1"/>
        <v>Pharmaceutical products</v>
      </c>
      <c r="Y4" s="287" t="str">
        <f ca="1"/>
        <v>Brown goods (e.g. entertainment technology)</v>
      </c>
      <c r="Z4" s="287" t="str">
        <f ca="1"/>
        <v>Power equipment (switchboards, photovoltaics, etc.)</v>
      </c>
      <c r="AA4" s="287" t="str">
        <f ca="1"/>
        <v>Lenses and lens systems</v>
      </c>
      <c r="AB4" s="288" t="str">
        <f ca="1"/>
        <v/>
      </c>
      <c r="AC4" s="287" t="str">
        <f ca="1"/>
        <v>Vehicles (water, land, air)</v>
      </c>
      <c r="AD4" s="288" t="str">
        <f ca="1"/>
        <v/>
      </c>
      <c r="AE4" s="288" t="str">
        <f ca="1"/>
        <v/>
      </c>
      <c r="AF4" s="288" t="str">
        <f ca="1"/>
        <v/>
      </c>
      <c r="AG4" s="288" t="str">
        <f ca="1"/>
        <v/>
      </c>
      <c r="AH4" s="288" t="str">
        <f ca="1"/>
        <v/>
      </c>
    </row>
    <row r="5" spans="1:34" ht="14" thickTop="1" thickBot="1" x14ac:dyDescent="0.4">
      <c r="A5" s="289" t="s">
        <v>225</v>
      </c>
      <c r="B5" s="307" t="s">
        <v>226</v>
      </c>
      <c r="D5" s="383" t="s">
        <v>144</v>
      </c>
      <c r="E5" s="304" t="s">
        <v>152</v>
      </c>
      <c r="G5" s="307" t="s">
        <v>153</v>
      </c>
      <c r="I5" s="307" t="s">
        <v>154</v>
      </c>
      <c r="M5" s="310" t="s">
        <v>155</v>
      </c>
      <c r="P5" s="273" t="str">
        <f ca="1"/>
        <v/>
      </c>
      <c r="Q5" s="273" t="str">
        <f ca="1"/>
        <v/>
      </c>
      <c r="R5" s="290" t="str">
        <f ca="1"/>
        <v>Project - non-containerized</v>
      </c>
      <c r="S5" s="290" t="str">
        <f ca="1"/>
        <v>Vehicles - car electric</v>
      </c>
      <c r="T5" s="290" t="str">
        <f ca="1"/>
        <v>Inorganic - mined</v>
      </c>
      <c r="U5" s="291" t="str">
        <f ca="1"/>
        <v>Loose goods (excl. chemical products) - non-containerized</v>
      </c>
      <c r="V5" s="292" t="str">
        <f ca="1"/>
        <v>Fats and oils (vegetable or animal origin)</v>
      </c>
      <c r="W5" s="293" t="str">
        <f ca="1"/>
        <v>Non-containerized or larger cargo units</v>
      </c>
      <c r="X5" s="291" t="str">
        <f ca="1"/>
        <v>Medical Devices</v>
      </c>
      <c r="Y5" s="293" t="str">
        <f ca="1"/>
        <v>White goods (e.g. household appliances)</v>
      </c>
      <c r="Z5" s="293" t="str">
        <f ca="1"/>
        <v>Motion technology (generators, electric motors, etc.)</v>
      </c>
      <c r="AA5" s="292" t="str">
        <f ca="1"/>
        <v>Measuring systems mechanical</v>
      </c>
      <c r="AB5" s="273" t="str">
        <f ca="1"/>
        <v/>
      </c>
      <c r="AC5" s="291" t="str">
        <f ca="1"/>
        <v>Equipment</v>
      </c>
      <c r="AD5" s="273" t="str">
        <f ca="1"/>
        <v/>
      </c>
      <c r="AE5" s="273" t="str">
        <f ca="1"/>
        <v/>
      </c>
      <c r="AF5" s="273" t="str">
        <f ca="1"/>
        <v/>
      </c>
      <c r="AG5" s="273" t="str">
        <f ca="1"/>
        <v/>
      </c>
      <c r="AH5" s="273" t="str">
        <f ca="1"/>
        <v/>
      </c>
    </row>
    <row r="6" spans="1:34" ht="14" thickTop="1" thickBot="1" x14ac:dyDescent="0.4">
      <c r="A6" s="289" t="s">
        <v>335</v>
      </c>
      <c r="B6" s="307" t="s">
        <v>336</v>
      </c>
      <c r="D6" s="383" t="s">
        <v>144</v>
      </c>
      <c r="E6" s="304" t="s">
        <v>158</v>
      </c>
      <c r="G6" s="307" t="s">
        <v>159</v>
      </c>
      <c r="I6" s="307" t="s">
        <v>160</v>
      </c>
      <c r="K6" s="278" t="s">
        <v>161</v>
      </c>
      <c r="O6" s="294" t="s">
        <v>162</v>
      </c>
      <c r="P6" s="273" t="str">
        <f ca="1"/>
        <v/>
      </c>
      <c r="Q6" s="273" t="str">
        <f ca="1"/>
        <v/>
      </c>
      <c r="R6" s="290" t="str">
        <f ca="1"/>
        <v>Serial / mass production - containerized</v>
      </c>
      <c r="S6" s="290" t="str">
        <f ca="1"/>
        <v>Vehicles - truck combustion</v>
      </c>
      <c r="T6" s="290" t="str">
        <f ca="1"/>
        <v>Inorganic - produced</v>
      </c>
      <c r="U6" s="291" t="str">
        <f ca="1"/>
        <v>Unit loads (e.g. semi-finished steel products, sheet metal)</v>
      </c>
      <c r="V6" s="292" t="str">
        <f ca="1"/>
        <v>Petrochemical products</v>
      </c>
      <c r="W6" s="273" t="str">
        <f ca="1"/>
        <v/>
      </c>
      <c r="X6" s="291" t="str">
        <f ca="1"/>
        <v>Cosmetics</v>
      </c>
      <c r="Y6" s="273" t="str">
        <f ca="1"/>
        <v/>
      </c>
      <c r="Z6" s="273" t="str">
        <f ca="1"/>
        <v/>
      </c>
      <c r="AA6" s="295" t="str">
        <f ca="1"/>
        <v>Measuring systems electronically (e.g. GPS technology, satellites)</v>
      </c>
      <c r="AB6" s="273" t="str">
        <f ca="1"/>
        <v/>
      </c>
      <c r="AC6" s="295" t="str">
        <f ca="1"/>
        <v>Ammunition</v>
      </c>
      <c r="AD6" s="273" t="str">
        <f ca="1"/>
        <v/>
      </c>
      <c r="AE6" s="273" t="str">
        <f ca="1"/>
        <v/>
      </c>
      <c r="AF6" s="273" t="str">
        <f ca="1"/>
        <v/>
      </c>
      <c r="AG6" s="273" t="str">
        <f ca="1"/>
        <v/>
      </c>
      <c r="AH6" s="273" t="str">
        <f ca="1"/>
        <v/>
      </c>
    </row>
    <row r="7" spans="1:34" ht="14" thickTop="1" thickBot="1" x14ac:dyDescent="0.4">
      <c r="A7" s="289" t="s">
        <v>163</v>
      </c>
      <c r="B7" s="307" t="s">
        <v>164</v>
      </c>
      <c r="D7" s="383" t="s">
        <v>165</v>
      </c>
      <c r="E7" s="304" t="s">
        <v>166</v>
      </c>
      <c r="G7" s="307" t="s">
        <v>167</v>
      </c>
      <c r="I7" s="307" t="s">
        <v>168</v>
      </c>
      <c r="K7" s="306" t="s">
        <v>148</v>
      </c>
      <c r="M7" s="40" t="s">
        <v>6</v>
      </c>
      <c r="O7" s="296" t="str" cm="1">
        <f t="array" aca="1" ref="O7:O9" ca="1">IF(\language_typeofgoods_ClassAll_backend="", "", LEFT("\reference_"&amp;SUBSTITUTE(SUBSTITUTE(SUBSTITUTE(SUBSTITUTE(SUBSTITUTE(SUBSTITUTE(SUBSTITUTE(SUBSTITUTE(SUBSTITUTE(SUBSTITUTE(SUBSTITUTE(SUBSTITUTE(SUBSTITUTE(SUBSTITUTE(MID(\language_typeofgoods_ClassAll_backend, SEARCH(". ",\language_typeofgoods_ClassAll_backend)+2,100),"&amp;",""),".","")," ","_"),"ä","ae"),"ü","ue"),"ö","oe"),"(",""),")",""),"/","_"),"-",""),",",""),"?",""),"___","_"),"__","_"),57))</f>
        <v>\reference_Baustoffe_Bauelemente</v>
      </c>
      <c r="P7" s="273" t="str">
        <f ca="1"/>
        <v/>
      </c>
      <c r="Q7" s="273" t="str">
        <f ca="1"/>
        <v/>
      </c>
      <c r="R7" s="297" t="str">
        <f ca="1"/>
        <v>Serial / mass production - non-containerized</v>
      </c>
      <c r="S7" s="290" t="str">
        <f ca="1"/>
        <v>Vehicles - truck electric</v>
      </c>
      <c r="T7" s="297" t="str">
        <f ca="1"/>
        <v>Glass elements</v>
      </c>
      <c r="U7" s="291" t="str">
        <f ca="1"/>
        <v>Chemical products - containerized</v>
      </c>
      <c r="V7" s="293" t="str">
        <f ca="1"/>
        <v>Chemical products (excl. petrochemicals)</v>
      </c>
      <c r="W7" s="273" t="str">
        <f ca="1"/>
        <v/>
      </c>
      <c r="X7" s="291" t="str">
        <f ca="1"/>
        <v>Therapeutic products</v>
      </c>
      <c r="Y7" s="273" t="str">
        <f ca="1"/>
        <v/>
      </c>
      <c r="Z7" s="273" t="str">
        <f ca="1"/>
        <v/>
      </c>
      <c r="AA7" s="273" t="str">
        <f ca="1"/>
        <v/>
      </c>
      <c r="AB7" s="273" t="str">
        <f ca="1"/>
        <v/>
      </c>
      <c r="AC7" s="273" t="str">
        <f ca="1"/>
        <v/>
      </c>
      <c r="AD7" s="273" t="str">
        <f ca="1"/>
        <v/>
      </c>
      <c r="AE7" s="273" t="str">
        <f ca="1"/>
        <v/>
      </c>
      <c r="AF7" s="273" t="str">
        <f ca="1"/>
        <v/>
      </c>
      <c r="AG7" s="273" t="str">
        <f ca="1"/>
        <v/>
      </c>
      <c r="AH7" s="273" t="str">
        <f ca="1"/>
        <v/>
      </c>
    </row>
    <row r="8" spans="1:34" ht="14" thickTop="1" thickBot="1" x14ac:dyDescent="0.4">
      <c r="A8" s="289" t="s">
        <v>398</v>
      </c>
      <c r="B8" s="307" t="s">
        <v>399</v>
      </c>
      <c r="D8" s="383" t="s">
        <v>165</v>
      </c>
      <c r="E8" s="304" t="s">
        <v>171</v>
      </c>
      <c r="G8" s="307" t="s">
        <v>172</v>
      </c>
      <c r="I8" s="307" t="s">
        <v>173</v>
      </c>
      <c r="K8" s="308" t="s">
        <v>174</v>
      </c>
      <c r="M8" s="306" t="s">
        <v>175</v>
      </c>
      <c r="O8" s="296" t="str">
        <f ca="1"/>
        <v/>
      </c>
      <c r="P8" s="273" t="str">
        <f ca="1"/>
        <v/>
      </c>
      <c r="Q8" s="273" t="str">
        <f ca="1"/>
        <v/>
      </c>
      <c r="R8" s="273" t="str">
        <f ca="1"/>
        <v/>
      </c>
      <c r="S8" s="291" t="str">
        <f ca="1"/>
        <v>Vehicles - camping combustion</v>
      </c>
      <c r="T8" s="273" t="str">
        <f ca="1"/>
        <v/>
      </c>
      <c r="U8" s="295" t="str">
        <f ca="1"/>
        <v>Chemical products - non-containerized</v>
      </c>
      <c r="V8" s="273" t="str">
        <f ca="1"/>
        <v/>
      </c>
      <c r="W8" s="273" t="str">
        <f ca="1"/>
        <v/>
      </c>
      <c r="X8" s="295" t="str">
        <f ca="1"/>
        <v>Food and beverages (ready for sale)</v>
      </c>
      <c r="Y8" s="273" t="str">
        <f ca="1"/>
        <v/>
      </c>
      <c r="Z8" s="273" t="str">
        <f ca="1"/>
        <v/>
      </c>
      <c r="AA8" s="273" t="str">
        <f ca="1"/>
        <v/>
      </c>
      <c r="AB8" s="273" t="str">
        <f ca="1"/>
        <v/>
      </c>
      <c r="AC8" s="273" t="str">
        <f ca="1"/>
        <v/>
      </c>
      <c r="AD8" s="273" t="str">
        <f ca="1"/>
        <v/>
      </c>
      <c r="AE8" s="273" t="str">
        <f ca="1"/>
        <v/>
      </c>
      <c r="AF8" s="273" t="str">
        <f ca="1"/>
        <v/>
      </c>
      <c r="AG8" s="273" t="str">
        <f ca="1"/>
        <v/>
      </c>
      <c r="AH8" s="273" t="str">
        <f ca="1"/>
        <v/>
      </c>
    </row>
    <row r="9" spans="1:34" ht="14" thickTop="1" thickBot="1" x14ac:dyDescent="0.4">
      <c r="A9" s="289" t="s">
        <v>156</v>
      </c>
      <c r="B9" s="307" t="s">
        <v>157</v>
      </c>
      <c r="D9" s="383" t="s">
        <v>165</v>
      </c>
      <c r="E9" s="304" t="s">
        <v>178</v>
      </c>
      <c r="G9" s="307" t="s">
        <v>179</v>
      </c>
      <c r="I9" s="307" t="s">
        <v>180</v>
      </c>
      <c r="M9" s="307" t="s">
        <v>181</v>
      </c>
      <c r="O9" s="296" t="str">
        <f ca="1"/>
        <v/>
      </c>
      <c r="P9" s="273" t="str">
        <f ca="1"/>
        <v/>
      </c>
      <c r="Q9" s="273" t="str">
        <f ca="1"/>
        <v/>
      </c>
      <c r="R9" s="273" t="str">
        <f ca="1"/>
        <v/>
      </c>
      <c r="S9" s="291" t="str">
        <f ca="1"/>
        <v>Vehicles - camping electric</v>
      </c>
      <c r="T9" s="273" t="str">
        <f ca="1"/>
        <v/>
      </c>
      <c r="U9" s="273" t="str">
        <f ca="1"/>
        <v/>
      </c>
      <c r="V9" s="273" t="str">
        <f ca="1"/>
        <v/>
      </c>
      <c r="W9" s="273" t="str">
        <f ca="1"/>
        <v/>
      </c>
      <c r="X9" s="273" t="str">
        <f ca="1"/>
        <v/>
      </c>
      <c r="Y9" s="273" t="str">
        <f ca="1"/>
        <v/>
      </c>
      <c r="Z9" s="273" t="str">
        <f ca="1"/>
        <v/>
      </c>
      <c r="AA9" s="273" t="str">
        <f ca="1"/>
        <v/>
      </c>
      <c r="AB9" s="273" t="str">
        <f ca="1"/>
        <v/>
      </c>
      <c r="AC9" s="273" t="str">
        <f ca="1"/>
        <v/>
      </c>
      <c r="AD9" s="273" t="str">
        <f ca="1"/>
        <v/>
      </c>
      <c r="AE9" s="273" t="str">
        <f ca="1"/>
        <v/>
      </c>
      <c r="AF9" s="273" t="str">
        <f ca="1"/>
        <v/>
      </c>
      <c r="AG9" s="273" t="str">
        <f ca="1"/>
        <v/>
      </c>
      <c r="AH9" s="273" t="str">
        <f ca="1"/>
        <v/>
      </c>
    </row>
    <row r="10" spans="1:34" ht="14" thickTop="1" thickBot="1" x14ac:dyDescent="0.4">
      <c r="A10" s="289" t="s">
        <v>481</v>
      </c>
      <c r="B10" s="307" t="s">
        <v>482</v>
      </c>
      <c r="D10" s="383" t="s">
        <v>165</v>
      </c>
      <c r="E10" s="304" t="s">
        <v>184</v>
      </c>
      <c r="G10" s="307" t="s">
        <v>185</v>
      </c>
      <c r="I10" s="307" t="s">
        <v>154</v>
      </c>
      <c r="K10" s="40" t="s">
        <v>186</v>
      </c>
      <c r="M10" s="308" t="s">
        <v>187</v>
      </c>
      <c r="P10" s="273" t="str">
        <f ca="1"/>
        <v/>
      </c>
      <c r="Q10" s="273" t="str">
        <f ca="1"/>
        <v/>
      </c>
      <c r="R10" s="273" t="str">
        <f ca="1"/>
        <v/>
      </c>
      <c r="S10" s="291" t="str">
        <f ca="1"/>
        <v>Vehicles - motorcycles combustion</v>
      </c>
      <c r="T10" s="273" t="str">
        <f ca="1"/>
        <v/>
      </c>
      <c r="U10" s="273" t="str">
        <f ca="1"/>
        <v/>
      </c>
      <c r="V10" s="273" t="str">
        <f ca="1"/>
        <v/>
      </c>
      <c r="W10" s="273" t="str">
        <f ca="1"/>
        <v/>
      </c>
      <c r="X10" s="273" t="str">
        <f ca="1"/>
        <v/>
      </c>
      <c r="Y10" s="273" t="str">
        <f ca="1"/>
        <v/>
      </c>
      <c r="Z10" s="273" t="str">
        <f ca="1"/>
        <v/>
      </c>
      <c r="AA10" s="273" t="str">
        <f ca="1"/>
        <v/>
      </c>
      <c r="AB10" s="273" t="str">
        <f ca="1"/>
        <v/>
      </c>
      <c r="AC10" s="273" t="str">
        <f ca="1"/>
        <v/>
      </c>
      <c r="AD10" s="273" t="str">
        <f ca="1"/>
        <v/>
      </c>
      <c r="AE10" s="273" t="str">
        <f ca="1"/>
        <v/>
      </c>
      <c r="AF10" s="273" t="str">
        <f ca="1"/>
        <v/>
      </c>
      <c r="AG10" s="273" t="str">
        <f ca="1"/>
        <v/>
      </c>
      <c r="AH10" s="273" t="str">
        <f ca="1"/>
        <v/>
      </c>
    </row>
    <row r="11" spans="1:34" ht="14" thickTop="1" thickBot="1" x14ac:dyDescent="0.4">
      <c r="A11" s="289" t="s">
        <v>169</v>
      </c>
      <c r="B11" s="307" t="s">
        <v>170</v>
      </c>
      <c r="D11" s="383" t="s">
        <v>165</v>
      </c>
      <c r="E11" s="304" t="s">
        <v>190</v>
      </c>
      <c r="G11" s="307" t="s">
        <v>160</v>
      </c>
      <c r="I11" s="307" t="s">
        <v>146</v>
      </c>
      <c r="K11" s="306" t="s">
        <v>191</v>
      </c>
      <c r="O11" s="40" t="s">
        <v>192</v>
      </c>
      <c r="P11" s="273" t="str">
        <f ca="1"/>
        <v/>
      </c>
      <c r="Q11" s="273" t="str">
        <f ca="1"/>
        <v/>
      </c>
      <c r="R11" s="273" t="str">
        <f ca="1"/>
        <v/>
      </c>
      <c r="S11" s="291" t="str">
        <f ca="1"/>
        <v>Vehicles - motorcycles electric</v>
      </c>
      <c r="T11" s="273" t="str">
        <f ca="1"/>
        <v/>
      </c>
      <c r="U11" s="273" t="str">
        <f ca="1"/>
        <v/>
      </c>
      <c r="V11" s="273" t="str">
        <f ca="1"/>
        <v/>
      </c>
      <c r="W11" s="273" t="str">
        <f ca="1"/>
        <v/>
      </c>
      <c r="X11" s="273" t="str">
        <f ca="1"/>
        <v/>
      </c>
      <c r="Y11" s="273" t="str">
        <f ca="1"/>
        <v/>
      </c>
      <c r="Z11" s="273" t="str">
        <f ca="1"/>
        <v/>
      </c>
      <c r="AA11" s="273" t="str">
        <f ca="1"/>
        <v/>
      </c>
      <c r="AB11" s="273" t="str">
        <f ca="1"/>
        <v/>
      </c>
      <c r="AC11" s="273" t="str">
        <f ca="1"/>
        <v/>
      </c>
      <c r="AD11" s="273" t="str">
        <f ca="1"/>
        <v/>
      </c>
      <c r="AE11" s="273" t="str">
        <f ca="1"/>
        <v/>
      </c>
      <c r="AF11" s="273" t="str">
        <f ca="1"/>
        <v/>
      </c>
      <c r="AG11" s="273" t="str">
        <f ca="1"/>
        <v/>
      </c>
      <c r="AH11" s="273" t="str">
        <f ca="1"/>
        <v/>
      </c>
    </row>
    <row r="12" spans="1:34" ht="14" thickTop="1" thickBot="1" x14ac:dyDescent="0.4">
      <c r="A12" s="289" t="s">
        <v>628</v>
      </c>
      <c r="B12" s="307" t="s">
        <v>629</v>
      </c>
      <c r="D12" s="383" t="s">
        <v>195</v>
      </c>
      <c r="E12" s="304" t="s">
        <v>196</v>
      </c>
      <c r="G12" s="307" t="s">
        <v>197</v>
      </c>
      <c r="I12" s="307" t="s">
        <v>198</v>
      </c>
      <c r="K12" s="307" t="s">
        <v>199</v>
      </c>
      <c r="M12" s="278" t="s">
        <v>33</v>
      </c>
      <c r="O12" s="299" t="str" cm="1">
        <f t="array" aca="1" ref="O12:O14" ca="1">IF(\language_typeofgoods_SClassAll_backend&lt;&gt;"", \language_typeofgoods_SClassAll_backend,IF(\language_typeofgoods_ClassAll_backend="","",
IF(HLOOKUP(\language_typeofgoods_ClassAll_backend,SubClass_Gesamtliste,2,0)="",\language_typeofgoods_ClassAll_backend,"X")))</f>
        <v>Organische</v>
      </c>
      <c r="P12" s="273" t="str">
        <f ca="1"/>
        <v/>
      </c>
      <c r="Q12" s="273" t="str">
        <f ca="1"/>
        <v/>
      </c>
      <c r="R12" s="273" t="str">
        <f ca="1"/>
        <v/>
      </c>
      <c r="S12" s="291" t="str">
        <f ca="1"/>
        <v>Antique car</v>
      </c>
      <c r="T12" s="273" t="str">
        <f ca="1"/>
        <v/>
      </c>
      <c r="U12" s="273" t="str">
        <f ca="1"/>
        <v/>
      </c>
      <c r="V12" s="273" t="str">
        <f ca="1"/>
        <v/>
      </c>
      <c r="W12" s="273" t="str">
        <f ca="1"/>
        <v/>
      </c>
      <c r="X12" s="273" t="str">
        <f ca="1"/>
        <v/>
      </c>
      <c r="Y12" s="273" t="str">
        <f ca="1"/>
        <v/>
      </c>
      <c r="Z12" s="273" t="str">
        <f ca="1"/>
        <v/>
      </c>
      <c r="AA12" s="273" t="str">
        <f ca="1"/>
        <v/>
      </c>
      <c r="AB12" s="273" t="str">
        <f ca="1"/>
        <v/>
      </c>
      <c r="AC12" s="273" t="str">
        <f ca="1"/>
        <v/>
      </c>
      <c r="AD12" s="273" t="str">
        <f ca="1"/>
        <v/>
      </c>
      <c r="AE12" s="273" t="str">
        <f ca="1"/>
        <v/>
      </c>
      <c r="AF12" s="273" t="str">
        <f ca="1"/>
        <v/>
      </c>
      <c r="AG12" s="273" t="str">
        <f ca="1"/>
        <v/>
      </c>
      <c r="AH12" s="273" t="str">
        <f ca="1"/>
        <v/>
      </c>
    </row>
    <row r="13" spans="1:34" ht="13.5" thickTop="1" x14ac:dyDescent="0.35">
      <c r="A13" s="289" t="s">
        <v>695</v>
      </c>
      <c r="B13" s="307" t="s">
        <v>696</v>
      </c>
      <c r="D13" s="383" t="s">
        <v>195</v>
      </c>
      <c r="E13" s="304" t="s">
        <v>202</v>
      </c>
      <c r="G13" s="307" t="s">
        <v>203</v>
      </c>
      <c r="I13" s="307" t="s">
        <v>204</v>
      </c>
      <c r="K13" s="307" t="s">
        <v>205</v>
      </c>
      <c r="M13" s="311" t="s">
        <v>206</v>
      </c>
      <c r="O13" s="300" t="str">
        <f ca="1"/>
        <v/>
      </c>
      <c r="P13" s="273" t="str">
        <f ca="1"/>
        <v/>
      </c>
      <c r="Q13" s="273" t="str">
        <f ca="1"/>
        <v/>
      </c>
      <c r="R13" s="273" t="str">
        <f ca="1"/>
        <v/>
      </c>
      <c r="S13" s="291" t="str">
        <f ca="1"/>
        <v>Supply industry - non-electronics</v>
      </c>
      <c r="T13" s="273" t="str">
        <f ca="1"/>
        <v/>
      </c>
      <c r="U13" s="273" t="str">
        <f ca="1"/>
        <v/>
      </c>
      <c r="V13" s="273" t="str">
        <f ca="1"/>
        <v/>
      </c>
      <c r="W13" s="273" t="str">
        <f ca="1"/>
        <v/>
      </c>
      <c r="X13" s="273" t="str">
        <f ca="1"/>
        <v/>
      </c>
      <c r="Y13" s="273" t="str">
        <f ca="1"/>
        <v/>
      </c>
      <c r="Z13" s="273" t="str">
        <f ca="1"/>
        <v/>
      </c>
      <c r="AA13" s="273" t="str">
        <f ca="1"/>
        <v/>
      </c>
      <c r="AB13" s="273" t="str">
        <f ca="1"/>
        <v/>
      </c>
      <c r="AC13" s="273" t="str">
        <f ca="1"/>
        <v/>
      </c>
      <c r="AD13" s="273" t="str">
        <f ca="1"/>
        <v/>
      </c>
      <c r="AE13" s="273" t="str">
        <f ca="1"/>
        <v/>
      </c>
      <c r="AF13" s="273" t="str">
        <f ca="1"/>
        <v/>
      </c>
      <c r="AG13" s="273" t="str">
        <f ca="1"/>
        <v/>
      </c>
      <c r="AH13" s="273" t="str">
        <f ca="1"/>
        <v/>
      </c>
    </row>
    <row r="14" spans="1:34" ht="13.5" thickBot="1" x14ac:dyDescent="0.4">
      <c r="A14" s="289" t="s">
        <v>698</v>
      </c>
      <c r="B14" s="307" t="s">
        <v>699</v>
      </c>
      <c r="D14" s="383" t="s">
        <v>195</v>
      </c>
      <c r="E14" s="304" t="s">
        <v>209</v>
      </c>
      <c r="G14" s="307" t="s">
        <v>210</v>
      </c>
      <c r="I14" s="307" t="s">
        <v>211</v>
      </c>
      <c r="K14" s="308" t="s">
        <v>212</v>
      </c>
      <c r="M14" s="312" t="s">
        <v>213</v>
      </c>
      <c r="O14" s="301" t="str">
        <f ca="1"/>
        <v/>
      </c>
      <c r="P14" s="273" t="str">
        <f ca="1"/>
        <v/>
      </c>
      <c r="Q14" s="273" t="str">
        <f ca="1"/>
        <v/>
      </c>
      <c r="R14" s="273" t="str">
        <f ca="1"/>
        <v/>
      </c>
      <c r="S14" s="295" t="str">
        <f ca="1"/>
        <v>Supply industry - electronics</v>
      </c>
      <c r="T14" s="273" t="str">
        <f ca="1"/>
        <v/>
      </c>
      <c r="U14" s="273" t="str">
        <f ca="1"/>
        <v/>
      </c>
      <c r="V14" s="273" t="str">
        <f ca="1"/>
        <v/>
      </c>
      <c r="W14" s="273" t="str">
        <f ca="1"/>
        <v/>
      </c>
      <c r="X14" s="273" t="str">
        <f ca="1"/>
        <v/>
      </c>
      <c r="Y14" s="273" t="str">
        <f ca="1"/>
        <v/>
      </c>
      <c r="Z14" s="273" t="str">
        <f ca="1"/>
        <v/>
      </c>
      <c r="AA14" s="273" t="str">
        <f ca="1"/>
        <v/>
      </c>
      <c r="AB14" s="273" t="str">
        <f ca="1"/>
        <v/>
      </c>
      <c r="AC14" s="273" t="str">
        <f ca="1"/>
        <v/>
      </c>
      <c r="AD14" s="273" t="str">
        <f ca="1"/>
        <v/>
      </c>
      <c r="AE14" s="273" t="str">
        <f ca="1"/>
        <v/>
      </c>
      <c r="AF14" s="273" t="str">
        <f ca="1"/>
        <v/>
      </c>
      <c r="AG14" s="273" t="str">
        <f ca="1"/>
        <v/>
      </c>
      <c r="AH14" s="273" t="str">
        <f ca="1"/>
        <v/>
      </c>
    </row>
    <row r="15" spans="1:34" ht="14" thickTop="1" thickBot="1" x14ac:dyDescent="0.4">
      <c r="A15" s="289" t="s">
        <v>150</v>
      </c>
      <c r="B15" s="307" t="s">
        <v>151</v>
      </c>
      <c r="D15" s="383" t="s">
        <v>195</v>
      </c>
      <c r="E15" s="304" t="s">
        <v>216</v>
      </c>
      <c r="G15" s="307" t="s">
        <v>204</v>
      </c>
      <c r="I15" s="307" t="s">
        <v>217</v>
      </c>
    </row>
    <row r="16" spans="1:34" ht="14" thickTop="1" thickBot="1" x14ac:dyDescent="0.4">
      <c r="A16" s="298" t="s">
        <v>176</v>
      </c>
      <c r="B16" s="313" t="s">
        <v>177</v>
      </c>
      <c r="D16" s="383" t="s">
        <v>195</v>
      </c>
      <c r="E16" s="304" t="s">
        <v>220</v>
      </c>
      <c r="G16" s="307" t="s">
        <v>221</v>
      </c>
      <c r="I16" s="307" t="s">
        <v>222</v>
      </c>
      <c r="K16" s="40" t="s">
        <v>230</v>
      </c>
      <c r="M16" s="278" t="s">
        <v>223</v>
      </c>
      <c r="O16" s="40" t="s">
        <v>224</v>
      </c>
    </row>
    <row r="17" spans="1:15" ht="13.5" thickTop="1" x14ac:dyDescent="0.35">
      <c r="A17" s="289" t="s">
        <v>182</v>
      </c>
      <c r="B17" s="307" t="s">
        <v>183</v>
      </c>
      <c r="D17" s="383" t="s">
        <v>195</v>
      </c>
      <c r="E17" s="304" t="s">
        <v>227</v>
      </c>
      <c r="G17" s="307" t="s">
        <v>228</v>
      </c>
      <c r="I17" s="307" t="s">
        <v>229</v>
      </c>
      <c r="K17" s="306" t="s">
        <v>237</v>
      </c>
      <c r="M17" s="306" t="s">
        <v>231</v>
      </c>
      <c r="O17" s="299" t="b">
        <f ca="1" xml:space="preserve"> NOT( OR(Type_of_goods_1 = "X", ISBLANK(\selected_typeofgoods_Class1), ISBLANK(\selected_typeofgoods_TClass1), ISBLANK(\selected_typeofgoods_ThClass1) ) )</f>
        <v>1</v>
      </c>
    </row>
    <row r="18" spans="1:15" x14ac:dyDescent="0.35">
      <c r="A18" s="289" t="s">
        <v>188</v>
      </c>
      <c r="B18" s="307" t="s">
        <v>189</v>
      </c>
      <c r="D18" s="383" t="s">
        <v>195</v>
      </c>
      <c r="E18" s="304" t="s">
        <v>234</v>
      </c>
      <c r="G18" s="307" t="s">
        <v>235</v>
      </c>
      <c r="I18" s="307" t="s">
        <v>236</v>
      </c>
      <c r="K18" s="307" t="s">
        <v>244</v>
      </c>
      <c r="M18" s="307" t="s">
        <v>238</v>
      </c>
      <c r="O18" s="300" t="b">
        <f ca="1" xml:space="preserve"> NOT( OR(Type_of_goods_2 = "X", ISBLANK(\selected_typeofgoods_Class2), ISBLANK(\selected_typeofgoods_TClass2), ISBLANK(\selected_typeofgoods_ThClass2) ) )</f>
        <v>0</v>
      </c>
    </row>
    <row r="19" spans="1:15" ht="13.5" thickBot="1" x14ac:dyDescent="0.4">
      <c r="A19" s="289" t="s">
        <v>193</v>
      </c>
      <c r="B19" s="307" t="s">
        <v>194</v>
      </c>
      <c r="D19" s="383" t="s">
        <v>195</v>
      </c>
      <c r="E19" s="304" t="s">
        <v>241</v>
      </c>
      <c r="G19" s="307" t="s">
        <v>242</v>
      </c>
      <c r="I19" s="307" t="s">
        <v>243</v>
      </c>
      <c r="K19" s="503" t="s">
        <v>251</v>
      </c>
      <c r="M19" s="307" t="s">
        <v>245</v>
      </c>
      <c r="O19" s="301" t="b">
        <f ca="1" xml:space="preserve"> NOT( OR(Type_of_goods_3 = "X", ISBLANK(\selected_typeofgoods_Class3), ISBLANK(\selected_typeofgoods_TClass3), ISBLANK(\selected_typeofgoods_ThClass3) ) )</f>
        <v>0</v>
      </c>
    </row>
    <row r="20" spans="1:15" ht="14" thickTop="1" thickBot="1" x14ac:dyDescent="0.4">
      <c r="A20" s="289" t="s">
        <v>200</v>
      </c>
      <c r="B20" s="307" t="s">
        <v>201</v>
      </c>
      <c r="D20" s="383" t="s">
        <v>195</v>
      </c>
      <c r="E20" s="304" t="s">
        <v>248</v>
      </c>
      <c r="G20" s="307" t="s">
        <v>249</v>
      </c>
      <c r="I20" s="307" t="s">
        <v>250</v>
      </c>
      <c r="K20" s="503" t="s">
        <v>258</v>
      </c>
      <c r="M20" s="307" t="s">
        <v>252</v>
      </c>
    </row>
    <row r="21" spans="1:15" ht="13.5" thickTop="1" x14ac:dyDescent="0.35">
      <c r="A21" s="289" t="s">
        <v>207</v>
      </c>
      <c r="B21" s="307" t="s">
        <v>208</v>
      </c>
      <c r="D21" s="383" t="s">
        <v>195</v>
      </c>
      <c r="E21" s="304" t="s">
        <v>255</v>
      </c>
      <c r="G21" s="307" t="s">
        <v>256</v>
      </c>
      <c r="I21" s="307" t="s">
        <v>257</v>
      </c>
      <c r="K21" s="503" t="s">
        <v>266</v>
      </c>
      <c r="M21" s="307" t="s">
        <v>259</v>
      </c>
      <c r="O21" s="40" t="s">
        <v>260</v>
      </c>
    </row>
    <row r="22" spans="1:15" ht="13.5" thickBot="1" x14ac:dyDescent="0.4">
      <c r="A22" s="289" t="s">
        <v>214</v>
      </c>
      <c r="B22" s="307" t="s">
        <v>215</v>
      </c>
      <c r="D22" s="383" t="s">
        <v>195</v>
      </c>
      <c r="E22" s="304" t="s">
        <v>263</v>
      </c>
      <c r="G22" s="307" t="s">
        <v>264</v>
      </c>
      <c r="I22" s="307" t="s">
        <v>265</v>
      </c>
      <c r="K22" s="308" t="s">
        <v>273</v>
      </c>
      <c r="M22" s="307" t="s">
        <v>267</v>
      </c>
      <c r="O22" s="301" t="str">
        <f xml:space="preserve"> IF(\selected_MidMarketNewBusiness = "Yes", "\reference_covertype2_MidMarket", "\reference_covertype2_nonMidMarket")</f>
        <v>\reference_covertype2_MidMarket</v>
      </c>
    </row>
    <row r="23" spans="1:15" ht="14" thickTop="1" thickBot="1" x14ac:dyDescent="0.4">
      <c r="A23" s="289" t="s">
        <v>218</v>
      </c>
      <c r="B23" s="307" t="s">
        <v>219</v>
      </c>
      <c r="D23" s="383" t="s">
        <v>195</v>
      </c>
      <c r="E23" s="304" t="s">
        <v>270</v>
      </c>
      <c r="G23" s="307" t="s">
        <v>271</v>
      </c>
      <c r="I23" s="307" t="s">
        <v>272</v>
      </c>
      <c r="M23" s="307" t="s">
        <v>274</v>
      </c>
    </row>
    <row r="24" spans="1:15" ht="14" thickTop="1" thickBot="1" x14ac:dyDescent="0.4">
      <c r="A24" s="289" t="s">
        <v>232</v>
      </c>
      <c r="B24" s="307" t="s">
        <v>233</v>
      </c>
      <c r="D24" s="383" t="s">
        <v>195</v>
      </c>
      <c r="E24" s="304" t="s">
        <v>277</v>
      </c>
      <c r="G24" s="307" t="s">
        <v>211</v>
      </c>
      <c r="I24" s="307" t="s">
        <v>278</v>
      </c>
      <c r="K24" s="40" t="s">
        <v>10</v>
      </c>
      <c r="M24" s="307" t="s">
        <v>279</v>
      </c>
      <c r="O24" s="40" t="s">
        <v>280</v>
      </c>
    </row>
    <row r="25" spans="1:15" ht="14" thickTop="1" thickBot="1" x14ac:dyDescent="0.4">
      <c r="A25" s="289" t="s">
        <v>239</v>
      </c>
      <c r="B25" s="307" t="s">
        <v>240</v>
      </c>
      <c r="D25" s="383" t="s">
        <v>195</v>
      </c>
      <c r="E25" s="304" t="s">
        <v>283</v>
      </c>
      <c r="G25" s="307" t="s">
        <v>284</v>
      </c>
      <c r="I25" s="307" t="s">
        <v>285</v>
      </c>
      <c r="K25" s="306" t="s">
        <v>297</v>
      </c>
      <c r="M25" s="307" t="s">
        <v>286</v>
      </c>
      <c r="O25" s="301" t="str">
        <f xml:space="preserve"> IF(AND(\selected_MidMarketNewBusiness = "Yes", \selected_riskcountry = "Germany"), "\reference_typeofparticipation_MidMarket", "\reference_typeofparticipation_nonMidMarket")</f>
        <v>\reference_typeofparticipation_MidMarket</v>
      </c>
    </row>
    <row r="26" spans="1:15" ht="14" thickTop="1" thickBot="1" x14ac:dyDescent="0.4">
      <c r="A26" s="289" t="s">
        <v>246</v>
      </c>
      <c r="B26" s="307" t="s">
        <v>247</v>
      </c>
      <c r="D26" s="383" t="s">
        <v>195</v>
      </c>
      <c r="E26" s="304" t="s">
        <v>289</v>
      </c>
      <c r="G26" s="307" t="s">
        <v>290</v>
      </c>
      <c r="I26" s="307" t="s">
        <v>291</v>
      </c>
      <c r="K26" s="307" t="s">
        <v>304</v>
      </c>
      <c r="M26" s="307" t="s">
        <v>292</v>
      </c>
    </row>
    <row r="27" spans="1:15" ht="13.5" thickTop="1" x14ac:dyDescent="0.35">
      <c r="A27" s="289" t="s">
        <v>253</v>
      </c>
      <c r="B27" s="307" t="s">
        <v>254</v>
      </c>
      <c r="D27" s="383" t="s">
        <v>195</v>
      </c>
      <c r="E27" s="304" t="s">
        <v>295</v>
      </c>
      <c r="G27" s="307" t="s">
        <v>222</v>
      </c>
      <c r="I27" s="307" t="s">
        <v>296</v>
      </c>
      <c r="K27" s="307" t="s">
        <v>311</v>
      </c>
      <c r="M27" s="307" t="s">
        <v>298</v>
      </c>
      <c r="O27" s="40" t="s">
        <v>299</v>
      </c>
    </row>
    <row r="28" spans="1:15" x14ac:dyDescent="0.35">
      <c r="A28" s="289" t="s">
        <v>261</v>
      </c>
      <c r="B28" s="307" t="s">
        <v>262</v>
      </c>
      <c r="D28" s="383" t="s">
        <v>195</v>
      </c>
      <c r="E28" s="304" t="s">
        <v>302</v>
      </c>
      <c r="G28" s="307" t="s">
        <v>229</v>
      </c>
      <c r="I28" s="307" t="s">
        <v>303</v>
      </c>
      <c r="K28" s="307" t="s">
        <v>318</v>
      </c>
      <c r="M28" s="307" t="s">
        <v>305</v>
      </c>
      <c r="O28" s="300" cm="1">
        <f t="array" ref="O28" xml:space="preserve"> _xlfn.LET(_xlpm.table, \parameter_MidMarketChanges_MinMaxValues, INDEX(_xlpm.table, MATCH( "Commercial Adjustment" &amp; \selected_MidMarketNewBusiness, INDEX(_xlpm.table, , 1) &amp; INDEX(_xlpm.table, , 2), 0), 3))</f>
        <v>-10</v>
      </c>
    </row>
    <row r="29" spans="1:15" ht="13.5" thickBot="1" x14ac:dyDescent="0.4">
      <c r="A29" s="289" t="s">
        <v>268</v>
      </c>
      <c r="B29" s="307" t="s">
        <v>269</v>
      </c>
      <c r="D29" s="383" t="s">
        <v>195</v>
      </c>
      <c r="E29" s="304" t="s">
        <v>308</v>
      </c>
      <c r="G29" s="307" t="s">
        <v>309</v>
      </c>
      <c r="I29" s="307" t="s">
        <v>310</v>
      </c>
      <c r="K29" s="307" t="s">
        <v>160</v>
      </c>
      <c r="M29" s="307" t="s">
        <v>312</v>
      </c>
      <c r="O29" s="301" cm="1">
        <f t="array" ref="O29" xml:space="preserve"> _xlfn.LET(_xlpm.table, \parameter_MidMarketChanges_MinMaxValues, INDEX(_xlpm.table, MATCH( "Commercial Adjustment" &amp; \selected_MidMarketNewBusiness, INDEX(_xlpm.table, , 1) &amp; INDEX(_xlpm.table, , 2), 0), 4))</f>
        <v>9.9999999999999997E+98</v>
      </c>
    </row>
    <row r="30" spans="1:15" ht="14" thickTop="1" thickBot="1" x14ac:dyDescent="0.4">
      <c r="A30" s="289" t="s">
        <v>275</v>
      </c>
      <c r="B30" s="307" t="s">
        <v>276</v>
      </c>
      <c r="D30" s="383" t="s">
        <v>195</v>
      </c>
      <c r="E30" s="304" t="s">
        <v>315</v>
      </c>
      <c r="G30" s="307" t="s">
        <v>316</v>
      </c>
      <c r="I30" s="307" t="s">
        <v>317</v>
      </c>
      <c r="K30" s="307" t="s">
        <v>197</v>
      </c>
      <c r="M30" s="307" t="s">
        <v>319</v>
      </c>
    </row>
    <row r="31" spans="1:15" ht="13.5" thickTop="1" x14ac:dyDescent="0.35">
      <c r="A31" s="289" t="s">
        <v>281</v>
      </c>
      <c r="B31" s="307" t="s">
        <v>282</v>
      </c>
      <c r="D31" s="383" t="s">
        <v>195</v>
      </c>
      <c r="E31" s="304" t="s">
        <v>322</v>
      </c>
      <c r="G31" s="307" t="s">
        <v>236</v>
      </c>
      <c r="I31" s="307" t="s">
        <v>323</v>
      </c>
      <c r="K31" s="307" t="s">
        <v>228</v>
      </c>
      <c r="M31" s="503" t="s">
        <v>160</v>
      </c>
      <c r="O31" s="40" t="s">
        <v>324</v>
      </c>
    </row>
    <row r="32" spans="1:15" ht="13.5" thickBot="1" x14ac:dyDescent="0.4">
      <c r="A32" s="289" t="s">
        <v>287</v>
      </c>
      <c r="B32" s="307" t="s">
        <v>288</v>
      </c>
      <c r="D32" s="383" t="s">
        <v>195</v>
      </c>
      <c r="E32" s="304" t="s">
        <v>327</v>
      </c>
      <c r="G32" s="307" t="s">
        <v>328</v>
      </c>
      <c r="I32" s="307" t="s">
        <v>329</v>
      </c>
      <c r="K32" s="307" t="s">
        <v>211</v>
      </c>
      <c r="M32" s="308" t="s">
        <v>330</v>
      </c>
      <c r="O32" s="301" t="str">
        <f xml:space="preserve"> IF(\selected_MidMarketNewBusiness = "Yes", "\reference_covertype_midmarket", "\reference_covertype")</f>
        <v>\reference_covertype_midmarket</v>
      </c>
    </row>
    <row r="33" spans="1:13" ht="14" thickTop="1" thickBot="1" x14ac:dyDescent="0.4">
      <c r="A33" s="289" t="s">
        <v>293</v>
      </c>
      <c r="B33" s="307" t="s">
        <v>294</v>
      </c>
      <c r="D33" s="383" t="s">
        <v>195</v>
      </c>
      <c r="E33" s="304" t="s">
        <v>333</v>
      </c>
      <c r="G33" s="307" t="s">
        <v>243</v>
      </c>
      <c r="I33" s="307" t="s">
        <v>334</v>
      </c>
      <c r="K33" s="307" t="s">
        <v>328</v>
      </c>
    </row>
    <row r="34" spans="1:13" ht="14" thickTop="1" thickBot="1" x14ac:dyDescent="0.4">
      <c r="A34" s="289" t="s">
        <v>300</v>
      </c>
      <c r="B34" s="307" t="s">
        <v>301</v>
      </c>
      <c r="D34" s="383" t="s">
        <v>195</v>
      </c>
      <c r="E34" s="304" t="s">
        <v>337</v>
      </c>
      <c r="G34" s="307" t="s">
        <v>250</v>
      </c>
      <c r="I34" s="307" t="s">
        <v>338</v>
      </c>
      <c r="K34" s="307" t="s">
        <v>402</v>
      </c>
      <c r="M34" s="278" t="s">
        <v>339</v>
      </c>
    </row>
    <row r="35" spans="1:13" ht="13.5" thickTop="1" x14ac:dyDescent="0.35">
      <c r="A35" s="289" t="s">
        <v>306</v>
      </c>
      <c r="B35" s="307" t="s">
        <v>307</v>
      </c>
      <c r="D35" s="383" t="s">
        <v>195</v>
      </c>
      <c r="E35" s="304" t="s">
        <v>342</v>
      </c>
      <c r="G35" s="307" t="s">
        <v>343</v>
      </c>
      <c r="I35" s="307" t="s">
        <v>344</v>
      </c>
      <c r="K35" s="307" t="s">
        <v>351</v>
      </c>
      <c r="M35" s="311" t="s">
        <v>345</v>
      </c>
    </row>
    <row r="36" spans="1:13" ht="13.5" thickBot="1" x14ac:dyDescent="0.4">
      <c r="A36" s="289" t="s">
        <v>313</v>
      </c>
      <c r="B36" s="307" t="s">
        <v>314</v>
      </c>
      <c r="D36" s="383" t="s">
        <v>348</v>
      </c>
      <c r="E36" s="304" t="s">
        <v>349</v>
      </c>
      <c r="G36" s="307" t="s">
        <v>343</v>
      </c>
      <c r="I36" s="307" t="s">
        <v>350</v>
      </c>
      <c r="K36" s="307" t="s">
        <v>359</v>
      </c>
      <c r="M36" s="312" t="s">
        <v>352</v>
      </c>
    </row>
    <row r="37" spans="1:13" ht="14" thickTop="1" thickBot="1" x14ac:dyDescent="0.4">
      <c r="A37" s="289" t="s">
        <v>320</v>
      </c>
      <c r="B37" s="307" t="s">
        <v>321</v>
      </c>
      <c r="D37" s="383" t="s">
        <v>355</v>
      </c>
      <c r="E37" s="304" t="s">
        <v>356</v>
      </c>
      <c r="G37" s="307" t="s">
        <v>357</v>
      </c>
      <c r="I37" s="307" t="s">
        <v>358</v>
      </c>
      <c r="K37" s="307" t="s">
        <v>364</v>
      </c>
    </row>
    <row r="38" spans="1:13" ht="14" thickTop="1" thickBot="1" x14ac:dyDescent="0.4">
      <c r="A38" s="289" t="s">
        <v>325</v>
      </c>
      <c r="B38" s="307" t="s">
        <v>326</v>
      </c>
      <c r="D38" s="383" t="s">
        <v>355</v>
      </c>
      <c r="E38" s="304" t="s">
        <v>362</v>
      </c>
      <c r="G38" s="307" t="s">
        <v>257</v>
      </c>
      <c r="I38" s="307" t="s">
        <v>363</v>
      </c>
      <c r="K38" s="307" t="s">
        <v>371</v>
      </c>
      <c r="M38" s="278" t="s">
        <v>365</v>
      </c>
    </row>
    <row r="39" spans="1:13" ht="13.5" thickTop="1" x14ac:dyDescent="0.35">
      <c r="A39" s="289" t="s">
        <v>331</v>
      </c>
      <c r="B39" s="307" t="s">
        <v>332</v>
      </c>
      <c r="D39" s="383" t="s">
        <v>355</v>
      </c>
      <c r="E39" s="304" t="s">
        <v>368</v>
      </c>
      <c r="G39" s="307" t="s">
        <v>369</v>
      </c>
      <c r="I39" s="307" t="s">
        <v>370</v>
      </c>
      <c r="K39" s="307" t="s">
        <v>548</v>
      </c>
      <c r="M39" s="311" t="s">
        <v>372</v>
      </c>
    </row>
    <row r="40" spans="1:13" ht="13.5" thickBot="1" x14ac:dyDescent="0.4">
      <c r="A40" s="289" t="s">
        <v>340</v>
      </c>
      <c r="B40" s="307" t="s">
        <v>341</v>
      </c>
      <c r="D40" s="383" t="s">
        <v>355</v>
      </c>
      <c r="E40" s="304" t="s">
        <v>375</v>
      </c>
      <c r="G40" s="307" t="s">
        <v>376</v>
      </c>
      <c r="I40" s="307" t="s">
        <v>377</v>
      </c>
      <c r="K40" s="307" t="s">
        <v>569</v>
      </c>
      <c r="M40" s="312" t="s">
        <v>378</v>
      </c>
    </row>
    <row r="41" spans="1:13" ht="14" thickTop="1" thickBot="1" x14ac:dyDescent="0.4">
      <c r="A41" s="289" t="s">
        <v>346</v>
      </c>
      <c r="B41" s="307" t="s">
        <v>347</v>
      </c>
      <c r="D41" s="383" t="s">
        <v>381</v>
      </c>
      <c r="E41" s="304" t="s">
        <v>382</v>
      </c>
      <c r="G41" s="307" t="s">
        <v>383</v>
      </c>
      <c r="I41" s="307" t="s">
        <v>384</v>
      </c>
      <c r="K41" s="307" t="s">
        <v>363</v>
      </c>
    </row>
    <row r="42" spans="1:13" ht="13.5" thickTop="1" x14ac:dyDescent="0.35">
      <c r="A42" s="289" t="s">
        <v>353</v>
      </c>
      <c r="B42" s="307" t="s">
        <v>354</v>
      </c>
      <c r="D42" s="383" t="s">
        <v>381</v>
      </c>
      <c r="E42" s="304" t="s">
        <v>388</v>
      </c>
      <c r="G42" s="307" t="s">
        <v>389</v>
      </c>
      <c r="I42" s="307" t="s">
        <v>390</v>
      </c>
      <c r="K42" s="307" t="s">
        <v>385</v>
      </c>
      <c r="M42" s="278" t="s">
        <v>4380</v>
      </c>
    </row>
    <row r="43" spans="1:13" ht="13.5" thickBot="1" x14ac:dyDescent="0.4">
      <c r="A43" s="289" t="s">
        <v>360</v>
      </c>
      <c r="B43" s="307" t="s">
        <v>361</v>
      </c>
      <c r="D43" s="383" t="s">
        <v>381</v>
      </c>
      <c r="E43" s="304" t="s">
        <v>394</v>
      </c>
      <c r="G43" s="307" t="s">
        <v>395</v>
      </c>
      <c r="I43" s="307" t="s">
        <v>396</v>
      </c>
      <c r="K43" s="307" t="s">
        <v>408</v>
      </c>
      <c r="M43" s="312" t="e">
        <f xml:space="preserve"> _xlfn.LET(_xlpm.producing_offices, INDEX(\parameter_producingRegionalOffice, 0, 1), INDEX(\parameter_producingRegionalOffice, MATCH( \selected_branch, _xlpm.producing_offices, 0 ), 2))</f>
        <v>#NAME?</v>
      </c>
    </row>
    <row r="44" spans="1:13" ht="14" thickTop="1" thickBot="1" x14ac:dyDescent="0.4">
      <c r="A44" s="289" t="s">
        <v>366</v>
      </c>
      <c r="B44" s="307" t="s">
        <v>367</v>
      </c>
      <c r="D44" s="383" t="s">
        <v>400</v>
      </c>
      <c r="E44" s="304" t="s">
        <v>401</v>
      </c>
      <c r="G44" s="307" t="s">
        <v>402</v>
      </c>
      <c r="I44" s="307" t="s">
        <v>403</v>
      </c>
      <c r="K44" s="307" t="s">
        <v>391</v>
      </c>
    </row>
    <row r="45" spans="1:13" ht="14" thickTop="1" thickBot="1" x14ac:dyDescent="0.4">
      <c r="A45" s="289" t="s">
        <v>373</v>
      </c>
      <c r="B45" s="307" t="s">
        <v>374</v>
      </c>
      <c r="D45" s="383" t="s">
        <v>400</v>
      </c>
      <c r="E45" s="304" t="s">
        <v>407</v>
      </c>
      <c r="G45" s="307" t="s">
        <v>351</v>
      </c>
      <c r="I45" s="307" t="s">
        <v>408</v>
      </c>
      <c r="K45" s="307" t="s">
        <v>734</v>
      </c>
      <c r="M45" s="278" t="s">
        <v>4381</v>
      </c>
    </row>
    <row r="46" spans="1:13" ht="13.5" thickTop="1" x14ac:dyDescent="0.35">
      <c r="A46" s="289" t="s">
        <v>379</v>
      </c>
      <c r="B46" s="307" t="s">
        <v>380</v>
      </c>
      <c r="D46" s="383" t="s">
        <v>400</v>
      </c>
      <c r="E46" s="304" t="s">
        <v>412</v>
      </c>
      <c r="G46" s="307" t="s">
        <v>413</v>
      </c>
      <c r="I46" s="307" t="s">
        <v>414</v>
      </c>
      <c r="K46" s="307" t="s">
        <v>397</v>
      </c>
      <c r="M46" s="306" t="e" cm="1">
        <f t="array" ref="M46" xml:space="preserve"> _xlfn.TEXTSPLIT(\reference_regionalOffice_preSplit, , "; ")</f>
        <v>#NAME?</v>
      </c>
    </row>
    <row r="47" spans="1:13" x14ac:dyDescent="0.35">
      <c r="A47" s="289" t="s">
        <v>386</v>
      </c>
      <c r="B47" s="307" t="s">
        <v>387</v>
      </c>
      <c r="D47" s="383" t="s">
        <v>418</v>
      </c>
      <c r="E47" s="304" t="s">
        <v>419</v>
      </c>
      <c r="G47" s="307" t="s">
        <v>420</v>
      </c>
      <c r="I47" s="307" t="s">
        <v>421</v>
      </c>
      <c r="K47" s="307" t="s">
        <v>404</v>
      </c>
      <c r="M47" s="307"/>
    </row>
    <row r="48" spans="1:13" x14ac:dyDescent="0.35">
      <c r="A48" s="289" t="s">
        <v>392</v>
      </c>
      <c r="B48" s="307" t="s">
        <v>393</v>
      </c>
      <c r="D48" s="383" t="s">
        <v>418</v>
      </c>
      <c r="E48" s="304" t="s">
        <v>424</v>
      </c>
      <c r="G48" s="307" t="s">
        <v>425</v>
      </c>
      <c r="I48" s="307" t="s">
        <v>426</v>
      </c>
      <c r="K48" s="307" t="s">
        <v>773</v>
      </c>
      <c r="M48" s="503"/>
    </row>
    <row r="49" spans="1:13" x14ac:dyDescent="0.35">
      <c r="A49" s="289" t="s">
        <v>405</v>
      </c>
      <c r="B49" s="307" t="s">
        <v>406</v>
      </c>
      <c r="D49" s="383" t="s">
        <v>418</v>
      </c>
      <c r="E49" s="304" t="s">
        <v>430</v>
      </c>
      <c r="G49" s="307" t="s">
        <v>285</v>
      </c>
      <c r="I49" s="307" t="s">
        <v>431</v>
      </c>
      <c r="K49" s="307" t="s">
        <v>777</v>
      </c>
      <c r="M49" s="503"/>
    </row>
    <row r="50" spans="1:13" x14ac:dyDescent="0.35">
      <c r="A50" s="289" t="s">
        <v>410</v>
      </c>
      <c r="B50" s="307" t="s">
        <v>411</v>
      </c>
      <c r="D50" s="383" t="s">
        <v>418</v>
      </c>
      <c r="E50" s="304" t="s">
        <v>434</v>
      </c>
      <c r="G50" s="307" t="s">
        <v>435</v>
      </c>
      <c r="I50" s="307" t="s">
        <v>436</v>
      </c>
      <c r="K50" s="307" t="s">
        <v>409</v>
      </c>
      <c r="M50" s="503"/>
    </row>
    <row r="51" spans="1:13" x14ac:dyDescent="0.35">
      <c r="A51" s="289" t="s">
        <v>416</v>
      </c>
      <c r="B51" s="307" t="s">
        <v>417</v>
      </c>
      <c r="D51" s="383" t="s">
        <v>418</v>
      </c>
      <c r="E51" s="304" t="s">
        <v>438</v>
      </c>
      <c r="G51" s="307" t="s">
        <v>291</v>
      </c>
      <c r="I51" s="307" t="s">
        <v>439</v>
      </c>
      <c r="K51" s="307" t="s">
        <v>415</v>
      </c>
      <c r="M51" s="503"/>
    </row>
    <row r="52" spans="1:13" ht="13.5" thickBot="1" x14ac:dyDescent="0.4">
      <c r="A52" s="289" t="s">
        <v>422</v>
      </c>
      <c r="B52" s="307" t="s">
        <v>423</v>
      </c>
      <c r="D52" s="383" t="s">
        <v>443</v>
      </c>
      <c r="E52" s="304" t="s">
        <v>444</v>
      </c>
      <c r="G52" s="307" t="s">
        <v>445</v>
      </c>
      <c r="I52" s="307" t="s">
        <v>446</v>
      </c>
      <c r="K52" s="307" t="s">
        <v>4391</v>
      </c>
      <c r="M52" s="308"/>
    </row>
    <row r="53" spans="1:13" ht="14" thickTop="1" thickBot="1" x14ac:dyDescent="0.4">
      <c r="A53" s="289" t="s">
        <v>428</v>
      </c>
      <c r="B53" s="307" t="s">
        <v>429</v>
      </c>
      <c r="D53" s="383" t="s">
        <v>443</v>
      </c>
      <c r="E53" s="304" t="s">
        <v>448</v>
      </c>
      <c r="G53" s="307" t="s">
        <v>449</v>
      </c>
      <c r="I53" s="307" t="s">
        <v>450</v>
      </c>
      <c r="K53" s="503" t="s">
        <v>427</v>
      </c>
    </row>
    <row r="54" spans="1:13" ht="14" thickTop="1" thickBot="1" x14ac:dyDescent="0.4">
      <c r="A54" s="289" t="s">
        <v>432</v>
      </c>
      <c r="B54" s="307" t="s">
        <v>433</v>
      </c>
      <c r="D54" s="383" t="s">
        <v>454</v>
      </c>
      <c r="E54" s="304" t="s">
        <v>455</v>
      </c>
      <c r="G54" s="307" t="s">
        <v>296</v>
      </c>
      <c r="I54" s="307" t="s">
        <v>456</v>
      </c>
      <c r="K54" s="503" t="s">
        <v>780</v>
      </c>
      <c r="M54" s="40" t="s">
        <v>4777</v>
      </c>
    </row>
    <row r="55" spans="1:13" ht="14" thickTop="1" thickBot="1" x14ac:dyDescent="0.4">
      <c r="A55" s="289" t="s">
        <v>441</v>
      </c>
      <c r="B55" s="307" t="s">
        <v>442</v>
      </c>
      <c r="D55" s="383" t="s">
        <v>454</v>
      </c>
      <c r="E55" s="304" t="s">
        <v>459</v>
      </c>
      <c r="G55" s="307" t="s">
        <v>460</v>
      </c>
      <c r="I55" s="307" t="s">
        <v>461</v>
      </c>
      <c r="K55" s="308" t="s">
        <v>523</v>
      </c>
      <c r="M55" s="306" t="s">
        <v>4536</v>
      </c>
    </row>
    <row r="56" spans="1:13" ht="14" thickTop="1" thickBot="1" x14ac:dyDescent="0.4">
      <c r="A56" s="289" t="s">
        <v>452</v>
      </c>
      <c r="B56" s="307" t="s">
        <v>453</v>
      </c>
      <c r="D56" s="383" t="s">
        <v>454</v>
      </c>
      <c r="E56" s="304" t="s">
        <v>465</v>
      </c>
      <c r="G56" s="307" t="s">
        <v>466</v>
      </c>
      <c r="I56" s="307" t="s">
        <v>397</v>
      </c>
      <c r="M56" s="307" t="s">
        <v>4778</v>
      </c>
    </row>
    <row r="57" spans="1:13" ht="27" thickTop="1" thickBot="1" x14ac:dyDescent="0.4">
      <c r="A57" s="289" t="s">
        <v>457</v>
      </c>
      <c r="B57" s="307" t="s">
        <v>458</v>
      </c>
      <c r="D57" s="383" t="s">
        <v>454</v>
      </c>
      <c r="E57" s="304" t="s">
        <v>469</v>
      </c>
      <c r="G57" s="307" t="s">
        <v>359</v>
      </c>
      <c r="I57" s="307" t="s">
        <v>470</v>
      </c>
      <c r="K57" s="40" t="s">
        <v>437</v>
      </c>
      <c r="M57" s="307" t="s">
        <v>4779</v>
      </c>
    </row>
    <row r="58" spans="1:13" ht="14" thickTop="1" thickBot="1" x14ac:dyDescent="0.4">
      <c r="A58" s="289" t="s">
        <v>463</v>
      </c>
      <c r="B58" s="307" t="s">
        <v>464</v>
      </c>
      <c r="D58" s="383" t="s">
        <v>454</v>
      </c>
      <c r="E58" s="304" t="s">
        <v>473</v>
      </c>
      <c r="G58" s="307" t="s">
        <v>474</v>
      </c>
      <c r="I58" s="307" t="s">
        <v>475</v>
      </c>
      <c r="K58" s="306" t="s">
        <v>440</v>
      </c>
      <c r="M58" s="308" t="s">
        <v>4780</v>
      </c>
    </row>
    <row r="59" spans="1:13" ht="13.5" thickTop="1" x14ac:dyDescent="0.35">
      <c r="A59" s="289" t="s">
        <v>467</v>
      </c>
      <c r="B59" s="307" t="s">
        <v>468</v>
      </c>
      <c r="D59" s="383" t="s">
        <v>454</v>
      </c>
      <c r="E59" s="304" t="s">
        <v>478</v>
      </c>
      <c r="G59" s="307" t="s">
        <v>479</v>
      </c>
      <c r="I59" s="307" t="s">
        <v>480</v>
      </c>
      <c r="K59" s="307" t="s">
        <v>447</v>
      </c>
    </row>
    <row r="60" spans="1:13" ht="13.5" thickBot="1" x14ac:dyDescent="0.4">
      <c r="A60" s="289" t="s">
        <v>471</v>
      </c>
      <c r="B60" s="307" t="s">
        <v>472</v>
      </c>
      <c r="D60" s="383" t="s">
        <v>483</v>
      </c>
      <c r="E60" s="304" t="s">
        <v>484</v>
      </c>
      <c r="G60" s="307" t="s">
        <v>303</v>
      </c>
      <c r="I60" s="307" t="s">
        <v>485</v>
      </c>
      <c r="K60" s="308" t="s">
        <v>451</v>
      </c>
    </row>
    <row r="61" spans="1:13" ht="14" thickTop="1" thickBot="1" x14ac:dyDescent="0.4">
      <c r="A61" s="289" t="s">
        <v>476</v>
      </c>
      <c r="B61" s="307" t="s">
        <v>477</v>
      </c>
      <c r="D61" s="383" t="s">
        <v>483</v>
      </c>
      <c r="E61" s="304" t="s">
        <v>488</v>
      </c>
      <c r="G61" s="307" t="s">
        <v>489</v>
      </c>
      <c r="I61" s="307" t="s">
        <v>490</v>
      </c>
    </row>
    <row r="62" spans="1:13" ht="26.5" thickTop="1" x14ac:dyDescent="0.35">
      <c r="A62" s="289" t="s">
        <v>486</v>
      </c>
      <c r="B62" s="307" t="s">
        <v>487</v>
      </c>
      <c r="D62" s="383" t="s">
        <v>483</v>
      </c>
      <c r="E62" s="304" t="s">
        <v>493</v>
      </c>
      <c r="G62" s="307" t="s">
        <v>494</v>
      </c>
      <c r="I62" s="307" t="s">
        <v>495</v>
      </c>
      <c r="K62" s="40" t="s">
        <v>462</v>
      </c>
    </row>
    <row r="63" spans="1:13" ht="13.5" thickBot="1" x14ac:dyDescent="0.4">
      <c r="A63" s="289" t="s">
        <v>491</v>
      </c>
      <c r="B63" s="307" t="s">
        <v>492</v>
      </c>
      <c r="D63" s="383" t="s">
        <v>498</v>
      </c>
      <c r="E63" s="304" t="s">
        <v>499</v>
      </c>
      <c r="G63" s="307" t="s">
        <v>500</v>
      </c>
      <c r="I63" s="307" t="s">
        <v>501</v>
      </c>
      <c r="K63" s="308" t="s">
        <v>440</v>
      </c>
    </row>
    <row r="64" spans="1:13" ht="13.5" thickTop="1" x14ac:dyDescent="0.35">
      <c r="A64" s="289" t="s">
        <v>496</v>
      </c>
      <c r="B64" s="307" t="s">
        <v>497</v>
      </c>
      <c r="D64" s="383" t="s">
        <v>504</v>
      </c>
      <c r="E64" s="304" t="s">
        <v>505</v>
      </c>
      <c r="G64" s="307" t="s">
        <v>364</v>
      </c>
      <c r="I64" s="307" t="s">
        <v>506</v>
      </c>
    </row>
    <row r="65" spans="1:9" x14ac:dyDescent="0.35">
      <c r="A65" s="289" t="s">
        <v>502</v>
      </c>
      <c r="B65" s="307" t="s">
        <v>503</v>
      </c>
      <c r="D65" s="383" t="s">
        <v>504</v>
      </c>
      <c r="E65" s="304" t="s">
        <v>509</v>
      </c>
      <c r="G65" s="307" t="s">
        <v>510</v>
      </c>
      <c r="I65" s="307" t="s">
        <v>511</v>
      </c>
    </row>
    <row r="66" spans="1:9" x14ac:dyDescent="0.35">
      <c r="A66" s="289" t="s">
        <v>507</v>
      </c>
      <c r="B66" s="307" t="s">
        <v>508</v>
      </c>
      <c r="D66" s="383" t="s">
        <v>504</v>
      </c>
      <c r="E66" s="304" t="s">
        <v>514</v>
      </c>
      <c r="G66" s="307" t="s">
        <v>515</v>
      </c>
      <c r="I66" s="307" t="s">
        <v>516</v>
      </c>
    </row>
    <row r="67" spans="1:9" x14ac:dyDescent="0.35">
      <c r="A67" s="289" t="s">
        <v>512</v>
      </c>
      <c r="B67" s="307" t="s">
        <v>513</v>
      </c>
      <c r="D67" s="383" t="s">
        <v>504</v>
      </c>
      <c r="E67" s="304" t="s">
        <v>517</v>
      </c>
      <c r="G67" s="307" t="s">
        <v>518</v>
      </c>
      <c r="I67" s="307" t="s">
        <v>519</v>
      </c>
    </row>
    <row r="68" spans="1:9" x14ac:dyDescent="0.35">
      <c r="A68" s="289" t="s">
        <v>520</v>
      </c>
      <c r="B68" s="307" t="s">
        <v>521</v>
      </c>
      <c r="D68" s="383" t="s">
        <v>504</v>
      </c>
      <c r="E68" s="304" t="s">
        <v>522</v>
      </c>
      <c r="G68" s="307" t="s">
        <v>310</v>
      </c>
      <c r="I68" s="307" t="s">
        <v>523</v>
      </c>
    </row>
    <row r="69" spans="1:9" x14ac:dyDescent="0.35">
      <c r="A69" s="289" t="s">
        <v>524</v>
      </c>
      <c r="B69" s="307" t="s">
        <v>525</v>
      </c>
      <c r="D69" s="383" t="s">
        <v>504</v>
      </c>
      <c r="E69" s="304" t="s">
        <v>526</v>
      </c>
      <c r="G69" s="307" t="s">
        <v>527</v>
      </c>
      <c r="I69" s="307" t="s">
        <v>528</v>
      </c>
    </row>
    <row r="70" spans="1:9" x14ac:dyDescent="0.35">
      <c r="A70" s="289" t="s">
        <v>529</v>
      </c>
      <c r="B70" s="307" t="s">
        <v>530</v>
      </c>
      <c r="D70" s="383" t="s">
        <v>504</v>
      </c>
      <c r="E70" s="304" t="s">
        <v>531</v>
      </c>
      <c r="G70" s="307" t="s">
        <v>532</v>
      </c>
      <c r="I70" s="307" t="s">
        <v>533</v>
      </c>
    </row>
    <row r="71" spans="1:9" ht="13.5" thickBot="1" x14ac:dyDescent="0.4">
      <c r="A71" s="289" t="s">
        <v>534</v>
      </c>
      <c r="B71" s="307" t="s">
        <v>535</v>
      </c>
      <c r="D71" s="383" t="s">
        <v>536</v>
      </c>
      <c r="E71" s="304" t="s">
        <v>537</v>
      </c>
      <c r="G71" s="307" t="s">
        <v>538</v>
      </c>
      <c r="I71" s="308" t="s">
        <v>539</v>
      </c>
    </row>
    <row r="72" spans="1:9" ht="13.5" thickTop="1" x14ac:dyDescent="0.35">
      <c r="A72" s="289" t="s">
        <v>542</v>
      </c>
      <c r="B72" s="307" t="s">
        <v>543</v>
      </c>
      <c r="D72" s="383" t="s">
        <v>536</v>
      </c>
      <c r="E72" s="304" t="s">
        <v>540</v>
      </c>
      <c r="G72" s="307" t="s">
        <v>541</v>
      </c>
    </row>
    <row r="73" spans="1:9" x14ac:dyDescent="0.35">
      <c r="A73" s="289" t="s">
        <v>545</v>
      </c>
      <c r="B73" s="307" t="s">
        <v>546</v>
      </c>
      <c r="D73" s="383" t="s">
        <v>536</v>
      </c>
      <c r="E73" s="304" t="s">
        <v>544</v>
      </c>
      <c r="G73" s="307" t="s">
        <v>371</v>
      </c>
    </row>
    <row r="74" spans="1:9" x14ac:dyDescent="0.35">
      <c r="A74" s="289" t="s">
        <v>549</v>
      </c>
      <c r="B74" s="307" t="s">
        <v>550</v>
      </c>
      <c r="D74" s="383" t="s">
        <v>536</v>
      </c>
      <c r="E74" s="304" t="s">
        <v>547</v>
      </c>
      <c r="G74" s="307" t="s">
        <v>548</v>
      </c>
    </row>
    <row r="75" spans="1:9" x14ac:dyDescent="0.35">
      <c r="A75" s="289" t="s">
        <v>553</v>
      </c>
      <c r="B75" s="307" t="s">
        <v>554</v>
      </c>
      <c r="D75" s="383" t="s">
        <v>536</v>
      </c>
      <c r="E75" s="304" t="s">
        <v>551</v>
      </c>
      <c r="G75" s="307" t="s">
        <v>552</v>
      </c>
    </row>
    <row r="76" spans="1:9" x14ac:dyDescent="0.35">
      <c r="A76" s="289" t="s">
        <v>558</v>
      </c>
      <c r="B76" s="307" t="s">
        <v>559</v>
      </c>
      <c r="D76" s="383" t="s">
        <v>536</v>
      </c>
      <c r="E76" s="304" t="s">
        <v>555</v>
      </c>
      <c r="G76" s="307" t="s">
        <v>329</v>
      </c>
    </row>
    <row r="77" spans="1:9" x14ac:dyDescent="0.35">
      <c r="A77" s="289" t="s">
        <v>562</v>
      </c>
      <c r="B77" s="307" t="s">
        <v>563</v>
      </c>
      <c r="D77" s="383" t="s">
        <v>556</v>
      </c>
      <c r="E77" s="304" t="s">
        <v>557</v>
      </c>
      <c r="G77" s="307" t="s">
        <v>338</v>
      </c>
    </row>
    <row r="78" spans="1:9" x14ac:dyDescent="0.35">
      <c r="A78" s="289" t="s">
        <v>566</v>
      </c>
      <c r="B78" s="307" t="s">
        <v>567</v>
      </c>
      <c r="D78" s="383" t="s">
        <v>560</v>
      </c>
      <c r="E78" s="304" t="s">
        <v>561</v>
      </c>
      <c r="G78" s="307" t="s">
        <v>344</v>
      </c>
    </row>
    <row r="79" spans="1:9" x14ac:dyDescent="0.35">
      <c r="A79" s="289" t="s">
        <v>570</v>
      </c>
      <c r="B79" s="307" t="s">
        <v>571</v>
      </c>
      <c r="D79" s="383" t="s">
        <v>564</v>
      </c>
      <c r="E79" s="304" t="s">
        <v>565</v>
      </c>
      <c r="G79" s="307" t="s">
        <v>350</v>
      </c>
    </row>
    <row r="80" spans="1:9" x14ac:dyDescent="0.35">
      <c r="A80" s="289" t="s">
        <v>573</v>
      </c>
      <c r="B80" s="307" t="s">
        <v>574</v>
      </c>
      <c r="D80" s="383" t="s">
        <v>564</v>
      </c>
      <c r="E80" s="304" t="s">
        <v>568</v>
      </c>
      <c r="G80" s="307" t="s">
        <v>569</v>
      </c>
    </row>
    <row r="81" spans="1:7" x14ac:dyDescent="0.35">
      <c r="A81" s="289" t="s">
        <v>577</v>
      </c>
      <c r="B81" s="307" t="s">
        <v>578</v>
      </c>
      <c r="D81" s="383" t="s">
        <v>564</v>
      </c>
      <c r="E81" s="304" t="s">
        <v>572</v>
      </c>
      <c r="G81" s="307" t="s">
        <v>358</v>
      </c>
    </row>
    <row r="82" spans="1:7" x14ac:dyDescent="0.35">
      <c r="A82" s="289" t="s">
        <v>581</v>
      </c>
      <c r="B82" s="307" t="s">
        <v>582</v>
      </c>
      <c r="D82" s="383" t="s">
        <v>575</v>
      </c>
      <c r="E82" s="304" t="s">
        <v>576</v>
      </c>
      <c r="G82" s="307" t="s">
        <v>363</v>
      </c>
    </row>
    <row r="83" spans="1:7" x14ac:dyDescent="0.35">
      <c r="A83" s="289" t="s">
        <v>585</v>
      </c>
      <c r="B83" s="307" t="s">
        <v>586</v>
      </c>
      <c r="D83" s="383" t="s">
        <v>575</v>
      </c>
      <c r="E83" s="304" t="s">
        <v>579</v>
      </c>
      <c r="G83" s="307" t="s">
        <v>580</v>
      </c>
    </row>
    <row r="84" spans="1:7" x14ac:dyDescent="0.35">
      <c r="A84" s="289" t="s">
        <v>588</v>
      </c>
      <c r="B84" s="307" t="s">
        <v>589</v>
      </c>
      <c r="D84" s="383" t="s">
        <v>575</v>
      </c>
      <c r="E84" s="304" t="s">
        <v>583</v>
      </c>
      <c r="G84" s="307" t="s">
        <v>584</v>
      </c>
    </row>
    <row r="85" spans="1:7" x14ac:dyDescent="0.35">
      <c r="A85" s="289" t="s">
        <v>593</v>
      </c>
      <c r="B85" s="307" t="s">
        <v>594</v>
      </c>
      <c r="D85" s="383" t="s">
        <v>575</v>
      </c>
      <c r="E85" s="304" t="s">
        <v>587</v>
      </c>
      <c r="G85" s="307" t="s">
        <v>385</v>
      </c>
    </row>
    <row r="86" spans="1:7" x14ac:dyDescent="0.35">
      <c r="A86" s="289" t="s">
        <v>597</v>
      </c>
      <c r="B86" s="307" t="s">
        <v>598</v>
      </c>
      <c r="D86" s="383" t="s">
        <v>590</v>
      </c>
      <c r="E86" s="304" t="s">
        <v>591</v>
      </c>
      <c r="G86" s="307" t="s">
        <v>592</v>
      </c>
    </row>
    <row r="87" spans="1:7" x14ac:dyDescent="0.35">
      <c r="A87" s="289" t="s">
        <v>601</v>
      </c>
      <c r="B87" s="307" t="s">
        <v>602</v>
      </c>
      <c r="D87" s="383" t="s">
        <v>590</v>
      </c>
      <c r="E87" s="304" t="s">
        <v>595</v>
      </c>
      <c r="G87" s="307" t="s">
        <v>596</v>
      </c>
    </row>
    <row r="88" spans="1:7" x14ac:dyDescent="0.35">
      <c r="A88" s="289" t="s">
        <v>605</v>
      </c>
      <c r="B88" s="307" t="s">
        <v>606</v>
      </c>
      <c r="D88" s="383" t="s">
        <v>590</v>
      </c>
      <c r="E88" s="304" t="s">
        <v>599</v>
      </c>
      <c r="G88" s="307" t="s">
        <v>600</v>
      </c>
    </row>
    <row r="89" spans="1:7" x14ac:dyDescent="0.35">
      <c r="A89" s="289" t="s">
        <v>609</v>
      </c>
      <c r="B89" s="307" t="s">
        <v>610</v>
      </c>
      <c r="D89" s="383" t="s">
        <v>603</v>
      </c>
      <c r="E89" s="304" t="s">
        <v>604</v>
      </c>
      <c r="G89" s="307" t="s">
        <v>370</v>
      </c>
    </row>
    <row r="90" spans="1:7" x14ac:dyDescent="0.35">
      <c r="A90" s="289" t="s">
        <v>614</v>
      </c>
      <c r="B90" s="307" t="s">
        <v>615</v>
      </c>
      <c r="D90" s="383" t="s">
        <v>603</v>
      </c>
      <c r="E90" s="304" t="s">
        <v>607</v>
      </c>
      <c r="G90" s="307" t="s">
        <v>608</v>
      </c>
    </row>
    <row r="91" spans="1:7" ht="13.5" thickBot="1" x14ac:dyDescent="0.4">
      <c r="A91" s="289" t="s">
        <v>617</v>
      </c>
      <c r="B91" s="307" t="s">
        <v>618</v>
      </c>
      <c r="D91" s="383" t="s">
        <v>611</v>
      </c>
      <c r="E91" s="305" t="s">
        <v>612</v>
      </c>
      <c r="G91" s="307" t="s">
        <v>613</v>
      </c>
    </row>
    <row r="92" spans="1:7" ht="13.5" thickTop="1" x14ac:dyDescent="0.35">
      <c r="A92" s="289" t="s">
        <v>620</v>
      </c>
      <c r="B92" s="307" t="s">
        <v>621</v>
      </c>
      <c r="G92" s="307" t="s">
        <v>616</v>
      </c>
    </row>
    <row r="93" spans="1:7" x14ac:dyDescent="0.35">
      <c r="A93" s="289" t="s">
        <v>623</v>
      </c>
      <c r="B93" s="307" t="s">
        <v>624</v>
      </c>
      <c r="G93" s="307" t="s">
        <v>619</v>
      </c>
    </row>
    <row r="94" spans="1:7" x14ac:dyDescent="0.35">
      <c r="A94" s="289" t="s">
        <v>626</v>
      </c>
      <c r="B94" s="307" t="s">
        <v>627</v>
      </c>
      <c r="G94" s="307" t="s">
        <v>622</v>
      </c>
    </row>
    <row r="95" spans="1:7" x14ac:dyDescent="0.35">
      <c r="A95" s="289" t="s">
        <v>631</v>
      </c>
      <c r="B95" s="307" t="s">
        <v>632</v>
      </c>
      <c r="G95" s="307" t="s">
        <v>625</v>
      </c>
    </row>
    <row r="96" spans="1:7" x14ac:dyDescent="0.35">
      <c r="A96" s="289" t="s">
        <v>634</v>
      </c>
      <c r="B96" s="307" t="s">
        <v>635</v>
      </c>
      <c r="G96" s="307" t="s">
        <v>377</v>
      </c>
    </row>
    <row r="97" spans="1:7" x14ac:dyDescent="0.35">
      <c r="A97" s="289" t="s">
        <v>636</v>
      </c>
      <c r="B97" s="307" t="s">
        <v>637</v>
      </c>
      <c r="G97" s="307" t="s">
        <v>630</v>
      </c>
    </row>
    <row r="98" spans="1:7" x14ac:dyDescent="0.35">
      <c r="A98" s="289" t="s">
        <v>639</v>
      </c>
      <c r="B98" s="307" t="s">
        <v>640</v>
      </c>
      <c r="G98" s="307" t="s">
        <v>633</v>
      </c>
    </row>
    <row r="99" spans="1:7" x14ac:dyDescent="0.35">
      <c r="A99" s="289" t="s">
        <v>642</v>
      </c>
      <c r="B99" s="307" t="s">
        <v>643</v>
      </c>
      <c r="G99" s="307" t="s">
        <v>384</v>
      </c>
    </row>
    <row r="100" spans="1:7" x14ac:dyDescent="0.35">
      <c r="A100" s="289" t="s">
        <v>645</v>
      </c>
      <c r="B100" s="307" t="s">
        <v>646</v>
      </c>
      <c r="G100" s="307" t="s">
        <v>638</v>
      </c>
    </row>
    <row r="101" spans="1:7" x14ac:dyDescent="0.35">
      <c r="A101" s="289" t="s">
        <v>648</v>
      </c>
      <c r="B101" s="307" t="s">
        <v>649</v>
      </c>
      <c r="G101" s="307" t="s">
        <v>641</v>
      </c>
    </row>
    <row r="102" spans="1:7" x14ac:dyDescent="0.35">
      <c r="A102" s="289" t="s">
        <v>651</v>
      </c>
      <c r="B102" s="307" t="s">
        <v>652</v>
      </c>
      <c r="G102" s="307" t="s">
        <v>644</v>
      </c>
    </row>
    <row r="103" spans="1:7" x14ac:dyDescent="0.35">
      <c r="A103" s="289" t="s">
        <v>654</v>
      </c>
      <c r="B103" s="307" t="s">
        <v>655</v>
      </c>
      <c r="G103" s="307" t="s">
        <v>647</v>
      </c>
    </row>
    <row r="104" spans="1:7" x14ac:dyDescent="0.35">
      <c r="A104" s="289" t="s">
        <v>657</v>
      </c>
      <c r="B104" s="307" t="s">
        <v>658</v>
      </c>
      <c r="G104" s="307" t="s">
        <v>650</v>
      </c>
    </row>
    <row r="105" spans="1:7" x14ac:dyDescent="0.35">
      <c r="A105" s="289" t="s">
        <v>660</v>
      </c>
      <c r="B105" s="307" t="s">
        <v>661</v>
      </c>
      <c r="G105" s="307" t="s">
        <v>653</v>
      </c>
    </row>
    <row r="106" spans="1:7" x14ac:dyDescent="0.35">
      <c r="A106" s="289" t="s">
        <v>663</v>
      </c>
      <c r="B106" s="307" t="s">
        <v>664</v>
      </c>
      <c r="G106" s="307" t="s">
        <v>656</v>
      </c>
    </row>
    <row r="107" spans="1:7" x14ac:dyDescent="0.35">
      <c r="A107" s="289" t="s">
        <v>665</v>
      </c>
      <c r="B107" s="307" t="s">
        <v>666</v>
      </c>
      <c r="G107" s="307" t="s">
        <v>659</v>
      </c>
    </row>
    <row r="108" spans="1:7" x14ac:dyDescent="0.35">
      <c r="A108" s="289" t="s">
        <v>668</v>
      </c>
      <c r="B108" s="307" t="s">
        <v>669</v>
      </c>
      <c r="G108" s="307" t="s">
        <v>662</v>
      </c>
    </row>
    <row r="109" spans="1:7" x14ac:dyDescent="0.35">
      <c r="A109" s="289" t="s">
        <v>671</v>
      </c>
      <c r="B109" s="307" t="s">
        <v>672</v>
      </c>
      <c r="G109" s="307" t="s">
        <v>403</v>
      </c>
    </row>
    <row r="110" spans="1:7" x14ac:dyDescent="0.35">
      <c r="A110" s="289" t="s">
        <v>674</v>
      </c>
      <c r="B110" s="307" t="s">
        <v>675</v>
      </c>
      <c r="G110" s="307" t="s">
        <v>667</v>
      </c>
    </row>
    <row r="111" spans="1:7" x14ac:dyDescent="0.35">
      <c r="A111" s="289" t="s">
        <v>676</v>
      </c>
      <c r="B111" s="307" t="s">
        <v>677</v>
      </c>
      <c r="G111" s="307" t="s">
        <v>670</v>
      </c>
    </row>
    <row r="112" spans="1:7" x14ac:dyDescent="0.35">
      <c r="A112" s="289" t="s">
        <v>679</v>
      </c>
      <c r="B112" s="307" t="s">
        <v>680</v>
      </c>
      <c r="G112" s="307" t="s">
        <v>673</v>
      </c>
    </row>
    <row r="113" spans="1:7" x14ac:dyDescent="0.35">
      <c r="A113" s="289" t="s">
        <v>682</v>
      </c>
      <c r="B113" s="307" t="s">
        <v>683</v>
      </c>
      <c r="G113" s="307" t="s">
        <v>408</v>
      </c>
    </row>
    <row r="114" spans="1:7" x14ac:dyDescent="0.35">
      <c r="A114" s="289" t="s">
        <v>685</v>
      </c>
      <c r="B114" s="307" t="s">
        <v>686</v>
      </c>
      <c r="G114" s="307" t="s">
        <v>678</v>
      </c>
    </row>
    <row r="115" spans="1:7" x14ac:dyDescent="0.35">
      <c r="A115" s="289" t="s">
        <v>688</v>
      </c>
      <c r="B115" s="307" t="s">
        <v>689</v>
      </c>
      <c r="G115" s="307" t="s">
        <v>681</v>
      </c>
    </row>
    <row r="116" spans="1:7" x14ac:dyDescent="0.35">
      <c r="A116" s="289" t="s">
        <v>690</v>
      </c>
      <c r="B116" s="307" t="s">
        <v>691</v>
      </c>
      <c r="G116" s="307" t="s">
        <v>684</v>
      </c>
    </row>
    <row r="117" spans="1:7" x14ac:dyDescent="0.35">
      <c r="A117" s="289" t="s">
        <v>693</v>
      </c>
      <c r="B117" s="307" t="s">
        <v>694</v>
      </c>
      <c r="G117" s="307" t="s">
        <v>687</v>
      </c>
    </row>
    <row r="118" spans="1:7" x14ac:dyDescent="0.35">
      <c r="A118" s="289" t="s">
        <v>702</v>
      </c>
      <c r="B118" s="307" t="s">
        <v>703</v>
      </c>
      <c r="G118" s="307" t="s">
        <v>687</v>
      </c>
    </row>
    <row r="119" spans="1:7" x14ac:dyDescent="0.35">
      <c r="A119" s="289" t="s">
        <v>705</v>
      </c>
      <c r="B119" s="307" t="s">
        <v>706</v>
      </c>
      <c r="G119" s="307" t="s">
        <v>692</v>
      </c>
    </row>
    <row r="120" spans="1:7" x14ac:dyDescent="0.35">
      <c r="A120" s="289" t="s">
        <v>707</v>
      </c>
      <c r="B120" s="307" t="s">
        <v>708</v>
      </c>
      <c r="G120" s="307" t="s">
        <v>421</v>
      </c>
    </row>
    <row r="121" spans="1:7" x14ac:dyDescent="0.35">
      <c r="A121" s="289" t="s">
        <v>709</v>
      </c>
      <c r="B121" s="307" t="s">
        <v>710</v>
      </c>
      <c r="G121" s="307" t="s">
        <v>697</v>
      </c>
    </row>
    <row r="122" spans="1:7" x14ac:dyDescent="0.35">
      <c r="A122" s="289" t="s">
        <v>712</v>
      </c>
      <c r="B122" s="307" t="s">
        <v>713</v>
      </c>
      <c r="G122" s="307" t="s">
        <v>700</v>
      </c>
    </row>
    <row r="123" spans="1:7" x14ac:dyDescent="0.35">
      <c r="A123" s="289" t="s">
        <v>715</v>
      </c>
      <c r="B123" s="307" t="s">
        <v>716</v>
      </c>
      <c r="G123" s="307" t="s">
        <v>701</v>
      </c>
    </row>
    <row r="124" spans="1:7" x14ac:dyDescent="0.35">
      <c r="A124" s="289" t="s">
        <v>717</v>
      </c>
      <c r="B124" s="307" t="s">
        <v>718</v>
      </c>
      <c r="G124" s="307" t="s">
        <v>391</v>
      </c>
    </row>
    <row r="125" spans="1:7" x14ac:dyDescent="0.35">
      <c r="A125" s="289" t="s">
        <v>720</v>
      </c>
      <c r="B125" s="307" t="s">
        <v>721</v>
      </c>
      <c r="G125" s="307" t="s">
        <v>168</v>
      </c>
    </row>
    <row r="126" spans="1:7" x14ac:dyDescent="0.35">
      <c r="A126" s="289" t="s">
        <v>723</v>
      </c>
      <c r="B126" s="307" t="s">
        <v>724</v>
      </c>
      <c r="G126" s="307" t="s">
        <v>704</v>
      </c>
    </row>
    <row r="127" spans="1:7" x14ac:dyDescent="0.35">
      <c r="A127" s="289" t="s">
        <v>726</v>
      </c>
      <c r="B127" s="307" t="s">
        <v>727</v>
      </c>
      <c r="G127" s="307" t="s">
        <v>426</v>
      </c>
    </row>
    <row r="128" spans="1:7" x14ac:dyDescent="0.35">
      <c r="A128" s="289" t="s">
        <v>729</v>
      </c>
      <c r="B128" s="307" t="s">
        <v>730</v>
      </c>
      <c r="G128" s="307" t="s">
        <v>431</v>
      </c>
    </row>
    <row r="129" spans="1:7" x14ac:dyDescent="0.35">
      <c r="A129" s="289" t="s">
        <v>732</v>
      </c>
      <c r="B129" s="307" t="s">
        <v>733</v>
      </c>
      <c r="G129" s="307" t="s">
        <v>711</v>
      </c>
    </row>
    <row r="130" spans="1:7" x14ac:dyDescent="0.35">
      <c r="A130" s="289" t="s">
        <v>735</v>
      </c>
      <c r="B130" s="307" t="s">
        <v>736</v>
      </c>
      <c r="G130" s="307" t="s">
        <v>714</v>
      </c>
    </row>
    <row r="131" spans="1:7" x14ac:dyDescent="0.35">
      <c r="A131" s="289" t="s">
        <v>738</v>
      </c>
      <c r="B131" s="307" t="s">
        <v>739</v>
      </c>
      <c r="G131" s="307" t="s">
        <v>446</v>
      </c>
    </row>
    <row r="132" spans="1:7" x14ac:dyDescent="0.35">
      <c r="A132" s="289" t="s">
        <v>740</v>
      </c>
      <c r="B132" s="307" t="s">
        <v>741</v>
      </c>
      <c r="G132" s="307" t="s">
        <v>719</v>
      </c>
    </row>
    <row r="133" spans="1:7" x14ac:dyDescent="0.35">
      <c r="A133" s="289" t="s">
        <v>743</v>
      </c>
      <c r="B133" s="307" t="s">
        <v>744</v>
      </c>
      <c r="G133" s="307" t="s">
        <v>722</v>
      </c>
    </row>
    <row r="134" spans="1:7" x14ac:dyDescent="0.35">
      <c r="A134" s="289" t="s">
        <v>746</v>
      </c>
      <c r="B134" s="307" t="s">
        <v>747</v>
      </c>
      <c r="G134" s="307" t="s">
        <v>725</v>
      </c>
    </row>
    <row r="135" spans="1:7" x14ac:dyDescent="0.35">
      <c r="A135" s="289" t="s">
        <v>749</v>
      </c>
      <c r="B135" s="307" t="s">
        <v>750</v>
      </c>
      <c r="G135" s="307" t="s">
        <v>456</v>
      </c>
    </row>
    <row r="136" spans="1:7" x14ac:dyDescent="0.35">
      <c r="A136" s="289" t="s">
        <v>752</v>
      </c>
      <c r="B136" s="307" t="s">
        <v>753</v>
      </c>
      <c r="G136" s="307" t="s">
        <v>728</v>
      </c>
    </row>
    <row r="137" spans="1:7" x14ac:dyDescent="0.35">
      <c r="A137" s="289" t="s">
        <v>755</v>
      </c>
      <c r="B137" s="307" t="s">
        <v>756</v>
      </c>
      <c r="G137" s="307" t="s">
        <v>731</v>
      </c>
    </row>
    <row r="138" spans="1:7" x14ac:dyDescent="0.35">
      <c r="A138" s="289" t="s">
        <v>758</v>
      </c>
      <c r="B138" s="307" t="s">
        <v>759</v>
      </c>
      <c r="G138" s="307" t="s">
        <v>734</v>
      </c>
    </row>
    <row r="139" spans="1:7" x14ac:dyDescent="0.35">
      <c r="A139" s="289" t="s">
        <v>760</v>
      </c>
      <c r="B139" s="307" t="s">
        <v>761</v>
      </c>
      <c r="G139" s="307" t="s">
        <v>737</v>
      </c>
    </row>
    <row r="140" spans="1:7" x14ac:dyDescent="0.35">
      <c r="A140" s="289" t="s">
        <v>763</v>
      </c>
      <c r="B140" s="307" t="s">
        <v>764</v>
      </c>
      <c r="G140" s="307" t="s">
        <v>461</v>
      </c>
    </row>
    <row r="141" spans="1:7" x14ac:dyDescent="0.35">
      <c r="A141" s="289" t="s">
        <v>766</v>
      </c>
      <c r="B141" s="307" t="s">
        <v>767</v>
      </c>
      <c r="G141" s="307" t="s">
        <v>742</v>
      </c>
    </row>
    <row r="142" spans="1:7" x14ac:dyDescent="0.35">
      <c r="A142" s="289" t="s">
        <v>769</v>
      </c>
      <c r="B142" s="307" t="s">
        <v>770</v>
      </c>
      <c r="G142" s="307" t="s">
        <v>745</v>
      </c>
    </row>
    <row r="143" spans="1:7" x14ac:dyDescent="0.35">
      <c r="A143" s="289" t="s">
        <v>771</v>
      </c>
      <c r="B143" s="307" t="s">
        <v>772</v>
      </c>
      <c r="G143" s="307" t="s">
        <v>748</v>
      </c>
    </row>
    <row r="144" spans="1:7" ht="13.5" thickBot="1" x14ac:dyDescent="0.4">
      <c r="A144" s="302" t="s">
        <v>774</v>
      </c>
      <c r="B144" s="308" t="s">
        <v>775</v>
      </c>
      <c r="G144" s="307" t="s">
        <v>751</v>
      </c>
    </row>
    <row r="145" spans="7:7" ht="13.5" thickTop="1" x14ac:dyDescent="0.35">
      <c r="G145" s="307" t="s">
        <v>754</v>
      </c>
    </row>
    <row r="146" spans="7:7" x14ac:dyDescent="0.35">
      <c r="G146" s="307" t="s">
        <v>757</v>
      </c>
    </row>
    <row r="147" spans="7:7" x14ac:dyDescent="0.35">
      <c r="G147" s="307" t="s">
        <v>480</v>
      </c>
    </row>
    <row r="148" spans="7:7" x14ac:dyDescent="0.35">
      <c r="G148" s="307" t="s">
        <v>762</v>
      </c>
    </row>
    <row r="149" spans="7:7" x14ac:dyDescent="0.35">
      <c r="G149" s="307" t="s">
        <v>765</v>
      </c>
    </row>
    <row r="150" spans="7:7" x14ac:dyDescent="0.35">
      <c r="G150" s="307" t="s">
        <v>768</v>
      </c>
    </row>
    <row r="151" spans="7:7" x14ac:dyDescent="0.35">
      <c r="G151" s="307" t="s">
        <v>404</v>
      </c>
    </row>
    <row r="152" spans="7:7" x14ac:dyDescent="0.35">
      <c r="G152" s="307" t="s">
        <v>773</v>
      </c>
    </row>
    <row r="153" spans="7:7" x14ac:dyDescent="0.35">
      <c r="G153" s="307" t="s">
        <v>776</v>
      </c>
    </row>
    <row r="154" spans="7:7" x14ac:dyDescent="0.35">
      <c r="G154" s="307" t="s">
        <v>485</v>
      </c>
    </row>
    <row r="155" spans="7:7" x14ac:dyDescent="0.35">
      <c r="G155" s="307" t="s">
        <v>777</v>
      </c>
    </row>
    <row r="156" spans="7:7" x14ac:dyDescent="0.35">
      <c r="G156" s="307" t="s">
        <v>777</v>
      </c>
    </row>
    <row r="157" spans="7:7" x14ac:dyDescent="0.35">
      <c r="G157" s="307" t="s">
        <v>495</v>
      </c>
    </row>
    <row r="158" spans="7:7" x14ac:dyDescent="0.35">
      <c r="G158" s="307" t="s">
        <v>409</v>
      </c>
    </row>
    <row r="159" spans="7:7" x14ac:dyDescent="0.35">
      <c r="G159" s="307" t="s">
        <v>778</v>
      </c>
    </row>
    <row r="160" spans="7:7" x14ac:dyDescent="0.35">
      <c r="G160" s="307" t="s">
        <v>501</v>
      </c>
    </row>
    <row r="161" spans="7:7" x14ac:dyDescent="0.35">
      <c r="G161" s="307" t="s">
        <v>779</v>
      </c>
    </row>
    <row r="162" spans="7:7" x14ac:dyDescent="0.35">
      <c r="G162" s="307" t="s">
        <v>780</v>
      </c>
    </row>
    <row r="163" spans="7:7" x14ac:dyDescent="0.35">
      <c r="G163" s="307" t="s">
        <v>415</v>
      </c>
    </row>
    <row r="164" spans="7:7" x14ac:dyDescent="0.35">
      <c r="G164" s="307" t="s">
        <v>781</v>
      </c>
    </row>
    <row r="165" spans="7:7" x14ac:dyDescent="0.35">
      <c r="G165" s="307" t="s">
        <v>782</v>
      </c>
    </row>
    <row r="166" spans="7:7" x14ac:dyDescent="0.35">
      <c r="G166" s="307" t="s">
        <v>783</v>
      </c>
    </row>
    <row r="167" spans="7:7" x14ac:dyDescent="0.35">
      <c r="G167" s="307" t="s">
        <v>784</v>
      </c>
    </row>
    <row r="168" spans="7:7" x14ac:dyDescent="0.35">
      <c r="G168" s="307" t="s">
        <v>785</v>
      </c>
    </row>
    <row r="169" spans="7:7" x14ac:dyDescent="0.35">
      <c r="G169" s="307" t="s">
        <v>786</v>
      </c>
    </row>
    <row r="170" spans="7:7" x14ac:dyDescent="0.35">
      <c r="G170" s="307" t="s">
        <v>787</v>
      </c>
    </row>
    <row r="171" spans="7:7" x14ac:dyDescent="0.35">
      <c r="G171" s="307" t="s">
        <v>788</v>
      </c>
    </row>
    <row r="172" spans="7:7" x14ac:dyDescent="0.35">
      <c r="G172" s="307" t="s">
        <v>789</v>
      </c>
    </row>
    <row r="173" spans="7:7" x14ac:dyDescent="0.35">
      <c r="G173" s="307" t="s">
        <v>511</v>
      </c>
    </row>
    <row r="174" spans="7:7" x14ac:dyDescent="0.35">
      <c r="G174" s="307" t="s">
        <v>790</v>
      </c>
    </row>
    <row r="175" spans="7:7" x14ac:dyDescent="0.35">
      <c r="G175" s="307" t="s">
        <v>791</v>
      </c>
    </row>
    <row r="176" spans="7:7" x14ac:dyDescent="0.35">
      <c r="G176" s="307" t="s">
        <v>516</v>
      </c>
    </row>
    <row r="177" spans="7:7" x14ac:dyDescent="0.35">
      <c r="G177" s="307" t="s">
        <v>523</v>
      </c>
    </row>
    <row r="178" spans="7:7" x14ac:dyDescent="0.35">
      <c r="G178" s="307" t="s">
        <v>792</v>
      </c>
    </row>
    <row r="179" spans="7:7" x14ac:dyDescent="0.35">
      <c r="G179" s="307" t="s">
        <v>793</v>
      </c>
    </row>
    <row r="180" spans="7:7" x14ac:dyDescent="0.35">
      <c r="G180" s="307" t="s">
        <v>794</v>
      </c>
    </row>
    <row r="181" spans="7:7" x14ac:dyDescent="0.35">
      <c r="G181" s="307" t="s">
        <v>795</v>
      </c>
    </row>
    <row r="182" spans="7:7" x14ac:dyDescent="0.35">
      <c r="G182" s="307" t="s">
        <v>528</v>
      </c>
    </row>
    <row r="183" spans="7:7" x14ac:dyDescent="0.35">
      <c r="G183" s="307" t="s">
        <v>796</v>
      </c>
    </row>
    <row r="184" spans="7:7" x14ac:dyDescent="0.35">
      <c r="G184" s="307" t="s">
        <v>797</v>
      </c>
    </row>
    <row r="185" spans="7:7" x14ac:dyDescent="0.35">
      <c r="G185" s="307" t="s">
        <v>533</v>
      </c>
    </row>
    <row r="186" spans="7:7" x14ac:dyDescent="0.35">
      <c r="G186" s="307" t="s">
        <v>798</v>
      </c>
    </row>
    <row r="187" spans="7:7" x14ac:dyDescent="0.35">
      <c r="G187" s="307" t="s">
        <v>799</v>
      </c>
    </row>
    <row r="188" spans="7:7" ht="13.5" thickBot="1" x14ac:dyDescent="0.4">
      <c r="G188" s="308" t="s">
        <v>800</v>
      </c>
    </row>
    <row r="189" spans="7:7" ht="13.5" thickTop="1" x14ac:dyDescent="0.35"/>
  </sheetData>
  <sortState xmlns:xlrd2="http://schemas.microsoft.com/office/spreadsheetml/2017/richdata2" ref="A5:B15">
    <sortCondition ref="A5:A15"/>
  </sortState>
  <mergeCells count="1">
    <mergeCell ref="A1:E1"/>
  </mergeCells>
  <phoneticPr fontId="38" type="noConversion"/>
  <conditionalFormatting sqref="P1:AH1">
    <cfRule type="expression" dxfId="38" priority="1">
      <formula>LEN(P2)&gt;57</formula>
    </cfRule>
  </conditionalFormatting>
  <pageMargins left="0.7" right="0.7" top="0.78740157499999996" bottom="0.78740157499999996" header="0.3" footer="0.3"/>
  <pageSetup paperSize="0" orientation="portrait" horizontalDpi="300" verticalDpi="3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C9962-7E61-4A44-BB30-41629505B98B}">
  <sheetPr codeName="Sheet6"/>
  <dimension ref="A1:H22"/>
  <sheetViews>
    <sheetView topLeftCell="A10" workbookViewId="0">
      <selection activeCell="D23" sqref="D23"/>
    </sheetView>
  </sheetViews>
  <sheetFormatPr baseColWidth="10" defaultColWidth="9.1796875" defaultRowHeight="14.5" x14ac:dyDescent="0.35"/>
  <cols>
    <col min="1" max="1" width="31" bestFit="1" customWidth="1"/>
    <col min="2" max="2" width="9.81640625" bestFit="1" customWidth="1"/>
    <col min="3" max="3" width="9" bestFit="1" customWidth="1"/>
    <col min="4" max="4" width="71.26953125" customWidth="1"/>
    <col min="5" max="5" width="11.26953125" bestFit="1" customWidth="1"/>
    <col min="6" max="6" width="9.81640625" bestFit="1" customWidth="1"/>
    <col min="7" max="7" width="9" bestFit="1" customWidth="1"/>
    <col min="8" max="8" width="5.26953125" bestFit="1" customWidth="1"/>
  </cols>
  <sheetData>
    <row r="1" spans="1:8" x14ac:dyDescent="0.35">
      <c r="A1" s="968" t="s">
        <v>2012</v>
      </c>
      <c r="B1" s="968"/>
      <c r="C1" s="968"/>
      <c r="D1" s="968"/>
      <c r="E1" s="968" t="s">
        <v>2013</v>
      </c>
      <c r="F1" s="968"/>
      <c r="G1" s="968"/>
      <c r="H1" s="968"/>
    </row>
    <row r="2" spans="1:8" x14ac:dyDescent="0.35">
      <c r="A2" t="s">
        <v>2014</v>
      </c>
      <c r="B2" t="s">
        <v>2015</v>
      </c>
      <c r="C2" t="s">
        <v>2016</v>
      </c>
      <c r="D2" t="s">
        <v>2017</v>
      </c>
      <c r="E2" t="s">
        <v>2014</v>
      </c>
      <c r="F2" t="s">
        <v>2015</v>
      </c>
      <c r="G2" t="s">
        <v>2016</v>
      </c>
      <c r="H2" t="s">
        <v>2017</v>
      </c>
    </row>
    <row r="3" spans="1:8" x14ac:dyDescent="0.35">
      <c r="A3" t="s">
        <v>2018</v>
      </c>
      <c r="B3">
        <v>0</v>
      </c>
      <c r="C3">
        <v>0</v>
      </c>
    </row>
    <row r="4" spans="1:8" x14ac:dyDescent="0.35">
      <c r="A4" t="s">
        <v>2018</v>
      </c>
      <c r="B4">
        <v>0</v>
      </c>
      <c r="C4">
        <v>-1</v>
      </c>
      <c r="D4" t="s">
        <v>16</v>
      </c>
    </row>
    <row r="5" spans="1:8" x14ac:dyDescent="0.35">
      <c r="A5" t="s">
        <v>2019</v>
      </c>
      <c r="B5">
        <v>0</v>
      </c>
      <c r="C5">
        <v>0</v>
      </c>
    </row>
    <row r="6" spans="1:8" x14ac:dyDescent="0.35">
      <c r="A6" t="s">
        <v>2019</v>
      </c>
      <c r="B6">
        <v>0</v>
      </c>
      <c r="C6">
        <v>-1</v>
      </c>
      <c r="D6" t="s">
        <v>21</v>
      </c>
    </row>
    <row r="7" spans="1:8" x14ac:dyDescent="0.35">
      <c r="A7" t="s">
        <v>2020</v>
      </c>
      <c r="B7">
        <v>0</v>
      </c>
      <c r="C7">
        <v>0</v>
      </c>
    </row>
    <row r="8" spans="1:8" x14ac:dyDescent="0.35">
      <c r="A8" t="s">
        <v>2020</v>
      </c>
      <c r="B8">
        <v>0</v>
      </c>
      <c r="C8">
        <v>-1</v>
      </c>
      <c r="D8" t="s">
        <v>22</v>
      </c>
    </row>
    <row r="9" spans="1:8" x14ac:dyDescent="0.35">
      <c r="A9" t="s">
        <v>2021</v>
      </c>
      <c r="B9">
        <v>0</v>
      </c>
      <c r="C9">
        <v>0</v>
      </c>
    </row>
    <row r="10" spans="1:8" ht="43.5" x14ac:dyDescent="0.35">
      <c r="A10" t="s">
        <v>2022</v>
      </c>
      <c r="B10">
        <v>0</v>
      </c>
      <c r="C10">
        <v>0</v>
      </c>
      <c r="D10" s="507" t="s">
        <v>2023</v>
      </c>
    </row>
    <row r="11" spans="1:8" x14ac:dyDescent="0.35">
      <c r="A11" t="s">
        <v>2018</v>
      </c>
      <c r="B11">
        <v>0</v>
      </c>
      <c r="C11">
        <v>1</v>
      </c>
      <c r="D11" t="s">
        <v>17</v>
      </c>
    </row>
    <row r="12" spans="1:8" x14ac:dyDescent="0.35">
      <c r="A12" t="s">
        <v>2024</v>
      </c>
      <c r="B12">
        <v>0</v>
      </c>
      <c r="C12">
        <v>0</v>
      </c>
    </row>
    <row r="13" spans="1:8" ht="116" x14ac:dyDescent="0.35">
      <c r="A13" t="s">
        <v>2024</v>
      </c>
      <c r="B13">
        <v>0</v>
      </c>
      <c r="C13">
        <v>1</v>
      </c>
      <c r="D13" s="507" t="s">
        <v>2025</v>
      </c>
    </row>
    <row r="14" spans="1:8" x14ac:dyDescent="0.35">
      <c r="A14" t="s">
        <v>2020</v>
      </c>
      <c r="B14">
        <v>0</v>
      </c>
      <c r="C14">
        <v>1</v>
      </c>
      <c r="D14" t="s">
        <v>17</v>
      </c>
    </row>
    <row r="15" spans="1:8" x14ac:dyDescent="0.35">
      <c r="A15" t="s">
        <v>2026</v>
      </c>
      <c r="B15">
        <v>0</v>
      </c>
      <c r="C15">
        <v>0</v>
      </c>
    </row>
    <row r="16" spans="1:8" ht="29" x14ac:dyDescent="0.35">
      <c r="A16" t="s">
        <v>2022</v>
      </c>
      <c r="B16">
        <v>0</v>
      </c>
      <c r="C16">
        <v>4</v>
      </c>
      <c r="D16" s="508" t="s">
        <v>31</v>
      </c>
    </row>
    <row r="17" spans="1:4" x14ac:dyDescent="0.35">
      <c r="A17" t="s">
        <v>2027</v>
      </c>
      <c r="B17">
        <v>0</v>
      </c>
      <c r="C17">
        <v>0</v>
      </c>
    </row>
    <row r="18" spans="1:4" ht="43.5" x14ac:dyDescent="0.35">
      <c r="A18" t="s">
        <v>2027</v>
      </c>
      <c r="B18">
        <v>-1</v>
      </c>
      <c r="C18">
        <v>0</v>
      </c>
      <c r="D18" s="507" t="s">
        <v>2028</v>
      </c>
    </row>
    <row r="19" spans="1:4" x14ac:dyDescent="0.35">
      <c r="A19" t="s">
        <v>2027</v>
      </c>
      <c r="B19">
        <v>-2</v>
      </c>
      <c r="C19">
        <v>0</v>
      </c>
      <c r="D19" t="s">
        <v>46</v>
      </c>
    </row>
    <row r="20" spans="1:4" x14ac:dyDescent="0.35">
      <c r="A20" t="s">
        <v>2029</v>
      </c>
      <c r="B20">
        <v>0</v>
      </c>
      <c r="C20">
        <v>-1</v>
      </c>
      <c r="D20" t="s">
        <v>54</v>
      </c>
    </row>
    <row r="21" spans="1:4" x14ac:dyDescent="0.35">
      <c r="A21" t="s">
        <v>2029</v>
      </c>
      <c r="B21">
        <v>0</v>
      </c>
      <c r="C21">
        <v>0</v>
      </c>
    </row>
    <row r="22" spans="1:4" x14ac:dyDescent="0.35">
      <c r="A22" t="s">
        <v>2029</v>
      </c>
      <c r="B22">
        <v>0</v>
      </c>
      <c r="C22">
        <v>1</v>
      </c>
      <c r="D22" t="s">
        <v>55</v>
      </c>
    </row>
  </sheetData>
  <mergeCells count="2">
    <mergeCell ref="A1:D1"/>
    <mergeCell ref="E1:H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6A286-781F-4DCE-B360-2ED55377C117}">
  <sheetPr codeName="Sheet4"/>
  <dimension ref="A1:E54"/>
  <sheetViews>
    <sheetView topLeftCell="C3" workbookViewId="0">
      <selection activeCell="C20" sqref="A20:XFD20"/>
    </sheetView>
  </sheetViews>
  <sheetFormatPr baseColWidth="10" defaultColWidth="9.1796875" defaultRowHeight="14.5" x14ac:dyDescent="0.35"/>
  <cols>
    <col min="1" max="1" width="58.1796875" bestFit="1" customWidth="1"/>
    <col min="2" max="2" width="57.54296875" bestFit="1" customWidth="1"/>
    <col min="3" max="3" width="70.81640625" bestFit="1" customWidth="1"/>
    <col min="4" max="4" width="96" bestFit="1" customWidth="1"/>
    <col min="5" max="5" width="37.26953125" bestFit="1" customWidth="1"/>
  </cols>
  <sheetData>
    <row r="1" spans="1:5" x14ac:dyDescent="0.3">
      <c r="A1" s="445" t="s">
        <v>142</v>
      </c>
      <c r="B1" s="445" t="s">
        <v>149</v>
      </c>
      <c r="C1" s="445" t="s">
        <v>2030</v>
      </c>
      <c r="D1" s="445" t="s">
        <v>2031</v>
      </c>
      <c r="E1" s="445" t="s">
        <v>4666</v>
      </c>
    </row>
    <row r="2" spans="1:5" x14ac:dyDescent="0.35">
      <c r="A2" s="457" t="str">
        <f ca="1">'Type of Goods Back'!A2</f>
        <v>1. General consumer goods</v>
      </c>
      <c r="B2" s="454" t="str">
        <f ca="1">'Type of Goods Back'!B2</f>
        <v/>
      </c>
      <c r="C2" s="449" t="str">
        <f ca="1">'Type of Goods Back'!C2</f>
        <v>Goods for end customers, which are in the general household.</v>
      </c>
      <c r="D2" s="449" t="str">
        <f ca="1">'Type of Goods Back'!D2</f>
        <v>Cupboards, tables, chairs, cutlery, porcelain, glasses, general household goods, baby carriages, marquise</v>
      </c>
      <c r="E2" s="449"/>
    </row>
    <row r="3" spans="1:5" ht="29" x14ac:dyDescent="0.35">
      <c r="A3" s="448" t="str">
        <f ca="1">'Type of Goods Back'!A3</f>
        <v>2. Other vegetable goods</v>
      </c>
      <c r="B3" s="454" t="str">
        <f ca="1">'Type of Goods Back'!B3</f>
        <v/>
      </c>
      <c r="C3" s="449" t="str">
        <f ca="1">'Type of Goods Back'!C3</f>
        <v>Perishable products for end consumers</v>
      </c>
      <c r="D3" s="451" t="str">
        <f ca="1">'Type of Goods Back'!D3</f>
        <v>Not the milk tanker, but the milk packs.
Milk, butter, flowers, meat (packaged), eggs.</v>
      </c>
      <c r="E3" s="449"/>
    </row>
    <row r="4" spans="1:5" x14ac:dyDescent="0.35">
      <c r="A4" s="988" t="str">
        <f ca="1">'Type of Goods Back'!A4</f>
        <v>3. Plant construction</v>
      </c>
      <c r="B4" s="3" t="str">
        <f ca="1">'Type of Goods Back'!B4</f>
        <v>Project - containerized</v>
      </c>
      <c r="C4" s="986" t="str">
        <f ca="1">'Type of Goods Back'!C4</f>
        <v>Construction of production or extraction sites.
As a distinction from mechanical engineering, these are immovable goods that spend their lifetime in a permanently installed location.</v>
      </c>
      <c r="D4" s="986" t="str">
        <f ca="1">'Type of Goods Back'!D4</f>
        <v>Turbine plant, hydroelectric power station</v>
      </c>
      <c r="E4" s="2" t="s">
        <v>2033</v>
      </c>
    </row>
    <row r="5" spans="1:5" x14ac:dyDescent="0.35">
      <c r="A5" s="989">
        <f>'Type of Goods Back'!A5</f>
        <v>0</v>
      </c>
      <c r="B5" s="3" t="str">
        <f ca="1">'Type of Goods Back'!B5</f>
        <v>Project - non-containerized</v>
      </c>
      <c r="C5" s="986" t="str">
        <f ca="1">'Type of Goods Back'!C5</f>
        <v/>
      </c>
      <c r="D5" s="986" t="str">
        <f ca="1">'Type of Goods Back'!D5</f>
        <v/>
      </c>
      <c r="E5" s="2"/>
    </row>
    <row r="6" spans="1:5" x14ac:dyDescent="0.35">
      <c r="A6" s="989">
        <f>'Type of Goods Back'!A6</f>
        <v>0</v>
      </c>
      <c r="B6" s="3" t="str">
        <f ca="1">'Type of Goods Back'!B6</f>
        <v>Serial / mass production - containerized</v>
      </c>
      <c r="C6" s="986" t="str">
        <f ca="1">'Type of Goods Back'!C6</f>
        <v/>
      </c>
      <c r="D6" s="986" t="str">
        <f ca="1">'Type of Goods Back'!D6</f>
        <v/>
      </c>
      <c r="E6" s="2"/>
    </row>
    <row r="7" spans="1:5" x14ac:dyDescent="0.35">
      <c r="A7" s="990">
        <f>'Type of Goods Back'!A7</f>
        <v>0</v>
      </c>
      <c r="B7" s="454" t="str">
        <f ca="1">'Type of Goods Back'!B7</f>
        <v>Serial / mass production - non-containerized</v>
      </c>
      <c r="C7" s="987" t="str">
        <f ca="1">'Type of Goods Back'!C7</f>
        <v/>
      </c>
      <c r="D7" s="987" t="str">
        <f ca="1">'Type of Goods Back'!D7</f>
        <v/>
      </c>
      <c r="E7" s="449"/>
    </row>
    <row r="8" spans="1:5" x14ac:dyDescent="0.35">
      <c r="A8" s="980" t="str">
        <f ca="1">'Type of Goods Back'!A8</f>
        <v>4. Automobile construction</v>
      </c>
      <c r="B8" s="3" t="str">
        <f ca="1">'Type of Goods Back'!B8</f>
        <v>Vehicles - car combustion</v>
      </c>
      <c r="C8" s="986" t="str">
        <f ca="1">'Type of Goods Back'!C8</f>
        <v>Hybrid vehicles are classified as internal combustion engines.</v>
      </c>
      <c r="D8" s="2" t="str">
        <f ca="1">'Type of Goods Back'!D8</f>
        <v/>
      </c>
      <c r="E8" s="2"/>
    </row>
    <row r="9" spans="1:5" x14ac:dyDescent="0.35">
      <c r="A9" s="981">
        <f>'Type of Goods Back'!A9</f>
        <v>0</v>
      </c>
      <c r="B9" s="3" t="str">
        <f ca="1">'Type of Goods Back'!B9</f>
        <v>Vehicles - car electric</v>
      </c>
      <c r="C9" s="986" t="str">
        <f ca="1">'Type of Goods Back'!C9</f>
        <v/>
      </c>
      <c r="D9" s="2" t="str">
        <f ca="1">'Type of Goods Back'!D9</f>
        <v/>
      </c>
      <c r="E9" s="2"/>
    </row>
    <row r="10" spans="1:5" x14ac:dyDescent="0.35">
      <c r="A10" s="981">
        <f>'Type of Goods Back'!A10</f>
        <v>0</v>
      </c>
      <c r="B10" s="3" t="str">
        <f ca="1">'Type of Goods Back'!B10</f>
        <v>Vehicles - truck combustion</v>
      </c>
      <c r="C10" s="986" t="str">
        <f ca="1">'Type of Goods Back'!C10</f>
        <v/>
      </c>
      <c r="D10" s="2" t="str">
        <f ca="1">'Type of Goods Back'!D10</f>
        <v/>
      </c>
      <c r="E10" s="2"/>
    </row>
    <row r="11" spans="1:5" x14ac:dyDescent="0.35">
      <c r="A11" s="981">
        <f>'Type of Goods Back'!A11</f>
        <v>0</v>
      </c>
      <c r="B11" s="3" t="str">
        <f ca="1">'Type of Goods Back'!B11</f>
        <v>Vehicles - truck electric</v>
      </c>
      <c r="C11" s="986" t="str">
        <f ca="1">'Type of Goods Back'!C11</f>
        <v/>
      </c>
      <c r="D11" s="2" t="str">
        <f ca="1">'Type of Goods Back'!D11</f>
        <v/>
      </c>
      <c r="E11" s="2"/>
    </row>
    <row r="12" spans="1:5" x14ac:dyDescent="0.35">
      <c r="A12" s="981">
        <f>'Type of Goods Back'!A12</f>
        <v>0</v>
      </c>
      <c r="B12" s="3" t="str">
        <f ca="1">'Type of Goods Back'!B12</f>
        <v>Vehicles - camping combustion</v>
      </c>
      <c r="C12" s="986" t="str">
        <f ca="1">'Type of Goods Back'!C12</f>
        <v/>
      </c>
      <c r="D12" s="2" t="str">
        <f ca="1">'Type of Goods Back'!D12</f>
        <v/>
      </c>
      <c r="E12" s="2"/>
    </row>
    <row r="13" spans="1:5" x14ac:dyDescent="0.35">
      <c r="A13" s="981">
        <f>'Type of Goods Back'!A13</f>
        <v>0</v>
      </c>
      <c r="B13" s="3" t="str">
        <f ca="1">'Type of Goods Back'!B13</f>
        <v>Vehicles - camping electric</v>
      </c>
      <c r="C13" s="986" t="str">
        <f ca="1">'Type of Goods Back'!C13</f>
        <v/>
      </c>
      <c r="D13" s="2" t="str">
        <f ca="1">'Type of Goods Back'!D13</f>
        <v/>
      </c>
      <c r="E13" s="2"/>
    </row>
    <row r="14" spans="1:5" x14ac:dyDescent="0.35">
      <c r="A14" s="981">
        <f>'Type of Goods Back'!A14</f>
        <v>0</v>
      </c>
      <c r="B14" s="3" t="str">
        <f ca="1">'Type of Goods Back'!B14</f>
        <v>Vehicles - motorcycles combustion</v>
      </c>
      <c r="C14" s="986" t="str">
        <f ca="1">'Type of Goods Back'!C14</f>
        <v/>
      </c>
      <c r="D14" s="2" t="str">
        <f ca="1">'Type of Goods Back'!D14</f>
        <v/>
      </c>
      <c r="E14" s="2"/>
    </row>
    <row r="15" spans="1:5" x14ac:dyDescent="0.35">
      <c r="A15" s="981">
        <f>'Type of Goods Back'!A15</f>
        <v>0</v>
      </c>
      <c r="B15" s="3" t="str">
        <f ca="1">'Type of Goods Back'!B15</f>
        <v>Vehicles - motorcycles electric</v>
      </c>
      <c r="C15" s="986" t="str">
        <f ca="1">'Type of Goods Back'!C15</f>
        <v/>
      </c>
      <c r="D15" s="2" t="str">
        <f ca="1">'Type of Goods Back'!D15</f>
        <v/>
      </c>
      <c r="E15" s="2"/>
    </row>
    <row r="16" spans="1:5" x14ac:dyDescent="0.35">
      <c r="A16" s="981">
        <f>'Type of Goods Back'!A16</f>
        <v>0</v>
      </c>
      <c r="B16" s="3" t="str">
        <f ca="1">'Type of Goods Back'!B16</f>
        <v>Antique car</v>
      </c>
      <c r="C16" s="2" t="str">
        <f ca="1">'Type of Goods Back'!C16</f>
        <v>Vehicles older than 30 years.</v>
      </c>
      <c r="D16" s="2" t="str">
        <f ca="1">'Type of Goods Back'!D16</f>
        <v/>
      </c>
      <c r="E16" s="2"/>
    </row>
    <row r="17" spans="1:5" x14ac:dyDescent="0.35">
      <c r="A17" s="981">
        <f>'Type of Goods Back'!A17</f>
        <v>0</v>
      </c>
      <c r="B17" s="3" t="str">
        <f ca="1">'Type of Goods Back'!B17</f>
        <v>Supply industry - non-electronics</v>
      </c>
      <c r="C17" s="986" t="str">
        <f ca="1">'Type of Goods Back'!C17</f>
        <v>Individual components or entire assemblies for automotive manufacturers.</v>
      </c>
      <c r="D17" s="2" t="str">
        <f ca="1">'Type of Goods Back'!D17</f>
        <v>Steering wheel, tires, seats</v>
      </c>
      <c r="E17" s="986" t="s">
        <v>2034</v>
      </c>
    </row>
    <row r="18" spans="1:5" x14ac:dyDescent="0.35">
      <c r="A18" s="982">
        <f>'Type of Goods Back'!A18</f>
        <v>0</v>
      </c>
      <c r="B18" s="454" t="str">
        <f ca="1">'Type of Goods Back'!B18</f>
        <v>Supply industry - electronics</v>
      </c>
      <c r="C18" s="987" t="str">
        <f ca="1">'Type of Goods Back'!C18</f>
        <v/>
      </c>
      <c r="D18" s="449" t="str">
        <f ca="1">'Type of Goods Back'!D18</f>
        <v>Distance sensors, radio</v>
      </c>
      <c r="E18" s="987"/>
    </row>
    <row r="19" spans="1:5" ht="29" x14ac:dyDescent="0.35">
      <c r="A19" s="988" t="str">
        <f ca="1">'Type of Goods Back'!A19</f>
        <v>5. Building materials / Building elements</v>
      </c>
      <c r="B19" s="3" t="str">
        <f ca="1">'Type of Goods Back'!B19</f>
        <v>Organic</v>
      </c>
      <c r="C19" s="446" t="str">
        <f ca="1">'Type of Goods Back'!C19</f>
        <v>Building materials mainly in the field of wood and plant fibers. Are harvested, grow back.</v>
      </c>
      <c r="D19" s="446" t="str">
        <f ca="1">'Type of Goods Back'!D19</f>
        <v>Wood, natural fibers, linen, flax</v>
      </c>
      <c r="E19" s="2"/>
    </row>
    <row r="20" spans="1:5" ht="29" x14ac:dyDescent="0.35">
      <c r="A20" s="989">
        <f>'Type of Goods Back'!A20</f>
        <v>0</v>
      </c>
      <c r="B20" s="3" t="str">
        <f ca="1">'Type of Goods Back'!B20</f>
        <v>Inorganic - mined</v>
      </c>
      <c r="C20" s="446" t="str">
        <f ca="1">'Type of Goods Back'!C20</f>
        <v>Are mined. Are not subject to much preparation before use in the construction project.</v>
      </c>
      <c r="D20" s="2" t="str">
        <f ca="1">'Type of Goods Back'!D20</f>
        <v>Lime, natural stones, marble, sandstone, clay, slate</v>
      </c>
      <c r="E20" s="2"/>
    </row>
    <row r="21" spans="1:5" x14ac:dyDescent="0.35">
      <c r="A21" s="989">
        <f>'Type of Goods Back'!A21</f>
        <v>0</v>
      </c>
      <c r="B21" s="3" t="str">
        <f ca="1">'Type of Goods Back'!B21</f>
        <v>Inorganic - produced</v>
      </c>
      <c r="C21" s="2" t="str">
        <f ca="1">'Type of Goods Back'!C21</f>
        <v>Goods subject to greater preparation before use in the construction project.</v>
      </c>
      <c r="D21" s="2" t="str">
        <f ca="1">'Type of Goods Back'!D21</f>
        <v>Brick, tile, roof tile</v>
      </c>
      <c r="E21" s="2"/>
    </row>
    <row r="22" spans="1:5" x14ac:dyDescent="0.35">
      <c r="A22" s="990">
        <f>'Type of Goods Back'!A22</f>
        <v>0</v>
      </c>
      <c r="B22" s="454" t="str">
        <f ca="1">'Type of Goods Back'!B22</f>
        <v>Glass elements</v>
      </c>
      <c r="C22" s="449" t="str">
        <f ca="1">'Type of Goods Back'!C22</f>
        <v>Goods in or on construction that are largely made of glass.</v>
      </c>
      <c r="D22" s="449" t="str">
        <f ca="1">'Type of Goods Back'!D22</f>
        <v>Facade mirror, window panes, glass door</v>
      </c>
      <c r="E22" s="449"/>
    </row>
    <row r="23" spans="1:5" x14ac:dyDescent="0.35">
      <c r="A23" s="980" t="str">
        <f ca="1">'Type of Goods Back'!A23</f>
        <v>6. Bulk goods, solid</v>
      </c>
      <c r="B23" s="3" t="str">
        <f ca="1">'Type of Goods Back'!B23</f>
        <v>Loose goods (excl. chemical products) - containerized</v>
      </c>
      <c r="C23" s="986" t="str">
        <f ca="1">'Type of Goods Back'!C23</f>
        <v>Goods that are unpackaged in bulk.</v>
      </c>
      <c r="D23" s="986" t="str">
        <f ca="1">'Type of Goods Back'!D23</f>
        <v>Gravel, coal, steel- / iron- / ores, grain, coffee, sugar, bananas</v>
      </c>
      <c r="E23" s="2"/>
    </row>
    <row r="24" spans="1:5" x14ac:dyDescent="0.35">
      <c r="A24" s="981">
        <f>'Type of Goods Back'!A24</f>
        <v>0</v>
      </c>
      <c r="B24" s="3" t="str">
        <f ca="1">'Type of Goods Back'!B24</f>
        <v>Loose goods (excl. chemical products) - non-containerized</v>
      </c>
      <c r="C24" s="986" t="str">
        <f ca="1">'Type of Goods Back'!C24</f>
        <v/>
      </c>
      <c r="D24" s="986" t="str">
        <f ca="1">'Type of Goods Back'!D24</f>
        <v/>
      </c>
      <c r="E24" s="2"/>
    </row>
    <row r="25" spans="1:5" x14ac:dyDescent="0.35">
      <c r="A25" s="981">
        <f>'Type of Goods Back'!A25</f>
        <v>0</v>
      </c>
      <c r="B25" s="3" t="str">
        <f ca="1">'Type of Goods Back'!B25</f>
        <v>Unit loads (e.g. semi-finished steel products, sheet metal)</v>
      </c>
      <c r="C25" s="446" t="str">
        <f ca="1">'Type of Goods Back'!C25</f>
        <v>Mostly unpacked. Goods transported individually in one piece.</v>
      </c>
      <c r="D25" s="2" t="str">
        <f ca="1">'Type of Goods Back'!D25</f>
        <v>Steel beams, steel sheets, tree trunks</v>
      </c>
      <c r="E25" s="2"/>
    </row>
    <row r="26" spans="1:5" x14ac:dyDescent="0.35">
      <c r="A26" s="981">
        <f>'Type of Goods Back'!A26</f>
        <v>0</v>
      </c>
      <c r="B26" s="3" t="str">
        <f ca="1">'Type of Goods Back'!B26</f>
        <v>Chemical products - containerized</v>
      </c>
      <c r="C26" s="446" t="str">
        <f ca="1">'Type of Goods Back'!C26</f>
        <v/>
      </c>
      <c r="D26" s="986" t="str">
        <f ca="1">'Type of Goods Back'!D26</f>
        <v>Phosphorus, synthetic materials, granules, chemicals in powder form.</v>
      </c>
      <c r="E26" s="2"/>
    </row>
    <row r="27" spans="1:5" x14ac:dyDescent="0.35">
      <c r="A27" s="982">
        <f>'Type of Goods Back'!A27</f>
        <v>0</v>
      </c>
      <c r="B27" s="454" t="str">
        <f ca="1">'Type of Goods Back'!B27</f>
        <v>Chemical products - non-containerized</v>
      </c>
      <c r="C27" s="451" t="str">
        <f ca="1">'Type of Goods Back'!C27</f>
        <v/>
      </c>
      <c r="D27" s="987" t="str">
        <f ca="1">'Type of Goods Back'!D27</f>
        <v/>
      </c>
      <c r="E27" s="449"/>
    </row>
    <row r="28" spans="1:5" x14ac:dyDescent="0.35">
      <c r="A28" s="983" t="str">
        <f ca="1">'Type of Goods Back'!A28</f>
        <v>7. Bulk goods, liquid</v>
      </c>
      <c r="B28" s="3" t="str">
        <f ca="1">'Type of Goods Back'!B28</f>
        <v>Food (excl. fats and oils)</v>
      </c>
      <c r="C28" s="446" t="str">
        <f ca="1">'Type of Goods Back'!C28</f>
        <v>Food producers and their raw materials (not ready for sale).</v>
      </c>
      <c r="D28" s="2" t="str">
        <f ca="1">'Type of Goods Back'!D28</f>
        <v>Tanker with milk, wine</v>
      </c>
      <c r="E28" s="2"/>
    </row>
    <row r="29" spans="1:5" x14ac:dyDescent="0.35">
      <c r="A29" s="984">
        <f>'Type of Goods Back'!A29</f>
        <v>0</v>
      </c>
      <c r="B29" s="3" t="str">
        <f ca="1">'Type of Goods Back'!B29</f>
        <v>Fats and oils (vegetable or animal origin)</v>
      </c>
      <c r="C29" s="446" t="str">
        <f ca="1">'Type of Goods Back'!C29</f>
        <v>Food producers and their raw materials (not ready for sale).</v>
      </c>
      <c r="D29" s="2" t="str">
        <f ca="1">'Type of Goods Back'!D29</f>
        <v>Tanker with sunflower oil or similar.</v>
      </c>
      <c r="E29" s="2"/>
    </row>
    <row r="30" spans="1:5" ht="29" x14ac:dyDescent="0.35">
      <c r="A30" s="984">
        <f>'Type of Goods Back'!A30</f>
        <v>0</v>
      </c>
      <c r="B30" s="3" t="str">
        <f ca="1">'Type of Goods Back'!B30</f>
        <v>Petrochemical products</v>
      </c>
      <c r="C30" s="446" t="str">
        <f ca="1">'Type of Goods Back'!C30</f>
        <v>General petroleum-based liquid goods (not ready for sale), the purpose of which is combustion.</v>
      </c>
      <c r="D30" s="2" t="str">
        <f ca="1">'Type of Goods Back'!D30</f>
        <v>Petroleum, gasoline, diesel, kerosene, fuel oil</v>
      </c>
      <c r="E30" s="2"/>
    </row>
    <row r="31" spans="1:5" x14ac:dyDescent="0.35">
      <c r="A31" s="985">
        <f>'Type of Goods Back'!A31</f>
        <v>0</v>
      </c>
      <c r="B31" s="454" t="str">
        <f ca="1">'Type of Goods Back'!B31</f>
        <v>Chemical products (excl. petrochemicals)</v>
      </c>
      <c r="C31" s="451" t="str">
        <f ca="1">'Type of Goods Back'!C31</f>
        <v>General liquid goods for further processing or use</v>
      </c>
      <c r="D31" s="449" t="str">
        <f ca="1">'Type of Goods Back'!D31</f>
        <v>Frost protection fluid</v>
      </c>
      <c r="E31" s="449"/>
    </row>
    <row r="32" spans="1:5" x14ac:dyDescent="0.35">
      <c r="A32" s="980" t="str">
        <f ca="1">'Type of Goods Back'!A32</f>
        <v>8. Bulk goods, gaseous</v>
      </c>
      <c r="B32" s="3" t="str">
        <f ca="1">'Type of Goods Back'!B32</f>
        <v>Containerized or smaller cargo units</v>
      </c>
      <c r="C32" s="446" t="str">
        <f ca="1">'Type of Goods Back'!C32</f>
        <v>Gas that would also be suitable for end consumers in terms of size.</v>
      </c>
      <c r="D32" s="2" t="str">
        <f ca="1">'Type of Goods Back'!D32</f>
        <v>Gas cylinders, CO2 cylinders for sparkling water, helium cylinders.</v>
      </c>
      <c r="E32" s="2"/>
    </row>
    <row r="33" spans="1:5" x14ac:dyDescent="0.35">
      <c r="A33" s="982">
        <f>'Type of Goods Back'!A33</f>
        <v>0</v>
      </c>
      <c r="B33" s="454" t="str">
        <f ca="1">'Type of Goods Back'!B33</f>
        <v>Non-containerized or larger cargo units</v>
      </c>
      <c r="C33" s="451" t="str">
        <f ca="1">'Type of Goods Back'!C33</f>
        <v>Gases delivered to companies.</v>
      </c>
      <c r="D33" s="449" t="str">
        <f ca="1">'Type of Goods Back'!D33</f>
        <v>Natural gas tanker</v>
      </c>
      <c r="E33" s="449"/>
    </row>
    <row r="34" spans="1:5" x14ac:dyDescent="0.35">
      <c r="A34" s="983" t="str">
        <f ca="1">'Type of Goods Back'!A34</f>
        <v>9. Pharma, medicine, cosmetics, food</v>
      </c>
      <c r="B34" s="3" t="str">
        <f ca="1">'Type of Goods Back'!B34</f>
        <v>Pharmaceutical products</v>
      </c>
      <c r="C34" s="446" t="str">
        <f ca="1">'Type of Goods Back'!C34</f>
        <v/>
      </c>
      <c r="D34" s="2" t="str">
        <f ca="1">'Type of Goods Back'!D34</f>
        <v>Medication, aspirin, insulin, cancer medication</v>
      </c>
      <c r="E34" s="2"/>
    </row>
    <row r="35" spans="1:5" x14ac:dyDescent="0.35">
      <c r="A35" s="984">
        <f>'Type of Goods Back'!A35</f>
        <v>0</v>
      </c>
      <c r="B35" s="3" t="str">
        <f ca="1">'Type of Goods Back'!B35</f>
        <v>Medical Devices</v>
      </c>
      <c r="C35" s="446" t="str">
        <f ca="1">'Type of Goods Back'!C35</f>
        <v>Devices that are medically suitable for diagnostics.</v>
      </c>
      <c r="D35" s="2" t="str">
        <f ca="1">'Type of Goods Back'!D35</f>
        <v>X-ray machine, MRI, CT, ultrasound machine</v>
      </c>
      <c r="E35" s="2"/>
    </row>
    <row r="36" spans="1:5" x14ac:dyDescent="0.35">
      <c r="A36" s="984">
        <f>'Type of Goods Back'!A36</f>
        <v>0</v>
      </c>
      <c r="B36" s="3" t="str">
        <f ca="1">'Type of Goods Back'!B36</f>
        <v>Cosmetics</v>
      </c>
      <c r="C36" s="446" t="str">
        <f ca="1">'Type of Goods Back'!C36</f>
        <v>Consumer goods of personal care and body beautification.</v>
      </c>
      <c r="D36" s="2" t="str">
        <f ca="1">'Type of Goods Back'!D36</f>
        <v>Lipstick, nail polish, mascara, shower gel</v>
      </c>
      <c r="E36" s="2"/>
    </row>
    <row r="37" spans="1:5" x14ac:dyDescent="0.35">
      <c r="A37" s="984">
        <f>'Type of Goods Back'!A37</f>
        <v>0</v>
      </c>
      <c r="B37" s="3" t="str">
        <f ca="1">'Type of Goods Back'!B37</f>
        <v>Therapeutic products</v>
      </c>
      <c r="C37" s="446" t="str">
        <f ca="1">'Type of Goods Back'!C37</f>
        <v>Products that promote health and are conducive to viability.</v>
      </c>
      <c r="D37" s="2" t="str">
        <f ca="1">'Type of Goods Back'!D37</f>
        <v>Crutches, bandage, plaster, pacemaker, glasses</v>
      </c>
      <c r="E37" s="2"/>
    </row>
    <row r="38" spans="1:5" x14ac:dyDescent="0.35">
      <c r="A38" s="985">
        <f>'Type of Goods Back'!A38</f>
        <v>0</v>
      </c>
      <c r="B38" s="454" t="str">
        <f ca="1">'Type of Goods Back'!B38</f>
        <v>Food and beverages (ready for sale)</v>
      </c>
      <c r="C38" s="451" t="str">
        <f ca="1">'Type of Goods Back'!C38</f>
        <v>Mainly dietary supplements; foods to maintain and promote health.</v>
      </c>
      <c r="D38" s="449" t="str">
        <f ca="1">'Type of Goods Back'!D38</f>
        <v>Vitamin tablets, aroma drops, essential oils</v>
      </c>
      <c r="E38" s="449"/>
    </row>
    <row r="39" spans="1:5" x14ac:dyDescent="0.35">
      <c r="A39" s="980" t="str">
        <f ca="1">'Type of Goods Back'!A39</f>
        <v>10. Electronics, EDP</v>
      </c>
      <c r="B39" s="3" t="str">
        <f ca="1">'Type of Goods Back'!B39</f>
        <v>Brown goods (e.g. entertainment technology)</v>
      </c>
      <c r="C39" s="446" t="str">
        <f ca="1">'Type of Goods Back'!C39</f>
        <v>Products that serve the purpose of entertainment.</v>
      </c>
      <c r="D39" s="2" t="str">
        <f ca="1">'Type of Goods Back'!D39</f>
        <v>Radio, television, computer</v>
      </c>
      <c r="E39" s="2"/>
    </row>
    <row r="40" spans="1:5" x14ac:dyDescent="0.35">
      <c r="A40" s="982">
        <f>'Type of Goods Back'!A40</f>
        <v>0</v>
      </c>
      <c r="B40" s="454" t="str">
        <f ca="1">'Type of Goods Back'!B40</f>
        <v>White goods (e.g. household appliances)</v>
      </c>
      <c r="C40" s="451" t="str">
        <f ca="1">'Type of Goods Back'!C40</f>
        <v>Products as household appliances</v>
      </c>
      <c r="D40" s="449" t="str">
        <f ca="1">'Type of Goods Back'!D40</f>
        <v>Refrigerator, washing machine, dryer</v>
      </c>
      <c r="E40" s="449"/>
    </row>
    <row r="41" spans="1:5" ht="29" x14ac:dyDescent="0.35">
      <c r="A41" s="983" t="str">
        <f ca="1">'Type of Goods Back'!A41</f>
        <v>11. Electrical engineering (control cabinets, etc..)</v>
      </c>
      <c r="B41" s="455" t="str">
        <f ca="1">'Type of Goods Back'!B41</f>
        <v>Power equipment (switchboards, photovoltaics, etc.)</v>
      </c>
      <c r="C41" s="453" t="str">
        <f ca="1">'Type of Goods Back'!C41</f>
        <v>Technical products with little to no moving parts, therefore tend to be very susceptible to breakage. Area of application Power generation and control.</v>
      </c>
      <c r="D41" s="452" t="str">
        <f ca="1">'Type of Goods Back'!D41</f>
        <v>Switchboards, photovoltaics</v>
      </c>
      <c r="E41" s="452"/>
    </row>
    <row r="42" spans="1:5" x14ac:dyDescent="0.35">
      <c r="A42" s="985">
        <f>'Type of Goods Back'!A42</f>
        <v>0</v>
      </c>
      <c r="B42" s="454" t="str">
        <f ca="1">'Type of Goods Back'!B42</f>
        <v>Motion technology (generators, electric motors, etc.)</v>
      </c>
      <c r="C42" s="451" t="str">
        <f ca="1">'Type of Goods Back'!C42</f>
        <v>Technical products with many moving parts, tend to be shock resistant.</v>
      </c>
      <c r="D42" s="449" t="str">
        <f ca="1">'Type of Goods Back'!D42</f>
        <v>Diesel generator, electric motor</v>
      </c>
      <c r="E42" s="449"/>
    </row>
    <row r="43" spans="1:5" x14ac:dyDescent="0.35">
      <c r="A43" s="980" t="str">
        <f ca="1">'Type of Goods Back'!A43</f>
        <v>12. Precision mechanics, optics</v>
      </c>
      <c r="B43" s="3" t="str">
        <f ca="1">'Type of Goods Back'!B43</f>
        <v>Lenses and lens systems</v>
      </c>
      <c r="C43" s="446" t="str">
        <f ca="1">'Type of Goods Back'!C43</f>
        <v>Optical magnification lens products</v>
      </c>
      <c r="D43" s="2" t="str">
        <f ca="1">'Type of Goods Back'!D43</f>
        <v>Microscopes, binoculars, telescope, camera lenses</v>
      </c>
      <c r="E43" s="2" t="s">
        <v>2035</v>
      </c>
    </row>
    <row r="44" spans="1:5" ht="29" x14ac:dyDescent="0.35">
      <c r="A44" s="981">
        <f>'Type of Goods Back'!A44</f>
        <v>0</v>
      </c>
      <c r="B44" s="3" t="str">
        <f ca="1">'Type of Goods Back'!B44</f>
        <v>Measuring systems mechanical</v>
      </c>
      <c r="C44" s="446" t="str">
        <f ca="1">'Type of Goods Back'!C44</f>
        <v>Measuring systems with moving parts whose measurement happens mechanically (independent of the result display.)</v>
      </c>
      <c r="D44" s="2" t="str">
        <f ca="1">'Type of Goods Back'!D44</f>
        <v>Blood pressure monitor, (water) scale, compass, hygrometer, thermometer, folding rule</v>
      </c>
      <c r="E44" s="2"/>
    </row>
    <row r="45" spans="1:5" ht="29" x14ac:dyDescent="0.35">
      <c r="A45" s="982">
        <f>'Type of Goods Back'!A45</f>
        <v>0</v>
      </c>
      <c r="B45" s="456" t="str">
        <f ca="1">'Type of Goods Back'!B45</f>
        <v>Measuring systems electronically (e.g. GPS technology, satellites)</v>
      </c>
      <c r="C45" s="451" t="str">
        <f ca="1">'Type of Goods Back'!C45</f>
        <v>Measuring systems without moving parts, whose measurement happens purely electronically.</v>
      </c>
      <c r="D45" s="449" t="str">
        <f ca="1">'Type of Goods Back'!D45</f>
        <v>GPS technology, satellites, laser measuring instruments, voltage measuring instruments</v>
      </c>
      <c r="E45" s="449"/>
    </row>
    <row r="46" spans="1:5" x14ac:dyDescent="0.35">
      <c r="A46" s="450" t="str">
        <f ca="1">'Type of Goods Back'!A46</f>
        <v>13. mechanical engineering</v>
      </c>
      <c r="B46" s="454" t="str">
        <f ca="1">'Type of Goods Back'!B46</f>
        <v/>
      </c>
      <c r="C46" s="451" t="str">
        <f ca="1">'Type of Goods Back'!C46</f>
        <v>In contrast to plant engineering, this involves more movable goods.</v>
      </c>
      <c r="D46" s="449" t="str">
        <f ca="1">'Type of Goods Back'!D46</f>
        <v>Working machines, power machines, conveyors, sewing machine, gas turbine, MAN engines</v>
      </c>
      <c r="E46" s="449"/>
    </row>
    <row r="47" spans="1:5" x14ac:dyDescent="0.35">
      <c r="A47" s="980" t="str">
        <f ca="1">'Type of Goods Back'!A47</f>
        <v>14. Military material / military technology / firearms</v>
      </c>
      <c r="B47" s="3" t="str">
        <f ca="1">'Type of Goods Back'!B47</f>
        <v>Vehicles (water, land, air)</v>
      </c>
      <c r="C47" s="446" t="str">
        <f ca="1">'Type of Goods Back'!C47</f>
        <v>Vehicles with military purpose</v>
      </c>
      <c r="D47" s="446" t="str">
        <f ca="1">'Type of Goods Back'!D47</f>
        <v>Tank, submarine, helicopter, ships</v>
      </c>
      <c r="E47" s="2"/>
    </row>
    <row r="48" spans="1:5" x14ac:dyDescent="0.35">
      <c r="A48" s="981">
        <f>'Type of Goods Back'!A48</f>
        <v>0</v>
      </c>
      <c r="B48" s="3" t="str">
        <f ca="1">'Type of Goods Back'!B48</f>
        <v>Equipment</v>
      </c>
      <c r="C48" s="446" t="str">
        <f ca="1">'Type of Goods Back'!C48</f>
        <v>Consumer goods with a primarily military purpose</v>
      </c>
      <c r="D48" s="446" t="str">
        <f ca="1">'Type of Goods Back'!D48</f>
        <v>Helmets, vests, weapons (without ammunition), boots, radios, radar</v>
      </c>
      <c r="E48" s="2"/>
    </row>
    <row r="49" spans="1:5" x14ac:dyDescent="0.35">
      <c r="A49" s="982">
        <f>'Type of Goods Back'!A49</f>
        <v>0</v>
      </c>
      <c r="B49" s="454" t="str">
        <f ca="1">'Type of Goods Back'!B49</f>
        <v>Ammunition</v>
      </c>
      <c r="C49" s="451" t="str">
        <f ca="1">'Type of Goods Back'!C49</f>
        <v>Consumables with explosive or kinetic destructive force</v>
      </c>
      <c r="D49" s="449" t="str">
        <f ca="1">'Type of Goods Back'!D49</f>
        <v>Grenades, rockets, shells, mines, torpedoes</v>
      </c>
      <c r="E49" s="449"/>
    </row>
    <row r="50" spans="1:5" x14ac:dyDescent="0.35">
      <c r="A50" s="450" t="str">
        <f ca="1">'Type of Goods Back'!A50</f>
        <v>15. paper, printed products</v>
      </c>
      <c r="B50" s="454" t="str">
        <f ca="1">'Type of Goods Back'!B50</f>
        <v/>
      </c>
      <c r="C50" s="451" t="str">
        <f ca="1">'Type of Goods Back'!C50</f>
        <v>Products that come from a printing plant.</v>
      </c>
      <c r="D50" s="451" t="str">
        <f ca="1">'Type of Goods Back'!D50</f>
        <v>Stacks of papers, books, newspapers</v>
      </c>
      <c r="E50" s="449"/>
    </row>
    <row r="51" spans="1:5" x14ac:dyDescent="0.35">
      <c r="A51" s="448" t="str">
        <f ca="1">'Type of Goods Back'!A51</f>
        <v>16. shipbuilding, aircraft, rail (vehicles excl. automotive)</v>
      </c>
      <c r="B51" s="454" t="str">
        <f ca="1">'Type of Goods Back'!B51</f>
        <v/>
      </c>
      <c r="C51" s="449" t="str">
        <f ca="1">'Type of Goods Back'!C51</f>
        <v/>
      </c>
      <c r="D51" s="451" t="str">
        <f ca="1">'Type of Goods Back'!D51</f>
        <v>Ship, airplane, streetcar, lockomotive</v>
      </c>
      <c r="E51" s="449"/>
    </row>
    <row r="52" spans="1:5" ht="29" x14ac:dyDescent="0.35">
      <c r="A52" s="450" t="str">
        <f ca="1">'Type of Goods Back'!A52</f>
        <v>17. technical components</v>
      </c>
      <c r="B52" s="454" t="str">
        <f ca="1">'Type of Goods Back'!B52</f>
        <v/>
      </c>
      <c r="C52" s="451" t="str">
        <f ca="1">'Type of Goods Back'!C52</f>
        <v>Goods that by themselves do not constitute a technical device, but only after assembly.</v>
      </c>
      <c r="D52" s="449" t="str">
        <f ca="1">'Type of Goods Back'!D52</f>
        <v>Processors, hard disks, circuits for installation</v>
      </c>
      <c r="E52" s="449"/>
    </row>
    <row r="53" spans="1:5" x14ac:dyDescent="0.35">
      <c r="A53" s="448" t="str">
        <f ca="1">'Type of Goods Back'!A53</f>
        <v>18. textiles, leather, clothing, footwear</v>
      </c>
      <c r="B53" s="454" t="str">
        <f ca="1">'Type of Goods Back'!B53</f>
        <v/>
      </c>
      <c r="C53" s="451" t="str">
        <f ca="1">'Type of Goods Back'!C53</f>
        <v>Largely finished goods; shortly before or already in final sale</v>
      </c>
      <c r="D53" s="449" t="str">
        <f ca="1">'Type of Goods Back'!D53</f>
        <v>Jackets, T-shirts</v>
      </c>
      <c r="E53" s="449" t="s">
        <v>2036</v>
      </c>
    </row>
    <row r="54" spans="1:5" ht="29" x14ac:dyDescent="0.35">
      <c r="A54" s="447" t="str">
        <f ca="1">'Type of Goods Back'!A54</f>
        <v>19. cables &amp; ropes (submarine cables, suspension cables for bridges, tension cables)</v>
      </c>
      <c r="B54" s="3" t="str">
        <f ca="1">'Type of Goods Back'!B54</f>
        <v/>
      </c>
      <c r="C54" s="446" t="str">
        <f ca="1">'Type of Goods Back'!C54</f>
        <v>Industrial cables both for mechanical use (suspension cables) and communication sector (overhead line).</v>
      </c>
      <c r="D54" s="2" t="str">
        <f ca="1">'Type of Goods Back'!D54</f>
        <v>Submarine cables, suspension cables for bridges, tension cables, overhead lines</v>
      </c>
      <c r="E54" s="2" t="s">
        <v>2037</v>
      </c>
    </row>
  </sheetData>
  <sheetProtection algorithmName="SHA-512" hashValue="ASSaLqONA8pQL0nAiDIvphAAVTCVtj/g4G1vS2sIC7ogFQQIFk0hxnqSuP9h0ytByxmNmu3qE60ZBOq6CE2XYw==" saltValue="ZPD/Cxou15s8pXUehDAmHg==" spinCount="100000" sheet="1" formatCells="0" formatColumns="0" formatRows="0" insertRows="0" autoFilter="0"/>
  <mergeCells count="19">
    <mergeCell ref="A4:A7"/>
    <mergeCell ref="C4:C7"/>
    <mergeCell ref="D4:D7"/>
    <mergeCell ref="A8:A18"/>
    <mergeCell ref="C8:C15"/>
    <mergeCell ref="C17:C18"/>
    <mergeCell ref="E17:E18"/>
    <mergeCell ref="A19:A22"/>
    <mergeCell ref="A23:A27"/>
    <mergeCell ref="C23:C24"/>
    <mergeCell ref="D23:D24"/>
    <mergeCell ref="D26:D27"/>
    <mergeCell ref="A47:A49"/>
    <mergeCell ref="A28:A31"/>
    <mergeCell ref="A32:A33"/>
    <mergeCell ref="A34:A38"/>
    <mergeCell ref="A39:A40"/>
    <mergeCell ref="A41:A42"/>
    <mergeCell ref="A43:A45"/>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043B5-B752-4E86-8DCF-B27A5A1ED96D}">
  <sheetPr codeName="Sheet3"/>
  <dimension ref="A1:U199"/>
  <sheetViews>
    <sheetView topLeftCell="B1" workbookViewId="0">
      <selection activeCell="K21" sqref="K21"/>
    </sheetView>
  </sheetViews>
  <sheetFormatPr baseColWidth="10" defaultColWidth="9.1796875" defaultRowHeight="14.5" x14ac:dyDescent="0.35"/>
  <cols>
    <col min="1" max="1" width="13.453125" bestFit="1" customWidth="1"/>
    <col min="2" max="2" width="18.7265625" customWidth="1"/>
    <col min="4" max="4" width="29" bestFit="1" customWidth="1"/>
    <col min="5" max="5" width="44.26953125" bestFit="1" customWidth="1"/>
    <col min="7" max="7" width="14.26953125" bestFit="1" customWidth="1"/>
    <col min="8" max="8" width="27.81640625" bestFit="1" customWidth="1"/>
    <col min="10" max="10" width="13.26953125" bestFit="1" customWidth="1"/>
    <col min="11" max="11" width="24.453125" bestFit="1" customWidth="1"/>
  </cols>
  <sheetData>
    <row r="1" spans="1:21" x14ac:dyDescent="0.35">
      <c r="A1" t="s">
        <v>2038</v>
      </c>
      <c r="B1" s="486" t="s">
        <v>146</v>
      </c>
      <c r="C1" t="s">
        <v>2039</v>
      </c>
      <c r="D1" t="str">
        <f ca="1" xml:space="preserve"> IFERROR( \language_subcontinent, "Please select a proper Country." )</f>
        <v>Asia-Asia</v>
      </c>
    </row>
    <row r="3" spans="1:21" x14ac:dyDescent="0.35">
      <c r="A3" s="440" t="s">
        <v>858</v>
      </c>
      <c r="B3" s="63" t="str" cm="1">
        <f t="array" aca="1" ref="B3:B9" ca="1">OFFSET( Parameter!$CS$5, MATCH(A3, Parameter!$CU$5:$CU$201, 0) - 1, Language!$B$37, COUNTIF(Parameter!$CU$5:$CU$201, A3) )</f>
        <v>Egypt</v>
      </c>
      <c r="C3" s="63"/>
      <c r="D3" s="440" t="s">
        <v>1305</v>
      </c>
      <c r="E3" s="63" t="str" cm="1">
        <f t="array" aca="1" ref="E3:E25" ca="1">OFFSET( Parameter!$CS$5, MATCH(D3, Parameter!$CU$5:$CU$201, 0) - 1, Language!$B$37, COUNTIF(Parameter!$CU$5:$CU$201, D3) )</f>
        <v>Canada</v>
      </c>
      <c r="F3" s="63"/>
      <c r="G3" s="443" t="s">
        <v>1495</v>
      </c>
      <c r="H3" s="63" t="str" cm="1">
        <f t="array" aca="1" ref="H3:H24" ca="1">OFFSET( Parameter!$CS$5, MATCH(G3, Parameter!$CU$5:$CU$201, 0) - 1, Language!$B$37, COUNTIF(Parameter!$CU$5:$CU$201, G3) )</f>
        <v>People's Republic of China</v>
      </c>
      <c r="I3" s="63"/>
      <c r="J3" s="440" t="s">
        <v>1684</v>
      </c>
      <c r="K3" s="63" t="str" cm="1">
        <f t="array" aca="1" ref="K3:K7" ca="1">OFFSET( Parameter!$CS$5, MATCH(J3, Parameter!$CU$5:$CU$201, 0) - 1, Language!$B$37, COUNTIF(Parameter!$CU$5:$CU$201, J3) )</f>
        <v>Iceland</v>
      </c>
      <c r="L3" s="63"/>
      <c r="M3" s="443" t="s">
        <v>160</v>
      </c>
      <c r="N3" s="63" t="str" cm="1">
        <f t="array" aca="1" ref="N3:N5" ca="1">OFFSET( Parameter!$CS$5, MATCH(M3, Parameter!$CU$5:$CU$201, 0) - 1, Language!$B$37, COUNTIF(Parameter!$CU$5:$CU$201, M3) )</f>
        <v>Australia</v>
      </c>
      <c r="O3" s="440"/>
      <c r="Q3" s="63"/>
      <c r="R3" s="63"/>
      <c r="S3" s="440"/>
      <c r="T3" s="63"/>
      <c r="U3" s="63"/>
    </row>
    <row r="4" spans="1:21" x14ac:dyDescent="0.35">
      <c r="A4" s="63"/>
      <c r="B4" s="63" t="str">
        <f ca="1"/>
        <v>Algeria</v>
      </c>
      <c r="D4" s="63"/>
      <c r="E4" s="63" t="str">
        <f ca="1"/>
        <v>Mexico</v>
      </c>
      <c r="F4" s="63"/>
      <c r="H4" s="63" t="str">
        <f ca="1"/>
        <v>Guam</v>
      </c>
      <c r="I4" s="63"/>
      <c r="J4" s="63"/>
      <c r="K4" s="63" t="str">
        <f ca="1"/>
        <v>Norway</v>
      </c>
      <c r="M4" s="63"/>
      <c r="N4" s="63" t="str">
        <f ca="1"/>
        <v>New Zealand</v>
      </c>
      <c r="O4" s="63"/>
      <c r="P4" s="63"/>
      <c r="R4" s="63"/>
      <c r="S4" s="63"/>
      <c r="T4" s="63"/>
    </row>
    <row r="5" spans="1:21" x14ac:dyDescent="0.35">
      <c r="A5" s="63"/>
      <c r="B5" s="63" t="str">
        <f ca="1"/>
        <v>Libya</v>
      </c>
      <c r="D5" s="63"/>
      <c r="E5" s="63" t="str">
        <f ca="1"/>
        <v>USA</v>
      </c>
      <c r="F5" s="63"/>
      <c r="H5" s="63" t="str">
        <f ca="1"/>
        <v>Hong Kong</v>
      </c>
      <c r="I5" s="63"/>
      <c r="J5" s="63"/>
      <c r="K5" s="63" t="str">
        <f ca="1"/>
        <v>Sweden</v>
      </c>
      <c r="M5" s="63"/>
      <c r="N5" s="63" t="str">
        <f ca="1"/>
        <v>Oceania</v>
      </c>
      <c r="O5" s="63"/>
      <c r="R5" s="63"/>
      <c r="S5" s="63"/>
      <c r="T5" s="63"/>
    </row>
    <row r="6" spans="1:21" x14ac:dyDescent="0.35">
      <c r="A6" s="63"/>
      <c r="B6" s="63" t="str">
        <f ca="1"/>
        <v>Morocco</v>
      </c>
      <c r="D6" s="63"/>
      <c r="E6" s="63" t="str">
        <f ca="1"/>
        <v>Belize</v>
      </c>
      <c r="F6" s="63"/>
      <c r="H6" s="63" t="str">
        <f ca="1"/>
        <v>Japan</v>
      </c>
      <c r="I6" s="63"/>
      <c r="J6" s="63"/>
      <c r="K6" s="63" t="str">
        <f ca="1"/>
        <v>Finland</v>
      </c>
      <c r="M6" s="63"/>
      <c r="N6" s="63"/>
      <c r="O6" s="63"/>
      <c r="R6" s="63"/>
      <c r="S6" s="63"/>
      <c r="T6" s="63"/>
    </row>
    <row r="7" spans="1:21" x14ac:dyDescent="0.35">
      <c r="A7" s="63"/>
      <c r="B7" s="63" t="str">
        <f ca="1"/>
        <v>Sudan</v>
      </c>
      <c r="D7" s="63"/>
      <c r="E7" s="441" t="str">
        <f ca="1"/>
        <v>Costa Rica</v>
      </c>
      <c r="F7" s="63"/>
      <c r="H7" s="63" t="str">
        <f ca="1"/>
        <v>Macau</v>
      </c>
      <c r="I7" s="63"/>
      <c r="J7" s="63"/>
      <c r="K7" s="63" t="str">
        <f ca="1"/>
        <v>Denmark</v>
      </c>
      <c r="M7" s="63"/>
      <c r="N7" s="63"/>
      <c r="O7" s="63"/>
      <c r="P7" s="63"/>
      <c r="R7" s="63"/>
      <c r="S7" s="63"/>
      <c r="T7" s="63"/>
      <c r="U7" s="63"/>
    </row>
    <row r="8" spans="1:21" x14ac:dyDescent="0.35">
      <c r="A8" s="63"/>
      <c r="B8" s="63" t="str">
        <f ca="1"/>
        <v>Tunisia</v>
      </c>
      <c r="D8" s="63"/>
      <c r="E8" s="63" t="str">
        <f ca="1"/>
        <v>El Salvador</v>
      </c>
      <c r="F8" s="63"/>
      <c r="H8" s="63" t="str">
        <f ca="1"/>
        <v>Mongolia</v>
      </c>
      <c r="I8" s="63"/>
      <c r="J8" s="63"/>
      <c r="K8" s="63"/>
      <c r="M8" s="63"/>
      <c r="N8" s="63"/>
      <c r="O8" s="63"/>
      <c r="R8" s="63"/>
      <c r="S8" s="63"/>
      <c r="T8" s="63"/>
      <c r="U8" s="63"/>
    </row>
    <row r="9" spans="1:21" x14ac:dyDescent="0.35">
      <c r="A9" s="63"/>
      <c r="B9" s="63" t="str">
        <f ca="1"/>
        <v>Western Sahara</v>
      </c>
      <c r="D9" s="63"/>
      <c r="E9" s="63" t="str">
        <f ca="1"/>
        <v>Guatemala</v>
      </c>
      <c r="F9" s="63"/>
      <c r="H9" s="63" t="str">
        <f ca="1"/>
        <v>North Korea</v>
      </c>
      <c r="I9" s="63"/>
      <c r="J9" s="440" t="s">
        <v>1700</v>
      </c>
      <c r="K9" s="63" t="str" cm="1">
        <f t="array" aca="1" ref="K9:K19" ca="1">OFFSET( Parameter!$CS$5, MATCH(J9, Parameter!$CU$5:$CU$201, 0) - 1, Language!$B$37, COUNTIF(Parameter!$CU$5:$CU$201, J9) )</f>
        <v>Bulgaria</v>
      </c>
      <c r="M9" s="63"/>
      <c r="N9" s="63"/>
      <c r="O9" s="63"/>
      <c r="P9" s="63"/>
      <c r="R9" s="63"/>
      <c r="S9" s="63"/>
      <c r="T9" s="63"/>
      <c r="U9" s="63"/>
    </row>
    <row r="10" spans="1:21" x14ac:dyDescent="0.35">
      <c r="A10" s="63"/>
      <c r="B10" s="63"/>
      <c r="D10" s="63"/>
      <c r="E10" s="63" t="str">
        <f ca="1"/>
        <v>Honduras</v>
      </c>
      <c r="F10" s="63"/>
      <c r="H10" s="63" t="str">
        <f ca="1"/>
        <v>South Korea</v>
      </c>
      <c r="I10" s="63"/>
      <c r="J10" s="63"/>
      <c r="K10" s="63" t="str">
        <f ca="1"/>
        <v>Moldova</v>
      </c>
      <c r="M10" s="63"/>
      <c r="N10" s="63"/>
      <c r="O10" s="63"/>
      <c r="R10" s="63"/>
      <c r="S10" s="63"/>
      <c r="T10" s="63"/>
      <c r="U10" s="63"/>
    </row>
    <row r="11" spans="1:21" x14ac:dyDescent="0.35">
      <c r="A11" s="443" t="s">
        <v>932</v>
      </c>
      <c r="B11" s="63" t="str" cm="1">
        <f t="array" aca="1" ref="B11:B30" ca="1">OFFSET( Parameter!$CS$5, MATCH(A11, Parameter!$CU$5:$CU$201, 0) - 1, Language!$B$37, COUNTIF(Parameter!$CU$5:$CU$201, A11) )</f>
        <v>Ethiopia</v>
      </c>
      <c r="C11" s="63"/>
      <c r="D11" s="63"/>
      <c r="E11" s="63" t="str">
        <f ca="1"/>
        <v>Nicaragua</v>
      </c>
      <c r="F11" s="63"/>
      <c r="H11" s="63" t="str">
        <f ca="1"/>
        <v>Taiwan</v>
      </c>
      <c r="I11" s="63"/>
      <c r="J11" s="63"/>
      <c r="K11" s="63" t="str">
        <f ca="1"/>
        <v>Romania</v>
      </c>
      <c r="M11" s="63"/>
      <c r="N11" s="63"/>
      <c r="O11" s="63"/>
      <c r="P11" s="63"/>
      <c r="R11" s="63"/>
      <c r="S11" s="63"/>
      <c r="T11" s="63"/>
      <c r="U11" s="63"/>
    </row>
    <row r="12" spans="1:21" x14ac:dyDescent="0.35">
      <c r="A12" s="63"/>
      <c r="B12" s="63" t="str">
        <f ca="1"/>
        <v>Burundi</v>
      </c>
      <c r="D12" s="63"/>
      <c r="E12" s="63" t="str">
        <f ca="1"/>
        <v>Panama</v>
      </c>
      <c r="F12" s="63"/>
      <c r="H12" s="63" t="str">
        <f ca="1"/>
        <v>Tajikistan</v>
      </c>
      <c r="I12" s="63"/>
      <c r="J12" s="63"/>
      <c r="K12" s="63" t="str">
        <f ca="1"/>
        <v>Slovakia</v>
      </c>
      <c r="M12" s="63"/>
      <c r="N12" s="63"/>
      <c r="O12" s="63"/>
      <c r="R12" s="63"/>
      <c r="S12" s="63"/>
      <c r="T12" s="63"/>
      <c r="U12" s="63"/>
    </row>
    <row r="13" spans="1:21" x14ac:dyDescent="0.35">
      <c r="A13" s="63"/>
      <c r="B13" s="63" t="str">
        <f ca="1"/>
        <v>Djibouti</v>
      </c>
      <c r="D13" s="63"/>
      <c r="E13" s="63" t="str">
        <f ca="1"/>
        <v>Antigua and Barbuda</v>
      </c>
      <c r="F13" s="63"/>
      <c r="H13" s="63" t="str">
        <f ca="1"/>
        <v>Kazakhstan</v>
      </c>
      <c r="I13" s="63"/>
      <c r="J13" s="63"/>
      <c r="K13" s="63" t="str">
        <f ca="1"/>
        <v>Ukraine</v>
      </c>
      <c r="M13" s="63"/>
      <c r="N13" s="63"/>
      <c r="O13" s="63"/>
      <c r="R13" s="63"/>
      <c r="S13" s="63"/>
      <c r="T13" s="63"/>
      <c r="U13" s="63"/>
    </row>
    <row r="14" spans="1:21" x14ac:dyDescent="0.35">
      <c r="A14" s="63"/>
      <c r="B14" s="63" t="str">
        <f ca="1"/>
        <v>Eritrea</v>
      </c>
      <c r="D14" s="63"/>
      <c r="E14" s="63" t="str">
        <f ca="1"/>
        <v>Bahamas</v>
      </c>
      <c r="F14" s="63"/>
      <c r="H14" s="63" t="str">
        <f ca="1"/>
        <v>Kyrgyzstan</v>
      </c>
      <c r="I14" s="63"/>
      <c r="J14" s="63"/>
      <c r="K14" s="63" t="str">
        <f ca="1"/>
        <v xml:space="preserve">Poland </v>
      </c>
      <c r="M14" s="63"/>
      <c r="N14" s="63"/>
      <c r="O14" s="63"/>
      <c r="R14" s="63"/>
      <c r="S14" s="63"/>
      <c r="T14" s="63"/>
      <c r="U14" s="63"/>
    </row>
    <row r="15" spans="1:21" x14ac:dyDescent="0.35">
      <c r="A15" s="63"/>
      <c r="B15" s="63" t="str">
        <f ca="1"/>
        <v>Kenya</v>
      </c>
      <c r="D15" s="63"/>
      <c r="E15" s="63" t="str">
        <f ca="1"/>
        <v>Barbados</v>
      </c>
      <c r="F15" s="63"/>
      <c r="H15" s="63" t="str">
        <f ca="1"/>
        <v>Uzbekistan</v>
      </c>
      <c r="I15" s="63"/>
      <c r="J15" s="63"/>
      <c r="K15" s="63" t="str">
        <f ca="1"/>
        <v>Czech Republic</v>
      </c>
      <c r="M15" s="63"/>
      <c r="N15" s="63"/>
      <c r="O15" s="63"/>
      <c r="R15" s="63"/>
      <c r="S15" s="63"/>
      <c r="T15" s="63"/>
      <c r="U15" s="63"/>
    </row>
    <row r="16" spans="1:21" x14ac:dyDescent="0.35">
      <c r="A16" s="63"/>
      <c r="B16" s="63" t="str">
        <f ca="1"/>
        <v>Comoros</v>
      </c>
      <c r="D16" s="63"/>
      <c r="E16" s="63" t="str">
        <f ca="1"/>
        <v>Dominica</v>
      </c>
      <c r="F16" s="63"/>
      <c r="H16" s="63" t="str">
        <f ca="1"/>
        <v>Turkmenistan</v>
      </c>
      <c r="I16" s="63"/>
      <c r="J16" s="63"/>
      <c r="K16" s="63" t="str">
        <f ca="1"/>
        <v>Belarus</v>
      </c>
      <c r="M16" s="63"/>
      <c r="N16" s="63"/>
      <c r="O16" s="63"/>
      <c r="P16" s="63"/>
      <c r="R16" s="63"/>
      <c r="S16" s="63"/>
      <c r="T16" s="63"/>
      <c r="U16" s="63"/>
    </row>
    <row r="17" spans="1:21" x14ac:dyDescent="0.35">
      <c r="A17" s="63"/>
      <c r="B17" s="63" t="str">
        <f ca="1"/>
        <v>Madagascar</v>
      </c>
      <c r="D17" s="63"/>
      <c r="E17" s="63" t="str">
        <f ca="1"/>
        <v>Dominican Republic</v>
      </c>
      <c r="F17" s="63"/>
      <c r="H17" s="63" t="str">
        <f ca="1"/>
        <v>Afghanistan</v>
      </c>
      <c r="I17" s="63"/>
      <c r="J17" s="63"/>
      <c r="K17" s="63" t="str">
        <f ca="1"/>
        <v>Latvia</v>
      </c>
      <c r="M17" s="63"/>
      <c r="N17" s="63"/>
      <c r="O17" s="63"/>
      <c r="R17" s="63"/>
      <c r="S17" s="63"/>
      <c r="T17" s="63"/>
      <c r="U17" s="63"/>
    </row>
    <row r="18" spans="1:21" x14ac:dyDescent="0.35">
      <c r="A18" s="63"/>
      <c r="B18" s="63" t="str">
        <f ca="1"/>
        <v>Malawi</v>
      </c>
      <c r="D18" s="63"/>
      <c r="E18" s="63" t="str">
        <f ca="1"/>
        <v>Grenada</v>
      </c>
      <c r="F18" s="63"/>
      <c r="H18" s="63" t="str">
        <f ca="1"/>
        <v>Bangladesh</v>
      </c>
      <c r="I18" s="63"/>
      <c r="J18" s="63"/>
      <c r="K18" s="63" t="str">
        <f ca="1"/>
        <v>Lithuania</v>
      </c>
      <c r="M18" s="63"/>
      <c r="N18" s="63"/>
      <c r="O18" s="63"/>
      <c r="R18" s="63"/>
      <c r="S18" s="63"/>
      <c r="T18" s="63"/>
      <c r="U18" s="63"/>
    </row>
    <row r="19" spans="1:21" x14ac:dyDescent="0.35">
      <c r="A19" s="63"/>
      <c r="B19" s="63" t="str">
        <f ca="1"/>
        <v>Mauritius</v>
      </c>
      <c r="D19" s="63"/>
      <c r="E19" s="63" t="str">
        <f ca="1"/>
        <v>Haiti</v>
      </c>
      <c r="F19" s="63"/>
      <c r="H19" s="63" t="str">
        <f ca="1"/>
        <v>Bhutan</v>
      </c>
      <c r="I19" s="63"/>
      <c r="J19" s="63"/>
      <c r="K19" s="63" t="str">
        <f ca="1"/>
        <v>Estonia</v>
      </c>
      <c r="M19" s="63"/>
      <c r="N19" s="63"/>
      <c r="O19" s="63"/>
      <c r="R19" s="63"/>
      <c r="S19" s="63"/>
      <c r="T19" s="63"/>
      <c r="U19" s="63"/>
    </row>
    <row r="20" spans="1:21" x14ac:dyDescent="0.35">
      <c r="A20" s="63"/>
      <c r="B20" s="63" t="str">
        <f ca="1"/>
        <v>Mayotte</v>
      </c>
      <c r="D20" s="63"/>
      <c r="E20" s="63" t="str">
        <f ca="1"/>
        <v>Jamaica</v>
      </c>
      <c r="F20" s="63"/>
      <c r="H20" s="63" t="str">
        <f ca="1"/>
        <v>India</v>
      </c>
      <c r="I20" s="63"/>
      <c r="J20" s="63"/>
      <c r="K20" s="63"/>
      <c r="M20" s="63"/>
      <c r="N20" s="63"/>
      <c r="O20" s="63"/>
      <c r="R20" s="63"/>
      <c r="S20" s="63"/>
      <c r="T20" s="63"/>
      <c r="U20" s="63"/>
    </row>
    <row r="21" spans="1:21" x14ac:dyDescent="0.35">
      <c r="A21" s="63"/>
      <c r="B21" s="63" t="str">
        <f ca="1"/>
        <v>Mozambique</v>
      </c>
      <c r="D21" s="63"/>
      <c r="E21" s="63" t="str">
        <f ca="1"/>
        <v>Cuba</v>
      </c>
      <c r="F21" s="63"/>
      <c r="H21" s="63" t="str">
        <f ca="1"/>
        <v>Maldives</v>
      </c>
      <c r="I21" s="63"/>
      <c r="J21" s="443" t="s">
        <v>1734</v>
      </c>
      <c r="K21" s="63" t="str" cm="1">
        <f t="array" aca="1" ref="K21:K36" ca="1">OFFSET( Parameter!$CS$5, MATCH(J21, Parameter!$CU$5:$CU$201, 0) - 1, Language!$B$37, COUNTIF(Parameter!$CU$5:$CU$201, J21) )</f>
        <v>Albania</v>
      </c>
      <c r="M21" s="63"/>
      <c r="N21" s="63"/>
      <c r="O21" s="63"/>
      <c r="R21" s="63"/>
      <c r="S21" s="63"/>
      <c r="T21" s="63"/>
      <c r="U21" s="63"/>
    </row>
    <row r="22" spans="1:21" x14ac:dyDescent="0.35">
      <c r="A22" s="63"/>
      <c r="B22" s="63" t="str">
        <f ca="1"/>
        <v>Réunion</v>
      </c>
      <c r="D22" s="63"/>
      <c r="E22" s="63" t="str">
        <f ca="1"/>
        <v>Saint Kitts and Nevis</v>
      </c>
      <c r="F22" s="63"/>
      <c r="H22" s="63" t="str">
        <f ca="1"/>
        <v>Nepal</v>
      </c>
      <c r="I22" s="63"/>
      <c r="J22" s="63"/>
      <c r="K22" s="63" t="str">
        <f ca="1"/>
        <v>Andorra</v>
      </c>
      <c r="M22" s="63"/>
      <c r="N22" s="63"/>
      <c r="O22" s="63"/>
      <c r="R22" s="63"/>
      <c r="S22" s="63"/>
      <c r="T22" s="63"/>
      <c r="U22" s="63"/>
    </row>
    <row r="23" spans="1:21" x14ac:dyDescent="0.35">
      <c r="A23" s="63"/>
      <c r="B23" s="63" t="str">
        <f ca="1"/>
        <v>Rwanda</v>
      </c>
      <c r="D23" s="63"/>
      <c r="E23" s="63" t="str">
        <f ca="1"/>
        <v>Saint Lucia</v>
      </c>
      <c r="F23" s="63"/>
      <c r="H23" s="63" t="str">
        <f ca="1"/>
        <v>Pakistan</v>
      </c>
      <c r="I23" s="63"/>
      <c r="J23" s="63"/>
      <c r="K23" s="63" t="str">
        <f ca="1"/>
        <v>Bosnia and Herzegovina</v>
      </c>
      <c r="M23" s="63"/>
      <c r="N23" s="63"/>
      <c r="O23" s="63"/>
      <c r="R23" s="63"/>
      <c r="S23" s="63"/>
      <c r="T23" s="63"/>
      <c r="U23" s="63"/>
    </row>
    <row r="24" spans="1:21" x14ac:dyDescent="0.35">
      <c r="A24" s="63"/>
      <c r="B24" s="63" t="str">
        <f ca="1"/>
        <v>Zambia</v>
      </c>
      <c r="D24" s="63"/>
      <c r="E24" s="63" t="str">
        <f ca="1"/>
        <v>Saint Vincent and the Grenadines</v>
      </c>
      <c r="F24" s="63"/>
      <c r="H24" s="63" t="str">
        <f ca="1"/>
        <v>Sri Lanka</v>
      </c>
      <c r="I24" s="63"/>
      <c r="J24" s="63"/>
      <c r="K24" s="63" t="str">
        <f ca="1"/>
        <v>Gibraltar</v>
      </c>
      <c r="M24" s="63"/>
      <c r="N24" s="63"/>
      <c r="O24" s="63"/>
      <c r="R24" s="63"/>
      <c r="S24" s="63"/>
      <c r="T24" s="63"/>
      <c r="U24" s="63"/>
    </row>
    <row r="25" spans="1:21" x14ac:dyDescent="0.35">
      <c r="A25" s="63"/>
      <c r="B25" s="63" t="str">
        <f ca="1"/>
        <v>Seychelles</v>
      </c>
      <c r="D25" s="63"/>
      <c r="E25" s="63" t="str">
        <f ca="1"/>
        <v>Trinidad and Tobago</v>
      </c>
      <c r="F25" s="63"/>
      <c r="I25" s="63"/>
      <c r="J25" s="63"/>
      <c r="K25" s="63" t="str">
        <f ca="1"/>
        <v>Greece</v>
      </c>
      <c r="M25" s="63"/>
      <c r="N25" s="63"/>
      <c r="O25" s="63"/>
      <c r="P25" s="442"/>
      <c r="R25" s="63"/>
      <c r="S25" s="63"/>
      <c r="T25" s="63"/>
      <c r="U25" s="63"/>
    </row>
    <row r="26" spans="1:21" x14ac:dyDescent="0.35">
      <c r="A26" s="63"/>
      <c r="B26" s="63" t="str">
        <f ca="1"/>
        <v>Zimbabwe</v>
      </c>
      <c r="D26" s="63"/>
      <c r="E26" s="63"/>
      <c r="F26" s="63"/>
      <c r="G26" s="444" t="s">
        <v>1570</v>
      </c>
      <c r="H26" s="63" t="str" cm="1">
        <f t="array" aca="1" ref="H26:H45" ca="1">OFFSET( Parameter!$CS$5, MATCH(G26, Parameter!$CU$5:$CU$201, 0) - 1, Language!$B$37, COUNTIF(Parameter!$CU$5:$CU$201, G26) )</f>
        <v>Egypt</v>
      </c>
      <c r="I26" s="63"/>
      <c r="J26" s="63"/>
      <c r="K26" s="63" t="str">
        <f ca="1"/>
        <v>Italy</v>
      </c>
      <c r="M26" s="63"/>
      <c r="N26" s="63"/>
      <c r="O26" s="63"/>
      <c r="R26" s="63"/>
      <c r="S26" s="63"/>
      <c r="T26" s="63"/>
      <c r="U26" s="63"/>
    </row>
    <row r="27" spans="1:21" x14ac:dyDescent="0.35">
      <c r="A27" s="63"/>
      <c r="B27" s="63" t="str">
        <f ca="1"/>
        <v>Somalia</v>
      </c>
      <c r="D27" s="443" t="s">
        <v>1420</v>
      </c>
      <c r="E27" s="63" t="str" cm="1">
        <f t="array" aca="1" ref="E27:E44" ca="1">OFFSET( Parameter!$CS$5, MATCH(D27, Parameter!$CU$5:$CU$201, 0) - 1, Language!$B$37, COUNTIF(Parameter!$CU$5:$CU$201, D27) )</f>
        <v>Argentina</v>
      </c>
      <c r="F27" s="63"/>
      <c r="H27" s="63" t="str">
        <f ca="1"/>
        <v>Armenia</v>
      </c>
      <c r="I27" s="63"/>
      <c r="J27" s="63"/>
      <c r="K27" s="63" t="str">
        <f ca="1"/>
        <v>Croatia</v>
      </c>
      <c r="M27" s="63"/>
      <c r="N27" s="63"/>
      <c r="O27" s="63"/>
      <c r="R27" s="63"/>
      <c r="S27" s="63"/>
      <c r="T27" s="63"/>
      <c r="U27" s="63"/>
    </row>
    <row r="28" spans="1:21" x14ac:dyDescent="0.35">
      <c r="A28" s="63"/>
      <c r="B28" s="63" t="str">
        <f ca="1"/>
        <v>South Sudan</v>
      </c>
      <c r="D28" s="63"/>
      <c r="E28" s="63" t="str">
        <f ca="1"/>
        <v>Aruba</v>
      </c>
      <c r="F28" s="63"/>
      <c r="H28" s="63" t="str">
        <f ca="1"/>
        <v>Azerbaijan</v>
      </c>
      <c r="I28" s="63"/>
      <c r="J28" s="63"/>
      <c r="K28" s="63" t="str">
        <f ca="1"/>
        <v>Malta</v>
      </c>
      <c r="M28" s="63"/>
      <c r="N28" s="63"/>
      <c r="O28" s="63"/>
      <c r="R28" s="63"/>
      <c r="S28" s="63"/>
      <c r="T28" s="63"/>
      <c r="U28" s="63"/>
    </row>
    <row r="29" spans="1:21" x14ac:dyDescent="0.35">
      <c r="A29" s="63"/>
      <c r="B29" s="63" t="str">
        <f ca="1"/>
        <v>Tanzania</v>
      </c>
      <c r="D29" s="63"/>
      <c r="E29" s="63" t="str">
        <f ca="1"/>
        <v>Bolivia</v>
      </c>
      <c r="F29" s="63"/>
      <c r="H29" s="63" t="str">
        <f ca="1"/>
        <v>Bahrain</v>
      </c>
      <c r="I29" s="63"/>
      <c r="J29" s="63"/>
      <c r="K29" s="63" t="str">
        <f ca="1"/>
        <v>Montenegro</v>
      </c>
      <c r="M29" s="63"/>
      <c r="N29" s="63"/>
      <c r="O29" s="63"/>
      <c r="R29" s="63"/>
      <c r="S29" s="63"/>
      <c r="T29" s="63"/>
      <c r="U29" s="63"/>
    </row>
    <row r="30" spans="1:21" x14ac:dyDescent="0.35">
      <c r="A30" s="63"/>
      <c r="B30" s="63" t="str">
        <f ca="1"/>
        <v xml:space="preserve">Uganda </v>
      </c>
      <c r="D30" s="63"/>
      <c r="E30" s="63" t="str">
        <f ca="1"/>
        <v>Bonaire</v>
      </c>
      <c r="F30" s="63"/>
      <c r="H30" s="63" t="str">
        <f ca="1"/>
        <v>Georgia</v>
      </c>
      <c r="I30" s="63"/>
      <c r="J30" s="63"/>
      <c r="K30" s="63" t="str">
        <f ca="1"/>
        <v>Northern Macedonia</v>
      </c>
      <c r="M30" s="63"/>
      <c r="N30" s="442"/>
      <c r="O30" s="63"/>
      <c r="P30" s="63"/>
      <c r="R30" s="63"/>
      <c r="S30" s="63"/>
      <c r="T30" s="63"/>
      <c r="U30" s="63"/>
    </row>
    <row r="31" spans="1:21" x14ac:dyDescent="0.35">
      <c r="D31" s="63"/>
      <c r="E31" s="63" t="str">
        <f ca="1"/>
        <v>Brazil</v>
      </c>
      <c r="F31" s="63"/>
      <c r="H31" s="63" t="str">
        <f ca="1"/>
        <v>Iraq</v>
      </c>
      <c r="I31" s="63"/>
      <c r="J31" s="63"/>
      <c r="K31" s="63" t="str">
        <f ca="1"/>
        <v>Portugal</v>
      </c>
      <c r="M31" s="63"/>
      <c r="N31" s="63"/>
      <c r="O31" s="63"/>
      <c r="R31" s="63"/>
      <c r="S31" s="63"/>
      <c r="T31" s="63"/>
      <c r="U31" s="63"/>
    </row>
    <row r="32" spans="1:21" x14ac:dyDescent="0.35">
      <c r="A32" s="443" t="s">
        <v>1087</v>
      </c>
      <c r="B32" s="63" t="str" cm="1">
        <f t="array" aca="1" ref="B32:B36" ca="1">OFFSET( Parameter!$CS$5, MATCH(A32, Parameter!$CU$5:$CU$201, 0) - 1, Language!$B$37, COUNTIF(Parameter!$CU$5:$CU$201, A32) )</f>
        <v>Botswana</v>
      </c>
      <c r="D32" s="63"/>
      <c r="E32" s="63" t="str">
        <f ca="1"/>
        <v>Chile</v>
      </c>
      <c r="F32" s="63"/>
      <c r="H32" s="63" t="str">
        <f ca="1"/>
        <v>Iran</v>
      </c>
      <c r="I32" s="63"/>
      <c r="J32" s="63"/>
      <c r="K32" s="442" t="str">
        <f ca="1"/>
        <v>San Marino</v>
      </c>
      <c r="M32" s="63"/>
      <c r="N32" s="63"/>
      <c r="O32" s="63"/>
      <c r="R32" s="63"/>
      <c r="S32" s="63"/>
      <c r="T32" s="63"/>
      <c r="U32" s="63"/>
    </row>
    <row r="33" spans="1:21" x14ac:dyDescent="0.35">
      <c r="A33" s="63"/>
      <c r="B33" s="63" t="str">
        <f ca="1"/>
        <v>Lesotho</v>
      </c>
      <c r="D33" s="63"/>
      <c r="E33" s="63" t="str">
        <f ca="1"/>
        <v>Curaçao</v>
      </c>
      <c r="F33" s="63"/>
      <c r="H33" s="63" t="str">
        <f ca="1"/>
        <v>Israel</v>
      </c>
      <c r="I33" s="63"/>
      <c r="J33" s="63"/>
      <c r="K33" s="442" t="str">
        <f ca="1"/>
        <v>Serbia</v>
      </c>
      <c r="M33" s="63"/>
      <c r="N33" s="63"/>
      <c r="O33" s="63"/>
      <c r="R33" s="63"/>
      <c r="S33" s="442"/>
      <c r="T33" s="63"/>
      <c r="U33" s="63"/>
    </row>
    <row r="34" spans="1:21" x14ac:dyDescent="0.35">
      <c r="A34" s="63"/>
      <c r="B34" s="63" t="str">
        <f ca="1"/>
        <v>Namibia</v>
      </c>
      <c r="D34" s="63"/>
      <c r="E34" s="63" t="str">
        <f ca="1"/>
        <v>Ecuador</v>
      </c>
      <c r="F34" s="63"/>
      <c r="H34" s="63" t="str">
        <f ca="1"/>
        <v>Yemen</v>
      </c>
      <c r="I34" s="63"/>
      <c r="J34" s="63"/>
      <c r="K34" s="442" t="str">
        <f ca="1"/>
        <v>Slovenia</v>
      </c>
      <c r="M34" s="63"/>
      <c r="N34" s="63"/>
      <c r="O34" s="63"/>
      <c r="P34" s="63"/>
      <c r="R34" s="63"/>
      <c r="S34" s="442"/>
      <c r="T34" s="63"/>
      <c r="U34" s="63"/>
    </row>
    <row r="35" spans="1:21" x14ac:dyDescent="0.35">
      <c r="A35" s="63"/>
      <c r="B35" s="63" t="str">
        <f ca="1"/>
        <v>South Africa</v>
      </c>
      <c r="D35" s="63"/>
      <c r="E35" s="63" t="str">
        <f ca="1"/>
        <v>Falkland Islands</v>
      </c>
      <c r="F35" s="63"/>
      <c r="H35" s="63" t="str">
        <f ca="1"/>
        <v>Jordan</v>
      </c>
      <c r="I35" s="63"/>
      <c r="J35" s="63"/>
      <c r="K35" s="442" t="str">
        <f ca="1"/>
        <v>Spain</v>
      </c>
      <c r="M35" s="63"/>
      <c r="N35" s="63"/>
      <c r="O35" s="63"/>
      <c r="P35" s="63"/>
      <c r="R35" s="63"/>
      <c r="S35" s="442"/>
      <c r="T35" s="63"/>
      <c r="U35" s="63"/>
    </row>
    <row r="36" spans="1:21" x14ac:dyDescent="0.35">
      <c r="A36" s="63"/>
      <c r="B36" s="63" t="str">
        <f ca="1"/>
        <v>Eswatini</v>
      </c>
      <c r="D36" s="63"/>
      <c r="E36" s="63" t="str">
        <f ca="1"/>
        <v>French Guiana</v>
      </c>
      <c r="F36" s="63"/>
      <c r="H36" s="63" t="str">
        <f ca="1"/>
        <v>Qatar</v>
      </c>
      <c r="I36" s="63"/>
      <c r="J36" s="63"/>
      <c r="K36" s="442" t="str">
        <f ca="1"/>
        <v>Vatican City</v>
      </c>
      <c r="M36" s="63"/>
      <c r="N36" s="63"/>
      <c r="O36" s="63"/>
      <c r="R36" s="63"/>
      <c r="S36" s="442"/>
      <c r="T36" s="63"/>
      <c r="U36" s="63"/>
    </row>
    <row r="37" spans="1:21" x14ac:dyDescent="0.35">
      <c r="D37" s="63"/>
      <c r="E37" s="63" t="str">
        <f ca="1"/>
        <v>Guyana</v>
      </c>
      <c r="F37" s="63"/>
      <c r="H37" s="63" t="str">
        <f ca="1"/>
        <v>Kuwait</v>
      </c>
      <c r="I37" s="63"/>
      <c r="J37" s="63"/>
      <c r="K37" s="63"/>
      <c r="M37" s="63"/>
      <c r="N37" s="63"/>
      <c r="O37" s="63"/>
      <c r="R37" s="63"/>
      <c r="S37" s="442"/>
      <c r="T37" s="63"/>
      <c r="U37" s="63"/>
    </row>
    <row r="38" spans="1:21" x14ac:dyDescent="0.35">
      <c r="A38" s="443" t="s">
        <v>1122</v>
      </c>
      <c r="B38" s="63" t="str" cm="1">
        <f t="array" aca="1" ref="B38:B54" ca="1">OFFSET( Parameter!$CS$5, MATCH(A38, Parameter!$CU$5:$CU$201, 0) - 1, Language!$B$37, COUNTIF(Parameter!$CU$5:$CU$201, A38) )</f>
        <v>Benin</v>
      </c>
      <c r="D38" s="63"/>
      <c r="E38" s="63" t="str">
        <f ca="1"/>
        <v>Colombia</v>
      </c>
      <c r="F38" s="63"/>
      <c r="H38" s="63" t="str">
        <f ca="1"/>
        <v>Lebanon</v>
      </c>
      <c r="I38" s="63"/>
      <c r="J38" s="443" t="s">
        <v>1778</v>
      </c>
      <c r="K38" s="63" t="str" cm="1">
        <f t="array" aca="1" ref="K38:K47" ca="1">OFFSET( Parameter!$CS$5, MATCH(J38, Parameter!$CU$5:$CU$201, 0) - 1, Language!$B$37, COUNTIF(Parameter!$CU$5:$CU$201, J38) )</f>
        <v>Belgium</v>
      </c>
      <c r="M38" s="63"/>
      <c r="N38" s="63"/>
      <c r="O38" s="63"/>
      <c r="R38" s="63"/>
      <c r="S38" s="442"/>
      <c r="T38" s="63"/>
      <c r="U38" s="63"/>
    </row>
    <row r="39" spans="1:21" x14ac:dyDescent="0.35">
      <c r="A39" s="63"/>
      <c r="B39" s="63" t="str">
        <f ca="1"/>
        <v>Burkina Faso</v>
      </c>
      <c r="D39" s="63"/>
      <c r="E39" s="63" t="str">
        <f ca="1"/>
        <v>Paraguay</v>
      </c>
      <c r="F39" s="63"/>
      <c r="H39" s="63" t="str">
        <f ca="1"/>
        <v>Oman</v>
      </c>
      <c r="I39" s="63"/>
      <c r="J39" s="63"/>
      <c r="K39" s="442" t="str">
        <f ca="1"/>
        <v>Germany</v>
      </c>
      <c r="M39" s="63"/>
      <c r="N39" s="63"/>
      <c r="O39" s="63"/>
      <c r="R39" s="442"/>
      <c r="S39" s="442"/>
      <c r="T39" s="63"/>
      <c r="U39" s="63"/>
    </row>
    <row r="40" spans="1:21" x14ac:dyDescent="0.35">
      <c r="A40" s="63"/>
      <c r="B40" s="63" t="str">
        <f ca="1"/>
        <v>Ivory Coast</v>
      </c>
      <c r="D40" s="63"/>
      <c r="E40" s="63" t="str">
        <f ca="1"/>
        <v>Peru</v>
      </c>
      <c r="F40" s="63"/>
      <c r="H40" s="63" t="str">
        <f ca="1"/>
        <v>Palestine</v>
      </c>
      <c r="I40" s="63"/>
      <c r="J40" s="63"/>
      <c r="K40" s="442" t="str">
        <f ca="1"/>
        <v>France</v>
      </c>
      <c r="M40" s="63"/>
      <c r="N40" s="63"/>
      <c r="O40" s="63"/>
      <c r="P40" s="63"/>
      <c r="R40" s="63"/>
      <c r="S40" s="442"/>
      <c r="T40" s="63"/>
      <c r="U40" s="63"/>
    </row>
    <row r="41" spans="1:21" x14ac:dyDescent="0.35">
      <c r="A41" s="63"/>
      <c r="B41" s="63" t="str">
        <f ca="1"/>
        <v>Gambia</v>
      </c>
      <c r="D41" s="63"/>
      <c r="E41" s="63" t="str">
        <f ca="1"/>
        <v>South Georgia and the South Sandwich Islands</v>
      </c>
      <c r="F41" s="63"/>
      <c r="H41" s="63" t="str">
        <f ca="1"/>
        <v>Republic of Cyprus</v>
      </c>
      <c r="I41" s="63"/>
      <c r="J41" s="63"/>
      <c r="K41" s="442" t="str">
        <f ca="1"/>
        <v>Liechtenstein</v>
      </c>
      <c r="M41" s="63"/>
      <c r="N41" s="63"/>
      <c r="O41" s="63"/>
      <c r="R41" s="63"/>
      <c r="S41" s="63"/>
      <c r="T41" s="63"/>
      <c r="U41" s="63"/>
    </row>
    <row r="42" spans="1:21" x14ac:dyDescent="0.35">
      <c r="A42" s="63"/>
      <c r="B42" s="63" t="str">
        <f ca="1"/>
        <v>Ghana</v>
      </c>
      <c r="D42" s="63"/>
      <c r="E42" s="63" t="str">
        <f ca="1"/>
        <v>Suriname</v>
      </c>
      <c r="F42" s="63"/>
      <c r="H42" s="63" t="str">
        <f ca="1"/>
        <v>Saudi Arabia</v>
      </c>
      <c r="I42" s="63"/>
      <c r="J42" s="63"/>
      <c r="K42" s="442" t="str">
        <f ca="1"/>
        <v>Luxembourg</v>
      </c>
      <c r="M42" s="63"/>
      <c r="N42" s="442"/>
      <c r="O42" s="63"/>
      <c r="R42" s="63"/>
      <c r="S42" s="63"/>
      <c r="T42" s="63"/>
      <c r="U42" s="63"/>
    </row>
    <row r="43" spans="1:21" x14ac:dyDescent="0.35">
      <c r="A43" s="63"/>
      <c r="B43" s="63" t="str">
        <f ca="1"/>
        <v>Guinea</v>
      </c>
      <c r="D43" s="63"/>
      <c r="E43" s="63" t="str">
        <f ca="1"/>
        <v>Uruguay</v>
      </c>
      <c r="F43" s="63"/>
      <c r="H43" s="63" t="str">
        <f ca="1"/>
        <v>Syria</v>
      </c>
      <c r="I43" s="63"/>
      <c r="J43" s="63"/>
      <c r="K43" s="442" t="str">
        <f ca="1"/>
        <v>Monaco</v>
      </c>
      <c r="M43" s="63"/>
      <c r="N43" s="63"/>
      <c r="O43" s="63"/>
      <c r="R43" s="63"/>
      <c r="S43" s="63"/>
      <c r="T43" s="63"/>
      <c r="U43" s="63"/>
    </row>
    <row r="44" spans="1:21" x14ac:dyDescent="0.35">
      <c r="A44" s="63"/>
      <c r="B44" s="63" t="str">
        <f ca="1"/>
        <v>Guinea-Bissau</v>
      </c>
      <c r="D44" s="63"/>
      <c r="E44" s="63" t="str">
        <f ca="1"/>
        <v>Venezuela</v>
      </c>
      <c r="F44" s="63"/>
      <c r="H44" s="63" t="str">
        <f ca="1"/>
        <v>Turkey (Asian part)</v>
      </c>
      <c r="I44" s="63"/>
      <c r="J44" s="63"/>
      <c r="K44" s="442" t="str">
        <f ca="1"/>
        <v>Netherlands</v>
      </c>
      <c r="M44" s="63"/>
      <c r="N44" s="442"/>
      <c r="O44" s="63"/>
      <c r="P44" s="63"/>
      <c r="R44" s="63"/>
      <c r="S44" s="63"/>
      <c r="T44" s="63"/>
      <c r="U44" s="63"/>
    </row>
    <row r="45" spans="1:21" x14ac:dyDescent="0.35">
      <c r="A45" s="63"/>
      <c r="B45" s="63" t="str">
        <f ca="1"/>
        <v>Cape Verde</v>
      </c>
      <c r="D45" s="63"/>
      <c r="E45" s="63"/>
      <c r="F45" s="63"/>
      <c r="H45" s="63" t="str">
        <f ca="1"/>
        <v>United Arab Emirates</v>
      </c>
      <c r="I45" s="63"/>
      <c r="J45" s="63"/>
      <c r="K45" s="442" t="str">
        <f ca="1"/>
        <v>Austria</v>
      </c>
      <c r="M45" s="63"/>
      <c r="N45" s="442"/>
      <c r="O45" s="63"/>
      <c r="R45" s="63"/>
      <c r="S45" s="63"/>
      <c r="T45" s="63"/>
      <c r="U45" s="63"/>
    </row>
    <row r="46" spans="1:21" x14ac:dyDescent="0.35">
      <c r="A46" s="63"/>
      <c r="B46" s="63" t="str">
        <f ca="1"/>
        <v>Liberia</v>
      </c>
      <c r="D46" s="63"/>
      <c r="E46" s="63"/>
      <c r="F46" s="63"/>
      <c r="G46" s="63"/>
      <c r="H46" s="63"/>
      <c r="I46" s="63"/>
      <c r="J46" s="63"/>
      <c r="K46" s="442" t="str">
        <f ca="1"/>
        <v>Switzerland</v>
      </c>
      <c r="M46" s="63"/>
      <c r="N46" s="63"/>
      <c r="O46" s="63"/>
      <c r="Q46" s="63"/>
      <c r="R46" s="63"/>
      <c r="S46" s="63"/>
      <c r="T46" s="63"/>
      <c r="U46" s="63"/>
    </row>
    <row r="47" spans="1:21" x14ac:dyDescent="0.35">
      <c r="A47" s="63"/>
      <c r="B47" s="63" t="str">
        <f ca="1"/>
        <v>Mali</v>
      </c>
      <c r="D47" s="63"/>
      <c r="E47" s="63"/>
      <c r="F47" s="63"/>
      <c r="G47" s="443" t="s">
        <v>1648</v>
      </c>
      <c r="H47" s="63" t="str" cm="1">
        <f t="array" aca="1" ref="H47:H57" ca="1">OFFSET( Parameter!$CS$5, MATCH(G47, Parameter!$CU$5:$CU$201, 0) - 1, Language!$B$37, COUNTIF(Parameter!$CU$5:$CU$201, G47) )</f>
        <v>Brunei</v>
      </c>
      <c r="I47" s="63"/>
      <c r="J47" s="63"/>
      <c r="K47" s="442" t="str">
        <f ca="1"/>
        <v xml:space="preserve">UK </v>
      </c>
      <c r="M47" s="63"/>
      <c r="N47" s="63"/>
      <c r="O47" s="63"/>
      <c r="P47" s="442"/>
      <c r="Q47" s="63"/>
      <c r="R47" s="63"/>
      <c r="S47" s="63"/>
      <c r="T47" s="63"/>
      <c r="U47" s="63"/>
    </row>
    <row r="48" spans="1:21" x14ac:dyDescent="0.35">
      <c r="A48" s="63"/>
      <c r="B48" s="63" t="str">
        <f ca="1"/>
        <v>Mauritania</v>
      </c>
      <c r="D48" s="63"/>
      <c r="E48" s="63"/>
      <c r="F48" s="63"/>
      <c r="G48" s="63"/>
      <c r="H48" s="63" t="str">
        <f ca="1"/>
        <v>Indonesia</v>
      </c>
      <c r="I48" s="63"/>
      <c r="J48" s="63"/>
      <c r="K48" s="442"/>
      <c r="M48" s="63"/>
      <c r="N48" s="63"/>
      <c r="O48" s="63"/>
      <c r="P48" s="63"/>
      <c r="Q48" s="63"/>
      <c r="R48" s="63"/>
      <c r="S48" s="63"/>
      <c r="T48" s="63"/>
      <c r="U48" s="63"/>
    </row>
    <row r="49" spans="1:21" x14ac:dyDescent="0.35">
      <c r="A49" s="63"/>
      <c r="B49" s="63" t="str">
        <f ca="1"/>
        <v>Niger</v>
      </c>
      <c r="D49" s="63"/>
      <c r="E49" s="63"/>
      <c r="F49" s="63"/>
      <c r="G49" s="63"/>
      <c r="H49" s="63" t="str">
        <f ca="1"/>
        <v>Cambodia</v>
      </c>
      <c r="I49" s="63"/>
      <c r="J49" s="63"/>
      <c r="K49" s="63"/>
      <c r="M49" s="63"/>
      <c r="N49" s="63"/>
      <c r="O49" s="63"/>
      <c r="Q49" s="63"/>
      <c r="R49" s="63"/>
      <c r="S49" s="63"/>
      <c r="T49" s="63"/>
      <c r="U49" s="63"/>
    </row>
    <row r="50" spans="1:21" x14ac:dyDescent="0.35">
      <c r="A50" s="63"/>
      <c r="B50" s="63" t="str">
        <f ca="1"/>
        <v>Nigeria</v>
      </c>
      <c r="D50" s="63"/>
      <c r="E50" s="63"/>
      <c r="F50" s="63"/>
      <c r="G50" s="63"/>
      <c r="H50" s="63" t="str">
        <f ca="1"/>
        <v>Laos</v>
      </c>
      <c r="I50" s="63"/>
      <c r="J50" s="63"/>
      <c r="K50" s="442"/>
      <c r="M50" s="63"/>
      <c r="N50" s="63"/>
      <c r="O50" s="63"/>
      <c r="P50" s="442"/>
      <c r="Q50" s="63"/>
      <c r="R50" s="63"/>
      <c r="S50" s="63"/>
      <c r="T50" s="63"/>
      <c r="U50" s="63"/>
    </row>
    <row r="51" spans="1:21" x14ac:dyDescent="0.35">
      <c r="A51" s="63"/>
      <c r="B51" s="63" t="str">
        <f ca="1"/>
        <v>Senegal</v>
      </c>
      <c r="D51" s="63"/>
      <c r="E51" s="63"/>
      <c r="F51" s="63"/>
      <c r="G51" s="63"/>
      <c r="H51" s="63" t="str">
        <f ca="1"/>
        <v>Malaysia</v>
      </c>
      <c r="I51" s="63"/>
      <c r="J51" s="63"/>
      <c r="K51" s="442"/>
      <c r="M51" s="63"/>
      <c r="N51" s="63"/>
      <c r="O51" s="63"/>
      <c r="Q51" s="63"/>
      <c r="R51" s="63"/>
      <c r="S51" s="63"/>
      <c r="T51" s="63"/>
      <c r="U51" s="63"/>
    </row>
    <row r="52" spans="1:21" x14ac:dyDescent="0.35">
      <c r="A52" s="63"/>
      <c r="B52" s="63" t="str">
        <f ca="1"/>
        <v>Sierra Leone</v>
      </c>
      <c r="D52" s="63"/>
      <c r="E52" s="63"/>
      <c r="F52" s="63"/>
      <c r="G52" s="63"/>
      <c r="H52" s="63" t="str">
        <f ca="1"/>
        <v>Myanmar</v>
      </c>
      <c r="I52" s="63"/>
      <c r="J52" s="63"/>
      <c r="K52" s="442"/>
      <c r="M52" s="63"/>
      <c r="N52" s="63"/>
      <c r="O52" s="63"/>
      <c r="Q52" s="63"/>
      <c r="R52" s="63"/>
      <c r="S52" s="63"/>
      <c r="T52" s="63"/>
      <c r="U52" s="63"/>
    </row>
    <row r="53" spans="1:21" x14ac:dyDescent="0.35">
      <c r="A53" s="63"/>
      <c r="B53" s="63" t="str">
        <f ca="1"/>
        <v>Togo</v>
      </c>
      <c r="D53" s="63"/>
      <c r="E53" s="63"/>
      <c r="F53" s="63"/>
      <c r="G53" s="63"/>
      <c r="H53" s="63" t="str">
        <f ca="1"/>
        <v>East Timor</v>
      </c>
      <c r="I53" s="63"/>
      <c r="J53" s="63"/>
      <c r="K53" s="442"/>
      <c r="M53" s="63"/>
      <c r="N53" s="63"/>
      <c r="O53" s="63"/>
      <c r="Q53" s="63"/>
      <c r="R53" s="63"/>
      <c r="S53" s="63"/>
      <c r="T53" s="63"/>
      <c r="U53" s="63"/>
    </row>
    <row r="54" spans="1:21" x14ac:dyDescent="0.35">
      <c r="A54" s="63"/>
      <c r="B54" s="63" t="str">
        <f ca="1"/>
        <v>Saint Helena, Ascension and Tristan da Cunha</v>
      </c>
      <c r="D54" s="63"/>
      <c r="E54" s="63"/>
      <c r="F54" s="63"/>
      <c r="G54" s="63"/>
      <c r="H54" s="63" t="str">
        <f ca="1"/>
        <v>Philippines</v>
      </c>
      <c r="I54" s="63"/>
      <c r="J54" s="63"/>
      <c r="K54" s="442"/>
      <c r="M54" s="63"/>
      <c r="N54" s="63"/>
      <c r="O54" s="63"/>
      <c r="Q54" s="63"/>
      <c r="R54" s="63"/>
      <c r="S54" s="63"/>
      <c r="T54" s="63"/>
      <c r="U54" s="63"/>
    </row>
    <row r="55" spans="1:21" x14ac:dyDescent="0.35">
      <c r="D55" s="63"/>
      <c r="E55" s="63"/>
      <c r="F55" s="63"/>
      <c r="G55" s="63"/>
      <c r="H55" s="63" t="str">
        <f ca="1"/>
        <v>Singapore</v>
      </c>
      <c r="I55" s="63"/>
      <c r="J55" s="63"/>
      <c r="K55" s="442"/>
      <c r="M55" s="63"/>
      <c r="N55" s="63"/>
      <c r="O55" s="63"/>
      <c r="P55" s="63"/>
      <c r="Q55" s="63"/>
      <c r="R55" s="63"/>
      <c r="S55" s="63"/>
      <c r="T55" s="63"/>
      <c r="U55" s="63"/>
    </row>
    <row r="56" spans="1:21" x14ac:dyDescent="0.35">
      <c r="A56" s="443" t="s">
        <v>1242</v>
      </c>
      <c r="B56" s="63" t="str" cm="1">
        <f t="array" aca="1" ref="B56:B64" ca="1">OFFSET( Parameter!$CS$5, MATCH(A56, Parameter!$CU$5:$CU$201, 0) - 1, Language!$B$37, COUNTIF(Parameter!$CU$5:$CU$201, A56) )</f>
        <v>Angola</v>
      </c>
      <c r="D56" s="63"/>
      <c r="E56" s="63"/>
      <c r="F56" s="63"/>
      <c r="G56" s="63"/>
      <c r="H56" s="63" t="str">
        <f ca="1"/>
        <v>Thailand</v>
      </c>
      <c r="I56" s="63"/>
      <c r="J56" s="63"/>
      <c r="K56" s="442"/>
      <c r="M56" s="63"/>
      <c r="N56" s="63"/>
      <c r="O56" s="63"/>
      <c r="P56" s="442"/>
      <c r="Q56" s="63"/>
      <c r="R56" s="63"/>
      <c r="S56" s="63"/>
      <c r="T56" s="63"/>
      <c r="U56" s="63"/>
    </row>
    <row r="57" spans="1:21" x14ac:dyDescent="0.35">
      <c r="A57" s="63"/>
      <c r="B57" s="63" t="str">
        <f ca="1"/>
        <v>Equatorial Guinea</v>
      </c>
      <c r="D57" s="63"/>
      <c r="E57" s="63"/>
      <c r="F57" s="63"/>
      <c r="G57" s="63"/>
      <c r="H57" s="63" t="str">
        <f ca="1"/>
        <v>Vietnam</v>
      </c>
      <c r="I57" s="63"/>
      <c r="J57" s="63"/>
      <c r="K57" s="63"/>
      <c r="L57" s="63"/>
      <c r="M57" s="63"/>
      <c r="N57" s="63"/>
      <c r="O57" s="63"/>
      <c r="Q57" s="63"/>
      <c r="R57" s="63"/>
      <c r="S57" s="63"/>
      <c r="T57" s="63"/>
      <c r="U57" s="63"/>
    </row>
    <row r="58" spans="1:21" x14ac:dyDescent="0.35">
      <c r="A58" s="63"/>
      <c r="B58" s="63" t="str">
        <f ca="1"/>
        <v>Gabon</v>
      </c>
      <c r="D58" s="63"/>
      <c r="E58" s="63"/>
      <c r="F58" s="63"/>
      <c r="G58" s="63"/>
      <c r="H58" s="63"/>
      <c r="I58" s="63"/>
      <c r="J58" s="63"/>
      <c r="K58" s="63"/>
      <c r="L58" s="63"/>
      <c r="M58" s="63"/>
      <c r="N58" s="63"/>
      <c r="O58" s="63"/>
      <c r="P58" s="63"/>
      <c r="Q58" s="63"/>
      <c r="R58" s="63"/>
      <c r="S58" s="63"/>
      <c r="T58" s="63"/>
      <c r="U58" s="63"/>
    </row>
    <row r="59" spans="1:21" x14ac:dyDescent="0.35">
      <c r="A59" s="63"/>
      <c r="B59" s="63" t="str">
        <f ca="1"/>
        <v>Cameroon</v>
      </c>
      <c r="D59" s="63"/>
      <c r="E59" s="63"/>
      <c r="F59" s="63"/>
      <c r="G59" s="63"/>
      <c r="H59" s="63"/>
      <c r="I59" s="63"/>
      <c r="J59" s="63"/>
      <c r="K59" s="63"/>
      <c r="L59" s="63"/>
      <c r="M59" s="63"/>
      <c r="N59" s="63"/>
      <c r="O59" s="63"/>
      <c r="Q59" s="63"/>
      <c r="R59" s="63"/>
      <c r="S59" s="63"/>
      <c r="T59" s="63"/>
      <c r="U59" s="63"/>
    </row>
    <row r="60" spans="1:21" x14ac:dyDescent="0.35">
      <c r="A60" s="63"/>
      <c r="B60" s="63" t="str">
        <f ca="1"/>
        <v>Democratic Republic of the Congo</v>
      </c>
      <c r="D60" s="63"/>
      <c r="E60" s="63"/>
      <c r="F60" s="63"/>
      <c r="G60" s="63"/>
      <c r="H60" s="63"/>
      <c r="I60" s="63"/>
      <c r="J60" s="63"/>
      <c r="K60" s="63"/>
      <c r="L60" s="63"/>
      <c r="M60" s="63"/>
      <c r="N60" s="63"/>
      <c r="O60" s="63"/>
      <c r="Q60" s="63"/>
      <c r="R60" s="63"/>
      <c r="S60" s="63"/>
      <c r="T60" s="63"/>
      <c r="U60" s="63"/>
    </row>
    <row r="61" spans="1:21" x14ac:dyDescent="0.35">
      <c r="A61" s="63"/>
      <c r="B61" s="63" t="str">
        <f ca="1"/>
        <v>Republic of the Congo</v>
      </c>
      <c r="D61" s="63"/>
      <c r="E61" s="63"/>
      <c r="F61" s="63"/>
      <c r="G61" s="63"/>
      <c r="H61" s="63"/>
      <c r="I61" s="63"/>
      <c r="J61" s="63"/>
      <c r="K61" s="63"/>
      <c r="L61" s="63"/>
      <c r="M61" s="63"/>
      <c r="N61" s="63"/>
      <c r="O61" s="63"/>
      <c r="Q61" s="63"/>
      <c r="R61" s="63"/>
      <c r="S61" s="63"/>
      <c r="T61" s="63"/>
      <c r="U61" s="63"/>
    </row>
    <row r="62" spans="1:21" x14ac:dyDescent="0.35">
      <c r="A62" s="63"/>
      <c r="B62" s="63" t="str">
        <f ca="1"/>
        <v>São Tomé and Príncipe</v>
      </c>
    </row>
    <row r="63" spans="1:21" x14ac:dyDescent="0.35">
      <c r="A63" s="63"/>
      <c r="B63" s="63" t="str">
        <f ca="1"/>
        <v>Chad</v>
      </c>
    </row>
    <row r="64" spans="1:21" x14ac:dyDescent="0.35">
      <c r="A64" s="63"/>
      <c r="B64" s="63" t="str">
        <f ca="1"/>
        <v>Central African Republic</v>
      </c>
      <c r="P64" s="442"/>
    </row>
    <row r="65" spans="16:16" x14ac:dyDescent="0.35">
      <c r="P65" s="63"/>
    </row>
    <row r="82" spans="16:16" x14ac:dyDescent="0.35">
      <c r="P82" s="63"/>
    </row>
    <row r="83" spans="16:16" x14ac:dyDescent="0.35">
      <c r="P83" s="63"/>
    </row>
    <row r="84" spans="16:16" x14ac:dyDescent="0.35">
      <c r="P84" s="63"/>
    </row>
    <row r="87" spans="16:16" x14ac:dyDescent="0.35">
      <c r="P87" s="63"/>
    </row>
    <row r="90" spans="16:16" x14ac:dyDescent="0.35">
      <c r="P90" s="63"/>
    </row>
    <row r="95" spans="16:16" x14ac:dyDescent="0.35">
      <c r="P95" s="442"/>
    </row>
    <row r="98" spans="16:16" x14ac:dyDescent="0.35">
      <c r="P98" s="63"/>
    </row>
    <row r="99" spans="16:16" x14ac:dyDescent="0.35">
      <c r="P99" s="63"/>
    </row>
    <row r="104" spans="16:16" x14ac:dyDescent="0.35">
      <c r="P104" s="63"/>
    </row>
    <row r="105" spans="16:16" x14ac:dyDescent="0.35">
      <c r="P105" s="63"/>
    </row>
    <row r="108" spans="16:16" x14ac:dyDescent="0.35">
      <c r="P108" s="63"/>
    </row>
    <row r="110" spans="16:16" x14ac:dyDescent="0.35">
      <c r="P110" s="63"/>
    </row>
    <row r="111" spans="16:16" x14ac:dyDescent="0.35">
      <c r="P111" s="63"/>
    </row>
    <row r="112" spans="16:16" x14ac:dyDescent="0.35">
      <c r="P112" s="63"/>
    </row>
    <row r="113" spans="16:16" x14ac:dyDescent="0.35">
      <c r="P113" s="63"/>
    </row>
    <row r="119" spans="16:16" x14ac:dyDescent="0.35">
      <c r="P119" s="63"/>
    </row>
    <row r="121" spans="16:16" x14ac:dyDescent="0.35">
      <c r="P121" s="442"/>
    </row>
    <row r="126" spans="16:16" x14ac:dyDescent="0.35">
      <c r="P126" s="63"/>
    </row>
    <row r="127" spans="16:16" x14ac:dyDescent="0.35">
      <c r="P127" s="63"/>
    </row>
    <row r="143" spans="16:16" x14ac:dyDescent="0.35">
      <c r="P143" s="63"/>
    </row>
    <row r="145" spans="16:16" x14ac:dyDescent="0.35">
      <c r="P145" s="63"/>
    </row>
    <row r="146" spans="16:16" x14ac:dyDescent="0.35">
      <c r="P146" s="63"/>
    </row>
    <row r="148" spans="16:16" x14ac:dyDescent="0.35">
      <c r="P148" s="63"/>
    </row>
    <row r="150" spans="16:16" x14ac:dyDescent="0.35">
      <c r="P150" s="63"/>
    </row>
    <row r="154" spans="16:16" x14ac:dyDescent="0.35">
      <c r="P154" s="63"/>
    </row>
    <row r="156" spans="16:16" x14ac:dyDescent="0.35">
      <c r="P156" s="63"/>
    </row>
    <row r="157" spans="16:16" x14ac:dyDescent="0.35">
      <c r="P157" s="63"/>
    </row>
    <row r="158" spans="16:16" x14ac:dyDescent="0.35">
      <c r="P158" s="63"/>
    </row>
    <row r="162" spans="16:16" x14ac:dyDescent="0.35">
      <c r="P162" s="63"/>
    </row>
    <row r="167" spans="16:16" x14ac:dyDescent="0.35">
      <c r="P167" s="63"/>
    </row>
    <row r="169" spans="16:16" x14ac:dyDescent="0.35">
      <c r="P169" s="442"/>
    </row>
    <row r="170" spans="16:16" x14ac:dyDescent="0.35">
      <c r="P170" s="63"/>
    </row>
    <row r="173" spans="16:16" x14ac:dyDescent="0.35">
      <c r="P173" s="63"/>
    </row>
    <row r="178" spans="16:16" x14ac:dyDescent="0.35">
      <c r="P178" s="63"/>
    </row>
    <row r="180" spans="16:16" x14ac:dyDescent="0.35">
      <c r="P180" s="63"/>
    </row>
    <row r="182" spans="16:16" x14ac:dyDescent="0.35">
      <c r="P182" s="63"/>
    </row>
    <row r="184" spans="16:16" x14ac:dyDescent="0.35">
      <c r="P184" s="63"/>
    </row>
    <row r="187" spans="16:16" x14ac:dyDescent="0.35">
      <c r="P187" s="442"/>
    </row>
    <row r="198" spans="16:16" x14ac:dyDescent="0.35">
      <c r="P198" s="63"/>
    </row>
    <row r="199" spans="16:16" x14ac:dyDescent="0.35">
      <c r="P199" s="63"/>
    </row>
  </sheetData>
  <sheetProtection algorithmName="SHA-512" hashValue="l9QpiRmH0GNwb8rPV9a/93mx3Qpg9N+m6HIiukgEX3RuBqXHJUpRSdyWqVZLFu+MwV3mlaZH017ZinDCAInyeQ==" saltValue="6eyL0NhGPu6auY2DgXeRcQ==" spinCount="100000" sheet="1" formatCells="0" formatColumns="0" formatRows="0" insertRows="0" autoFilter="0"/>
  <sortState xmlns:xlrd2="http://schemas.microsoft.com/office/spreadsheetml/2017/richdata2" ref="P3:P199">
    <sortCondition ref="P3:P199"/>
  </sortState>
  <conditionalFormatting sqref="B1">
    <cfRule type="expression" dxfId="37" priority="2">
      <formula>ISERROR(B1)</formula>
    </cfRule>
  </conditionalFormatting>
  <conditionalFormatting sqref="B1">
    <cfRule type="expression" dxfId="36" priority="3">
      <formula xml:space="preserve"> B1 = ""</formula>
    </cfRule>
  </conditionalFormatting>
  <conditionalFormatting sqref="D1">
    <cfRule type="expression" dxfId="35" priority="1">
      <formula xml:space="preserve"> $D$1 = "Please select a proper Country."</formula>
    </cfRule>
  </conditionalFormatting>
  <dataValidations count="1">
    <dataValidation type="list" allowBlank="1" showInputMessage="1" showErrorMessage="1" sqref="B1" xr:uid="{E101E261-3A14-43D1-8491-D5AA4983706E}">
      <formula1>_xlfn.ANCHORARRAY( \language_countries_sorted)</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E2442-4B39-43A7-8DAC-CA6334FF1727}">
  <sheetPr codeName="Sheet1"/>
  <dimension ref="A1:BX42"/>
  <sheetViews>
    <sheetView workbookViewId="0">
      <selection activeCell="E28" sqref="E28"/>
    </sheetView>
  </sheetViews>
  <sheetFormatPr baseColWidth="10" defaultColWidth="9.1796875" defaultRowHeight="14.5" x14ac:dyDescent="0.35"/>
  <cols>
    <col min="1" max="1" width="8.26953125" bestFit="1" customWidth="1"/>
    <col min="2" max="2" width="14.1796875" bestFit="1" customWidth="1"/>
    <col min="3" max="3" width="11.81640625" bestFit="1" customWidth="1"/>
    <col min="4" max="4" width="47.453125" bestFit="1" customWidth="1"/>
    <col min="5" max="5" width="10.7265625" bestFit="1" customWidth="1"/>
    <col min="6" max="6" width="13.7265625" bestFit="1" customWidth="1"/>
    <col min="7" max="7" width="9.26953125" bestFit="1" customWidth="1"/>
    <col min="8" max="8" width="12.7265625" bestFit="1" customWidth="1"/>
    <col min="9" max="9" width="47.453125" bestFit="1" customWidth="1"/>
    <col min="10" max="10" width="17.54296875" bestFit="1" customWidth="1"/>
    <col min="11" max="11" width="12.1796875" bestFit="1" customWidth="1"/>
    <col min="12" max="12" width="12.26953125" bestFit="1" customWidth="1"/>
    <col min="13" max="13" width="10.7265625" bestFit="1" customWidth="1"/>
    <col min="14" max="14" width="20.26953125" style="64" bestFit="1" customWidth="1"/>
    <col min="15" max="15" width="17.81640625" style="64" bestFit="1" customWidth="1"/>
    <col min="16" max="16" width="17" bestFit="1" customWidth="1"/>
    <col min="17" max="17" width="20.453125" bestFit="1" customWidth="1"/>
    <col min="18" max="18" width="10" bestFit="1" customWidth="1"/>
    <col min="19" max="19" width="16.7265625" bestFit="1" customWidth="1"/>
    <col min="20" max="20" width="14" bestFit="1" customWidth="1"/>
    <col min="21" max="21" width="20.54296875" bestFit="1" customWidth="1"/>
    <col min="22" max="22" width="18" bestFit="1" customWidth="1"/>
    <col min="23" max="23" width="15.1796875" bestFit="1" customWidth="1"/>
    <col min="24" max="24" width="10.453125" bestFit="1" customWidth="1"/>
    <col min="25" max="25" width="12.54296875" bestFit="1" customWidth="1"/>
    <col min="26" max="26" width="19.453125" bestFit="1" customWidth="1"/>
    <col min="27" max="27" width="10.81640625" bestFit="1" customWidth="1"/>
    <col min="28" max="28" width="17.453125" bestFit="1" customWidth="1"/>
    <col min="29" max="29" width="14.7265625" bestFit="1" customWidth="1"/>
    <col min="30" max="30" width="14.26953125" bestFit="1" customWidth="1"/>
    <col min="31" max="31" width="9" bestFit="1" customWidth="1"/>
    <col min="32" max="32" width="10.54296875" bestFit="1" customWidth="1"/>
    <col min="33" max="33" width="13.453125" bestFit="1" customWidth="1"/>
    <col min="34" max="34" width="17.26953125" bestFit="1" customWidth="1"/>
    <col min="35" max="35" width="11.81640625" bestFit="1" customWidth="1"/>
    <col min="36" max="36" width="12" bestFit="1" customWidth="1"/>
    <col min="37" max="37" width="10.453125" bestFit="1" customWidth="1"/>
    <col min="38" max="38" width="20" bestFit="1" customWidth="1"/>
    <col min="39" max="39" width="20.1796875" bestFit="1" customWidth="1"/>
    <col min="40" max="40" width="17.54296875" bestFit="1" customWidth="1"/>
    <col min="41" max="41" width="19.54296875" bestFit="1" customWidth="1"/>
    <col min="42" max="42" width="17.1796875" bestFit="1" customWidth="1"/>
    <col min="43" max="43" width="15.7265625" bestFit="1" customWidth="1"/>
    <col min="44" max="44" width="13.7265625" bestFit="1" customWidth="1"/>
    <col min="45" max="45" width="21.54296875" bestFit="1" customWidth="1"/>
    <col min="46" max="46" width="9.81640625" bestFit="1" customWidth="1"/>
    <col min="47" max="47" width="17.54296875" bestFit="1" customWidth="1"/>
    <col min="48" max="48" width="20" bestFit="1" customWidth="1"/>
    <col min="49" max="49" width="27.81640625" bestFit="1" customWidth="1"/>
    <col min="50" max="50" width="24.7265625" bestFit="1" customWidth="1"/>
    <col min="51" max="51" width="32.54296875" bestFit="1" customWidth="1"/>
    <col min="52" max="52" width="10" bestFit="1" customWidth="1"/>
    <col min="53" max="53" width="17.7265625" bestFit="1" customWidth="1"/>
    <col min="54" max="54" width="10.54296875" bestFit="1" customWidth="1"/>
    <col min="55" max="55" width="18.26953125" bestFit="1" customWidth="1"/>
    <col min="56" max="56" width="7.26953125" bestFit="1" customWidth="1"/>
    <col min="57" max="57" width="14.81640625" bestFit="1" customWidth="1"/>
    <col min="58" max="60" width="17.54296875" bestFit="1" customWidth="1"/>
    <col min="61" max="63" width="18.54296875" bestFit="1" customWidth="1"/>
    <col min="64" max="64" width="15.453125" bestFit="1" customWidth="1"/>
    <col min="65" max="65" width="16.26953125" bestFit="1" customWidth="1"/>
    <col min="67" max="67" width="16.81640625" bestFit="1" customWidth="1"/>
    <col min="68" max="68" width="9.54296875" bestFit="1" customWidth="1"/>
    <col min="69" max="69" width="17.26953125" bestFit="1" customWidth="1"/>
    <col min="70" max="70" width="16.453125" bestFit="1" customWidth="1"/>
    <col min="71" max="71" width="24.1796875" bestFit="1" customWidth="1"/>
    <col min="72" max="72" width="14.54296875" bestFit="1" customWidth="1"/>
    <col min="73" max="73" width="16.81640625" bestFit="1" customWidth="1"/>
    <col min="74" max="74" width="16.26953125" bestFit="1" customWidth="1"/>
    <col min="75" max="75" width="26.453125" bestFit="1" customWidth="1"/>
    <col min="76" max="76" width="12.7265625" bestFit="1" customWidth="1"/>
  </cols>
  <sheetData>
    <row r="1" spans="1:76" s="63" customFormat="1" x14ac:dyDescent="0.35">
      <c r="A1" s="65" t="s">
        <v>2040</v>
      </c>
      <c r="B1" s="65" t="s">
        <v>2041</v>
      </c>
      <c r="C1" s="65" t="s">
        <v>2042</v>
      </c>
      <c r="D1" s="66" t="s">
        <v>2043</v>
      </c>
      <c r="E1" s="65" t="s">
        <v>2044</v>
      </c>
      <c r="F1" s="65" t="s">
        <v>2045</v>
      </c>
      <c r="G1" s="67" t="s">
        <v>2046</v>
      </c>
      <c r="H1" s="67" t="s">
        <v>2047</v>
      </c>
      <c r="I1" s="67" t="s">
        <v>2048</v>
      </c>
      <c r="J1" s="67" t="s">
        <v>2049</v>
      </c>
      <c r="K1" s="66" t="s">
        <v>2050</v>
      </c>
      <c r="L1" s="66" t="s">
        <v>2051</v>
      </c>
      <c r="M1" s="67" t="s">
        <v>2052</v>
      </c>
      <c r="N1" s="68" t="s">
        <v>2053</v>
      </c>
      <c r="O1" s="68" t="s">
        <v>2054</v>
      </c>
      <c r="P1" s="66" t="s">
        <v>2055</v>
      </c>
      <c r="Q1" s="65" t="s">
        <v>2056</v>
      </c>
      <c r="R1" s="65" t="s">
        <v>2057</v>
      </c>
      <c r="S1" s="65" t="s">
        <v>2058</v>
      </c>
      <c r="T1" s="65" t="s">
        <v>2059</v>
      </c>
      <c r="U1" s="65" t="s">
        <v>2060</v>
      </c>
      <c r="V1" s="65" t="s">
        <v>2061</v>
      </c>
      <c r="W1" s="65" t="s">
        <v>2062</v>
      </c>
      <c r="X1" s="65" t="s">
        <v>2063</v>
      </c>
      <c r="Y1" s="65" t="s">
        <v>2064</v>
      </c>
      <c r="Z1" s="65" t="s">
        <v>2065</v>
      </c>
      <c r="AA1" s="65" t="s">
        <v>2066</v>
      </c>
      <c r="AB1" s="65" t="s">
        <v>2067</v>
      </c>
      <c r="AC1" s="65" t="s">
        <v>2068</v>
      </c>
      <c r="AD1" s="65" t="s">
        <v>2069</v>
      </c>
      <c r="AE1" s="65" t="s">
        <v>2070</v>
      </c>
      <c r="AF1" s="65" t="s">
        <v>2071</v>
      </c>
      <c r="AG1" s="65" t="s">
        <v>2072</v>
      </c>
      <c r="AH1" s="65" t="s">
        <v>2073</v>
      </c>
      <c r="AI1" s="67" t="s">
        <v>2074</v>
      </c>
      <c r="AJ1" s="67" t="s">
        <v>2075</v>
      </c>
      <c r="AK1" s="67" t="s">
        <v>2076</v>
      </c>
      <c r="AL1" s="67" t="s">
        <v>2077</v>
      </c>
      <c r="AM1" s="65" t="s">
        <v>2078</v>
      </c>
      <c r="AN1" s="67" t="s">
        <v>2079</v>
      </c>
      <c r="AO1" s="65" t="s">
        <v>2080</v>
      </c>
      <c r="AP1" s="65" t="s">
        <v>2081</v>
      </c>
      <c r="AQ1" s="66" t="s">
        <v>2082</v>
      </c>
      <c r="AR1" s="66" t="s">
        <v>2083</v>
      </c>
      <c r="AS1" s="66" t="s">
        <v>2084</v>
      </c>
      <c r="AT1" s="66" t="s">
        <v>2085</v>
      </c>
      <c r="AU1" s="66" t="s">
        <v>2086</v>
      </c>
      <c r="AV1" s="66" t="s">
        <v>2087</v>
      </c>
      <c r="AW1" s="66" t="s">
        <v>2088</v>
      </c>
      <c r="AX1" s="66" t="s">
        <v>2089</v>
      </c>
      <c r="AY1" s="66" t="s">
        <v>2090</v>
      </c>
      <c r="AZ1" s="66" t="s">
        <v>2091</v>
      </c>
      <c r="BA1" s="66" t="s">
        <v>2092</v>
      </c>
      <c r="BB1" s="66" t="s">
        <v>2093</v>
      </c>
      <c r="BC1" s="66" t="s">
        <v>2094</v>
      </c>
      <c r="BD1" s="66" t="s">
        <v>2095</v>
      </c>
      <c r="BE1" s="66" t="s">
        <v>2096</v>
      </c>
      <c r="BF1" s="65" t="s">
        <v>2097</v>
      </c>
      <c r="BG1" s="65" t="s">
        <v>2098</v>
      </c>
      <c r="BH1" s="65" t="s">
        <v>2099</v>
      </c>
      <c r="BI1" s="65" t="s">
        <v>2100</v>
      </c>
      <c r="BJ1" s="65" t="s">
        <v>2101</v>
      </c>
      <c r="BK1" s="65" t="s">
        <v>2102</v>
      </c>
      <c r="BL1" s="65" t="s">
        <v>2103</v>
      </c>
      <c r="BM1" s="65" t="s">
        <v>2104</v>
      </c>
      <c r="BN1" s="66" t="s">
        <v>2105</v>
      </c>
      <c r="BO1" s="66" t="s">
        <v>2106</v>
      </c>
      <c r="BP1" s="66" t="s">
        <v>2107</v>
      </c>
      <c r="BQ1" s="66" t="s">
        <v>2108</v>
      </c>
      <c r="BR1" s="66" t="s">
        <v>2109</v>
      </c>
      <c r="BS1" s="66" t="s">
        <v>2110</v>
      </c>
      <c r="BT1" s="65" t="s">
        <v>2111</v>
      </c>
      <c r="BU1" s="65" t="s">
        <v>2112</v>
      </c>
      <c r="BV1" s="65" t="s">
        <v>2113</v>
      </c>
      <c r="BW1" s="65" t="s">
        <v>2114</v>
      </c>
      <c r="BX1" s="65" t="s">
        <v>2115</v>
      </c>
    </row>
    <row r="2" spans="1:76" x14ac:dyDescent="0.35">
      <c r="A2" s="4">
        <v>1</v>
      </c>
      <c r="B2" s="4"/>
      <c r="C2" s="4"/>
      <c r="D2" s="4" t="s">
        <v>2116</v>
      </c>
      <c r="E2" s="4" t="s">
        <v>1296</v>
      </c>
      <c r="F2" s="4"/>
      <c r="G2" s="4">
        <v>30855</v>
      </c>
      <c r="H2" s="4" t="s">
        <v>2117</v>
      </c>
      <c r="I2" s="4" t="s">
        <v>2116</v>
      </c>
      <c r="J2" s="4">
        <v>1</v>
      </c>
      <c r="K2" s="4">
        <v>52.442</v>
      </c>
      <c r="L2" s="4">
        <v>9.7159999999999993</v>
      </c>
      <c r="M2" s="4">
        <v>0</v>
      </c>
      <c r="N2" s="69">
        <v>25000000</v>
      </c>
      <c r="O2" s="69">
        <v>2490000</v>
      </c>
      <c r="P2" s="4" t="s">
        <v>58</v>
      </c>
      <c r="Q2" s="4">
        <v>1</v>
      </c>
      <c r="R2" s="4">
        <v>102124691</v>
      </c>
      <c r="S2" s="4" t="s">
        <v>2118</v>
      </c>
      <c r="T2" s="4">
        <v>5</v>
      </c>
      <c r="U2" s="4" t="s">
        <v>2119</v>
      </c>
      <c r="V2" s="4">
        <v>74</v>
      </c>
      <c r="W2" s="4" t="s">
        <v>1779</v>
      </c>
      <c r="X2" s="4" t="s">
        <v>1296</v>
      </c>
      <c r="Y2" s="4">
        <v>116</v>
      </c>
      <c r="Z2" s="4" t="s">
        <v>2120</v>
      </c>
      <c r="AA2" s="4">
        <v>1620</v>
      </c>
      <c r="AB2" s="4"/>
      <c r="AC2" s="4"/>
      <c r="AD2" s="4"/>
      <c r="AE2" s="4"/>
      <c r="AF2" s="4"/>
      <c r="AG2" s="4"/>
      <c r="AH2" s="4"/>
      <c r="AI2" s="4">
        <v>52.442</v>
      </c>
      <c r="AJ2" s="4">
        <v>9.7159999999999993</v>
      </c>
      <c r="AK2" s="4">
        <v>0</v>
      </c>
      <c r="AL2" s="4">
        <v>25000000</v>
      </c>
      <c r="AM2" s="4">
        <v>1</v>
      </c>
      <c r="AN2" s="4">
        <v>2490000</v>
      </c>
      <c r="AO2" s="4">
        <v>25000000</v>
      </c>
      <c r="AP2" s="4">
        <v>2490000</v>
      </c>
      <c r="AQ2" s="4">
        <v>3.22</v>
      </c>
      <c r="AR2" s="4">
        <v>0</v>
      </c>
      <c r="AS2" s="4">
        <v>1.81</v>
      </c>
      <c r="AT2" s="4">
        <v>-1</v>
      </c>
      <c r="AU2" s="4">
        <v>1</v>
      </c>
      <c r="AV2" s="4">
        <v>-1</v>
      </c>
      <c r="AW2" s="4">
        <v>1</v>
      </c>
      <c r="AX2" s="4">
        <v>5</v>
      </c>
      <c r="AY2" s="4">
        <v>3.16</v>
      </c>
      <c r="AZ2" s="4">
        <v>2</v>
      </c>
      <c r="BA2" s="4">
        <v>2.33</v>
      </c>
      <c r="BB2" s="4">
        <v>2</v>
      </c>
      <c r="BC2" s="4">
        <v>1.55</v>
      </c>
      <c r="BD2" s="4">
        <v>0</v>
      </c>
      <c r="BE2" s="4">
        <v>1.97</v>
      </c>
      <c r="BF2" s="4">
        <v>1</v>
      </c>
      <c r="BG2" s="4">
        <v>1</v>
      </c>
      <c r="BH2" s="4">
        <v>2</v>
      </c>
      <c r="BI2" s="4">
        <v>4</v>
      </c>
      <c r="BJ2" s="4">
        <v>4</v>
      </c>
      <c r="BK2" s="4">
        <v>4</v>
      </c>
      <c r="BL2" s="4">
        <v>0</v>
      </c>
      <c r="BM2" s="4" t="s">
        <v>2121</v>
      </c>
      <c r="BN2" s="4">
        <v>-1</v>
      </c>
      <c r="BO2" s="4">
        <v>1</v>
      </c>
      <c r="BP2" s="4">
        <v>-1</v>
      </c>
      <c r="BQ2" s="4">
        <v>1</v>
      </c>
      <c r="BR2" s="4">
        <v>-1</v>
      </c>
      <c r="BS2" s="4">
        <v>1</v>
      </c>
      <c r="BT2" s="4">
        <v>-1</v>
      </c>
      <c r="BU2" s="4">
        <v>121.38500000000001</v>
      </c>
      <c r="BV2" s="4">
        <v>54.378999999999998</v>
      </c>
      <c r="BW2" s="4">
        <v>49.859000000000002</v>
      </c>
      <c r="BX2" s="4">
        <v>486.00308200000001</v>
      </c>
    </row>
    <row r="3" spans="1:76" x14ac:dyDescent="0.35">
      <c r="A3" s="4">
        <v>2</v>
      </c>
      <c r="B3" s="4"/>
      <c r="C3" s="4"/>
      <c r="D3" s="4" t="s">
        <v>2122</v>
      </c>
      <c r="E3" s="4" t="s">
        <v>1296</v>
      </c>
      <c r="F3" s="4"/>
      <c r="G3" s="4">
        <v>94036</v>
      </c>
      <c r="H3" s="4" t="s">
        <v>2123</v>
      </c>
      <c r="I3" s="4" t="s">
        <v>2122</v>
      </c>
      <c r="J3" s="4" t="s">
        <v>2124</v>
      </c>
      <c r="K3" s="4"/>
      <c r="L3" s="4"/>
      <c r="M3" s="4"/>
      <c r="N3" s="69">
        <v>25000000</v>
      </c>
      <c r="O3" s="69">
        <v>0</v>
      </c>
      <c r="P3" s="4" t="s">
        <v>293</v>
      </c>
      <c r="Q3" s="4">
        <v>1</v>
      </c>
      <c r="R3" s="4">
        <v>102124692</v>
      </c>
      <c r="S3" s="4" t="s">
        <v>2118</v>
      </c>
      <c r="T3" s="4">
        <v>5</v>
      </c>
      <c r="U3" s="4" t="s">
        <v>2119</v>
      </c>
      <c r="V3" s="4">
        <v>74</v>
      </c>
      <c r="W3" s="4" t="s">
        <v>1779</v>
      </c>
      <c r="X3" s="4" t="s">
        <v>1296</v>
      </c>
      <c r="Y3" s="4">
        <v>116</v>
      </c>
      <c r="Z3" s="4" t="s">
        <v>2125</v>
      </c>
      <c r="AA3" s="4">
        <v>1615</v>
      </c>
      <c r="AB3" s="4"/>
      <c r="AC3" s="4"/>
      <c r="AD3" s="4"/>
      <c r="AE3" s="4">
        <v>94036</v>
      </c>
      <c r="AF3" s="4" t="s">
        <v>2123</v>
      </c>
      <c r="AG3" s="4"/>
      <c r="AH3" s="4"/>
      <c r="AI3" s="4">
        <v>48.573615699999998</v>
      </c>
      <c r="AJ3" s="4">
        <v>13.393642099999999</v>
      </c>
      <c r="AK3" s="4">
        <v>4</v>
      </c>
      <c r="AL3" s="4">
        <v>25000000</v>
      </c>
      <c r="AM3" s="4">
        <v>1</v>
      </c>
      <c r="AN3" s="4">
        <v>0</v>
      </c>
      <c r="AO3" s="4">
        <v>25000000</v>
      </c>
      <c r="AP3" s="4">
        <v>0</v>
      </c>
      <c r="AQ3" s="4">
        <v>3.89</v>
      </c>
      <c r="AR3" s="4">
        <v>1</v>
      </c>
      <c r="AS3" s="4">
        <v>2.6</v>
      </c>
      <c r="AT3" s="4">
        <v>-1</v>
      </c>
      <c r="AU3" s="4">
        <v>1</v>
      </c>
      <c r="AV3" s="4">
        <v>-1</v>
      </c>
      <c r="AW3" s="4">
        <v>1</v>
      </c>
      <c r="AX3" s="4">
        <v>5</v>
      </c>
      <c r="AY3" s="4">
        <v>3.16</v>
      </c>
      <c r="AZ3" s="4">
        <v>2</v>
      </c>
      <c r="BA3" s="4">
        <v>2.33</v>
      </c>
      <c r="BB3" s="4">
        <v>2</v>
      </c>
      <c r="BC3" s="4">
        <v>1.55</v>
      </c>
      <c r="BD3" s="4">
        <v>-2</v>
      </c>
      <c r="BE3" s="4">
        <v>3.81</v>
      </c>
      <c r="BF3" s="4"/>
      <c r="BG3" s="4"/>
      <c r="BH3" s="4"/>
      <c r="BI3" s="4"/>
      <c r="BJ3" s="4"/>
      <c r="BK3" s="4"/>
      <c r="BL3" s="4">
        <v>-2</v>
      </c>
      <c r="BM3" s="4" t="s">
        <v>2121</v>
      </c>
      <c r="BN3" s="4">
        <v>-1</v>
      </c>
      <c r="BO3" s="4">
        <v>1</v>
      </c>
      <c r="BP3" s="4">
        <v>-1</v>
      </c>
      <c r="BQ3" s="4">
        <v>1</v>
      </c>
      <c r="BR3" s="4">
        <v>-1</v>
      </c>
      <c r="BS3" s="4">
        <v>1</v>
      </c>
      <c r="BT3" s="4">
        <v>-1</v>
      </c>
      <c r="BU3" s="4">
        <v>-2</v>
      </c>
      <c r="BV3" s="4">
        <v>0.56699999999999995</v>
      </c>
      <c r="BW3" s="4">
        <v>80.736000000000004</v>
      </c>
      <c r="BX3" s="4">
        <v>607.46099900000002</v>
      </c>
    </row>
    <row r="4" spans="1:76" x14ac:dyDescent="0.35">
      <c r="A4" s="4">
        <v>3</v>
      </c>
      <c r="B4" s="4"/>
      <c r="C4" s="4"/>
      <c r="D4" s="4" t="s">
        <v>2126</v>
      </c>
      <c r="E4" s="4" t="s">
        <v>1296</v>
      </c>
      <c r="F4" s="4"/>
      <c r="G4" s="4">
        <v>68305</v>
      </c>
      <c r="H4" s="4" t="s">
        <v>2127</v>
      </c>
      <c r="I4" s="4" t="s">
        <v>2126</v>
      </c>
      <c r="J4" s="4" t="s">
        <v>2128</v>
      </c>
      <c r="K4" s="4"/>
      <c r="L4" s="4"/>
      <c r="M4" s="4"/>
      <c r="N4" s="69">
        <v>25000000</v>
      </c>
      <c r="O4" s="69">
        <v>2500000</v>
      </c>
      <c r="P4" s="4" t="s">
        <v>617</v>
      </c>
      <c r="Q4" s="4">
        <v>1</v>
      </c>
      <c r="R4" s="4">
        <v>102124693</v>
      </c>
      <c r="S4" s="4" t="s">
        <v>2118</v>
      </c>
      <c r="T4" s="4">
        <v>5</v>
      </c>
      <c r="U4" s="4" t="s">
        <v>2119</v>
      </c>
      <c r="V4" s="4">
        <v>74</v>
      </c>
      <c r="W4" s="4" t="s">
        <v>1779</v>
      </c>
      <c r="X4" s="4" t="s">
        <v>1296</v>
      </c>
      <c r="Y4" s="4">
        <v>116</v>
      </c>
      <c r="Z4" s="4" t="s">
        <v>2129</v>
      </c>
      <c r="AA4" s="4">
        <v>1614</v>
      </c>
      <c r="AB4" s="4"/>
      <c r="AC4" s="4"/>
      <c r="AD4" s="4"/>
      <c r="AE4" s="4">
        <v>68305</v>
      </c>
      <c r="AF4" s="4" t="s">
        <v>2127</v>
      </c>
      <c r="AG4" s="4"/>
      <c r="AH4" s="4"/>
      <c r="AI4" s="4">
        <v>49.528742899999997</v>
      </c>
      <c r="AJ4" s="4">
        <v>8.4814828000000002</v>
      </c>
      <c r="AK4" s="4">
        <v>4</v>
      </c>
      <c r="AL4" s="4">
        <v>25000000</v>
      </c>
      <c r="AM4" s="4">
        <v>1</v>
      </c>
      <c r="AN4" s="4">
        <v>2500000</v>
      </c>
      <c r="AO4" s="4">
        <v>25000000</v>
      </c>
      <c r="AP4" s="4">
        <v>2500000</v>
      </c>
      <c r="AQ4" s="4">
        <v>3.92</v>
      </c>
      <c r="AR4" s="4">
        <v>2</v>
      </c>
      <c r="AS4" s="4">
        <v>3.39</v>
      </c>
      <c r="AT4" s="4">
        <v>-1</v>
      </c>
      <c r="AU4" s="4">
        <v>1</v>
      </c>
      <c r="AV4" s="4">
        <v>-1</v>
      </c>
      <c r="AW4" s="4">
        <v>1</v>
      </c>
      <c r="AX4" s="4">
        <v>5</v>
      </c>
      <c r="AY4" s="4">
        <v>3.16</v>
      </c>
      <c r="AZ4" s="4">
        <v>2</v>
      </c>
      <c r="BA4" s="4">
        <v>2.33</v>
      </c>
      <c r="BB4" s="4">
        <v>2</v>
      </c>
      <c r="BC4" s="4">
        <v>1.55</v>
      </c>
      <c r="BD4" s="4">
        <v>-2</v>
      </c>
      <c r="BE4" s="4">
        <v>3.81</v>
      </c>
      <c r="BF4" s="4"/>
      <c r="BG4" s="4"/>
      <c r="BH4" s="4"/>
      <c r="BI4" s="4"/>
      <c r="BJ4" s="4"/>
      <c r="BK4" s="4"/>
      <c r="BL4" s="4">
        <v>-2</v>
      </c>
      <c r="BM4" s="4" t="s">
        <v>2121</v>
      </c>
      <c r="BN4" s="4">
        <v>-1</v>
      </c>
      <c r="BO4" s="4">
        <v>1</v>
      </c>
      <c r="BP4" s="4">
        <v>-1</v>
      </c>
      <c r="BQ4" s="4">
        <v>1</v>
      </c>
      <c r="BR4" s="4">
        <v>1</v>
      </c>
      <c r="BS4" s="4">
        <v>1.7</v>
      </c>
      <c r="BT4" s="4">
        <v>-1</v>
      </c>
      <c r="BU4" s="4">
        <v>-2</v>
      </c>
      <c r="BV4" s="4">
        <v>12.625999999999999</v>
      </c>
      <c r="BW4" s="4">
        <v>21.42</v>
      </c>
      <c r="BX4" s="4">
        <v>2056.0251459999999</v>
      </c>
    </row>
    <row r="5" spans="1:76" x14ac:dyDescent="0.35">
      <c r="A5" s="4">
        <v>4</v>
      </c>
      <c r="B5" s="4"/>
      <c r="C5" s="4"/>
      <c r="D5" s="4" t="s">
        <v>2130</v>
      </c>
      <c r="E5" s="4" t="s">
        <v>1296</v>
      </c>
      <c r="F5" s="4"/>
      <c r="G5" s="4">
        <v>68169</v>
      </c>
      <c r="H5" s="4" t="s">
        <v>2127</v>
      </c>
      <c r="I5" s="4" t="s">
        <v>2130</v>
      </c>
      <c r="J5" s="4">
        <v>41</v>
      </c>
      <c r="K5" s="4">
        <v>49.510970999999998</v>
      </c>
      <c r="L5" s="4">
        <v>8.4842560000000002</v>
      </c>
      <c r="M5" s="4">
        <v>0</v>
      </c>
      <c r="N5" s="69">
        <v>25000000</v>
      </c>
      <c r="O5" s="69">
        <v>9250000</v>
      </c>
      <c r="P5" s="4" t="s">
        <v>58</v>
      </c>
      <c r="Q5" s="4">
        <v>1</v>
      </c>
      <c r="R5" s="4">
        <v>102124694</v>
      </c>
      <c r="S5" s="4" t="s">
        <v>2118</v>
      </c>
      <c r="T5" s="4">
        <v>5</v>
      </c>
      <c r="U5" s="4" t="s">
        <v>2119</v>
      </c>
      <c r="V5" s="4">
        <v>74</v>
      </c>
      <c r="W5" s="4" t="s">
        <v>1779</v>
      </c>
      <c r="X5" s="4" t="s">
        <v>1296</v>
      </c>
      <c r="Y5" s="4">
        <v>116</v>
      </c>
      <c r="Z5" s="4" t="s">
        <v>2129</v>
      </c>
      <c r="AA5" s="4">
        <v>1614</v>
      </c>
      <c r="AB5" s="4"/>
      <c r="AC5" s="4"/>
      <c r="AD5" s="4"/>
      <c r="AE5" s="4"/>
      <c r="AF5" s="4"/>
      <c r="AG5" s="4"/>
      <c r="AH5" s="4"/>
      <c r="AI5" s="4">
        <v>49.510970999999998</v>
      </c>
      <c r="AJ5" s="4">
        <v>8.4842560000000002</v>
      </c>
      <c r="AK5" s="4">
        <v>0</v>
      </c>
      <c r="AL5" s="4">
        <v>25000000</v>
      </c>
      <c r="AM5" s="4">
        <v>1</v>
      </c>
      <c r="AN5" s="4">
        <v>9250000</v>
      </c>
      <c r="AO5" s="4">
        <v>25000000</v>
      </c>
      <c r="AP5" s="4">
        <v>9250000</v>
      </c>
      <c r="AQ5" s="4">
        <v>3.48</v>
      </c>
      <c r="AR5" s="4">
        <v>2</v>
      </c>
      <c r="AS5" s="4">
        <v>3.39</v>
      </c>
      <c r="AT5" s="4">
        <v>-1</v>
      </c>
      <c r="AU5" s="4">
        <v>1</v>
      </c>
      <c r="AV5" s="4">
        <v>-1</v>
      </c>
      <c r="AW5" s="4">
        <v>1</v>
      </c>
      <c r="AX5" s="4">
        <v>5</v>
      </c>
      <c r="AY5" s="4">
        <v>3.16</v>
      </c>
      <c r="AZ5" s="4">
        <v>2</v>
      </c>
      <c r="BA5" s="4">
        <v>2.33</v>
      </c>
      <c r="BB5" s="4">
        <v>2</v>
      </c>
      <c r="BC5" s="4">
        <v>1.55</v>
      </c>
      <c r="BD5" s="4">
        <v>0</v>
      </c>
      <c r="BE5" s="4">
        <v>1.71</v>
      </c>
      <c r="BF5" s="4">
        <v>0</v>
      </c>
      <c r="BG5" s="4">
        <v>1</v>
      </c>
      <c r="BH5" s="4">
        <v>1</v>
      </c>
      <c r="BI5" s="4">
        <v>2</v>
      </c>
      <c r="BJ5" s="4">
        <v>2</v>
      </c>
      <c r="BK5" s="4">
        <v>2</v>
      </c>
      <c r="BL5" s="4">
        <v>0</v>
      </c>
      <c r="BM5" s="4" t="s">
        <v>2121</v>
      </c>
      <c r="BN5" s="4">
        <v>-1</v>
      </c>
      <c r="BO5" s="4">
        <v>1</v>
      </c>
      <c r="BP5" s="4">
        <v>-1</v>
      </c>
      <c r="BQ5" s="4">
        <v>1</v>
      </c>
      <c r="BR5" s="4">
        <v>1</v>
      </c>
      <c r="BS5" s="4">
        <v>1.7</v>
      </c>
      <c r="BT5" s="4">
        <v>-1</v>
      </c>
      <c r="BU5" s="4">
        <v>363.02199999999999</v>
      </c>
      <c r="BV5" s="4">
        <v>12.615</v>
      </c>
      <c r="BW5" s="4">
        <v>23.393000000000001</v>
      </c>
      <c r="BX5" s="4">
        <v>2056.0251459999999</v>
      </c>
    </row>
    <row r="6" spans="1:76" x14ac:dyDescent="0.35">
      <c r="A6" s="4">
        <v>5</v>
      </c>
      <c r="B6" s="4"/>
      <c r="C6" s="4"/>
      <c r="D6" s="4" t="s">
        <v>2131</v>
      </c>
      <c r="E6" s="4" t="s">
        <v>1296</v>
      </c>
      <c r="F6" s="4"/>
      <c r="G6" s="4">
        <v>89231</v>
      </c>
      <c r="H6" s="4" t="s">
        <v>2127</v>
      </c>
      <c r="I6" s="4" t="s">
        <v>2131</v>
      </c>
      <c r="J6" s="4">
        <v>2</v>
      </c>
      <c r="K6" s="4"/>
      <c r="L6" s="4"/>
      <c r="M6" s="4"/>
      <c r="N6" s="69">
        <v>25000000</v>
      </c>
      <c r="O6" s="69">
        <v>12500000</v>
      </c>
      <c r="P6" s="4" t="s">
        <v>58</v>
      </c>
      <c r="Q6" s="4">
        <v>1</v>
      </c>
      <c r="R6" s="4">
        <v>102124695</v>
      </c>
      <c r="S6" s="4" t="s">
        <v>2118</v>
      </c>
      <c r="T6" s="4">
        <v>5</v>
      </c>
      <c r="U6" s="4" t="s">
        <v>2119</v>
      </c>
      <c r="V6" s="4">
        <v>74</v>
      </c>
      <c r="W6" s="4" t="s">
        <v>1779</v>
      </c>
      <c r="X6" s="4" t="s">
        <v>1296</v>
      </c>
      <c r="Y6" s="4">
        <v>116</v>
      </c>
      <c r="Z6" s="4" t="s">
        <v>2125</v>
      </c>
      <c r="AA6" s="4">
        <v>1615</v>
      </c>
      <c r="AB6" s="4"/>
      <c r="AC6" s="4"/>
      <c r="AD6" s="4"/>
      <c r="AE6" s="4">
        <v>89231</v>
      </c>
      <c r="AF6" s="4"/>
      <c r="AG6" s="4"/>
      <c r="AH6" s="4"/>
      <c r="AI6" s="4">
        <v>48.3842438</v>
      </c>
      <c r="AJ6" s="4">
        <v>10.010241600000001</v>
      </c>
      <c r="AK6" s="4">
        <v>4</v>
      </c>
      <c r="AL6" s="4">
        <v>25000000</v>
      </c>
      <c r="AM6" s="4">
        <v>1</v>
      </c>
      <c r="AN6" s="4">
        <v>12500000</v>
      </c>
      <c r="AO6" s="4">
        <v>25000000</v>
      </c>
      <c r="AP6" s="4">
        <v>12500000</v>
      </c>
      <c r="AQ6" s="4">
        <v>3.89</v>
      </c>
      <c r="AR6" s="4">
        <v>1</v>
      </c>
      <c r="AS6" s="4">
        <v>2.6</v>
      </c>
      <c r="AT6" s="4">
        <v>-1</v>
      </c>
      <c r="AU6" s="4">
        <v>1</v>
      </c>
      <c r="AV6" s="4">
        <v>-1</v>
      </c>
      <c r="AW6" s="4">
        <v>1</v>
      </c>
      <c r="AX6" s="4">
        <v>5</v>
      </c>
      <c r="AY6" s="4">
        <v>3.16</v>
      </c>
      <c r="AZ6" s="4">
        <v>2</v>
      </c>
      <c r="BA6" s="4">
        <v>2.33</v>
      </c>
      <c r="BB6" s="4">
        <v>2</v>
      </c>
      <c r="BC6" s="4">
        <v>1.55</v>
      </c>
      <c r="BD6" s="4">
        <v>-2</v>
      </c>
      <c r="BE6" s="4">
        <v>3.81</v>
      </c>
      <c r="BF6" s="4"/>
      <c r="BG6" s="4"/>
      <c r="BH6" s="4"/>
      <c r="BI6" s="4"/>
      <c r="BJ6" s="4"/>
      <c r="BK6" s="4"/>
      <c r="BL6" s="4">
        <v>-2</v>
      </c>
      <c r="BM6" s="4" t="s">
        <v>2121</v>
      </c>
      <c r="BN6" s="4">
        <v>-1</v>
      </c>
      <c r="BO6" s="4">
        <v>1</v>
      </c>
      <c r="BP6" s="4">
        <v>-1</v>
      </c>
      <c r="BQ6" s="4">
        <v>1</v>
      </c>
      <c r="BR6" s="4">
        <v>-1</v>
      </c>
      <c r="BS6" s="4">
        <v>1</v>
      </c>
      <c r="BT6" s="4">
        <v>-1</v>
      </c>
      <c r="BU6" s="4">
        <v>-2</v>
      </c>
      <c r="BV6" s="4">
        <v>44.051000000000002</v>
      </c>
      <c r="BW6" s="4">
        <v>32.374000000000002</v>
      </c>
      <c r="BX6" s="4">
        <v>423.35592700000001</v>
      </c>
    </row>
    <row r="13" spans="1:76" x14ac:dyDescent="0.35">
      <c r="J13" s="382"/>
    </row>
    <row r="15" spans="1:76" x14ac:dyDescent="0.35">
      <c r="J15" s="382"/>
    </row>
    <row r="20" spans="10:10" x14ac:dyDescent="0.35">
      <c r="J20" s="382"/>
    </row>
    <row r="27" spans="10:10" x14ac:dyDescent="0.35">
      <c r="J27" s="382"/>
    </row>
    <row r="42" spans="10:10" x14ac:dyDescent="0.35">
      <c r="J42" s="382"/>
    </row>
  </sheetData>
  <pageMargins left="0.7" right="0.7" top="0.75" bottom="0.75" header="0.3" footer="0.3"/>
  <pageSetup paperSize="0"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265CD-25E2-4E2F-8F32-EB8799339EE7}">
  <sheetPr codeName="Tabelle8">
    <tabColor rgb="FFFF0000"/>
  </sheetPr>
  <dimension ref="A1:F27"/>
  <sheetViews>
    <sheetView workbookViewId="0">
      <pane ySplit="1" topLeftCell="A2" activePane="bottomLeft" state="frozen"/>
      <selection activeCell="A2" sqref="A2"/>
      <selection pane="bottomLeft" activeCell="A2" sqref="A2"/>
    </sheetView>
  </sheetViews>
  <sheetFormatPr baseColWidth="10" defaultColWidth="11.453125" defaultRowHeight="14.5" x14ac:dyDescent="0.35"/>
  <cols>
    <col min="1" max="1" width="5.26953125" customWidth="1"/>
    <col min="2" max="3" width="20" customWidth="1"/>
    <col min="4" max="4" width="58.54296875" style="57" customWidth="1"/>
    <col min="5" max="5" width="63.26953125" style="57" customWidth="1"/>
    <col min="6" max="6" width="33.1796875" style="57" customWidth="1"/>
    <col min="7" max="16384" width="11.453125" style="54"/>
  </cols>
  <sheetData>
    <row r="1" spans="1:6" s="51" customFormat="1" x14ac:dyDescent="0.35">
      <c r="A1" s="25" t="s">
        <v>2132</v>
      </c>
      <c r="B1" s="25" t="s">
        <v>2133</v>
      </c>
      <c r="C1" s="25" t="s">
        <v>2134</v>
      </c>
      <c r="D1" s="50" t="s">
        <v>2135</v>
      </c>
      <c r="E1" s="50" t="s">
        <v>69</v>
      </c>
      <c r="F1" s="50" t="s">
        <v>2136</v>
      </c>
    </row>
    <row r="2" spans="1:6" x14ac:dyDescent="0.35">
      <c r="A2" s="4">
        <v>1</v>
      </c>
      <c r="B2" s="4" t="s">
        <v>2137</v>
      </c>
      <c r="C2" s="4" t="s">
        <v>2138</v>
      </c>
      <c r="D2" s="52" t="s">
        <v>2139</v>
      </c>
      <c r="E2" s="53" t="s">
        <v>2140</v>
      </c>
      <c r="F2" s="52"/>
    </row>
    <row r="3" spans="1:6" x14ac:dyDescent="0.35">
      <c r="A3" s="4">
        <v>2</v>
      </c>
      <c r="B3" s="4" t="s">
        <v>2137</v>
      </c>
      <c r="C3" s="4" t="s">
        <v>2141</v>
      </c>
      <c r="D3" s="52" t="s">
        <v>2142</v>
      </c>
      <c r="E3" s="53" t="s">
        <v>2143</v>
      </c>
      <c r="F3" s="52"/>
    </row>
    <row r="4" spans="1:6" ht="43.5" x14ac:dyDescent="0.35">
      <c r="A4" s="4">
        <v>3</v>
      </c>
      <c r="B4" s="4" t="s">
        <v>2137</v>
      </c>
      <c r="C4" s="58" t="s">
        <v>2144</v>
      </c>
      <c r="D4" s="52" t="s">
        <v>2145</v>
      </c>
      <c r="E4" s="53" t="s">
        <v>2140</v>
      </c>
      <c r="F4" s="52"/>
    </row>
    <row r="5" spans="1:6" ht="29" x14ac:dyDescent="0.35">
      <c r="A5" s="4">
        <v>4</v>
      </c>
      <c r="B5" s="4" t="s">
        <v>2146</v>
      </c>
      <c r="C5" s="4" t="s">
        <v>2147</v>
      </c>
      <c r="D5" s="52" t="s">
        <v>2148</v>
      </c>
      <c r="E5" s="53" t="s">
        <v>2149</v>
      </c>
      <c r="F5" s="52"/>
    </row>
    <row r="6" spans="1:6" ht="58" x14ac:dyDescent="0.35">
      <c r="A6" s="4">
        <v>5</v>
      </c>
      <c r="B6" s="4" t="s">
        <v>2146</v>
      </c>
      <c r="C6" s="58" t="s">
        <v>2150</v>
      </c>
      <c r="D6" s="52" t="s">
        <v>2151</v>
      </c>
      <c r="E6" s="53" t="s">
        <v>2152</v>
      </c>
      <c r="F6" s="52"/>
    </row>
    <row r="7" spans="1:6" x14ac:dyDescent="0.35">
      <c r="A7" s="4">
        <v>6</v>
      </c>
      <c r="B7" s="4" t="s">
        <v>2153</v>
      </c>
      <c r="C7" s="4" t="s">
        <v>2153</v>
      </c>
      <c r="D7" s="52" t="s">
        <v>2154</v>
      </c>
      <c r="E7" s="53" t="s">
        <v>2155</v>
      </c>
      <c r="F7" s="52"/>
    </row>
    <row r="8" spans="1:6" ht="29" x14ac:dyDescent="0.35">
      <c r="A8" s="4">
        <v>7</v>
      </c>
      <c r="B8" s="4" t="s">
        <v>2153</v>
      </c>
      <c r="C8" s="4" t="s">
        <v>2153</v>
      </c>
      <c r="D8" s="52" t="s">
        <v>2156</v>
      </c>
      <c r="E8" s="53" t="s">
        <v>2157</v>
      </c>
      <c r="F8" s="52"/>
    </row>
    <row r="9" spans="1:6" ht="29" x14ac:dyDescent="0.35">
      <c r="A9" s="4">
        <v>8</v>
      </c>
      <c r="B9" s="4" t="s">
        <v>2153</v>
      </c>
      <c r="C9" s="32" t="s">
        <v>2153</v>
      </c>
      <c r="D9" s="52" t="s">
        <v>2158</v>
      </c>
      <c r="E9" s="53" t="s">
        <v>2159</v>
      </c>
      <c r="F9" s="52"/>
    </row>
    <row r="10" spans="1:6" ht="29" x14ac:dyDescent="0.35">
      <c r="A10" s="4">
        <v>9</v>
      </c>
      <c r="B10" s="4" t="s">
        <v>2153</v>
      </c>
      <c r="C10" s="59" t="s">
        <v>2153</v>
      </c>
      <c r="D10" s="52" t="s">
        <v>2160</v>
      </c>
      <c r="E10" s="53" t="s">
        <v>2161</v>
      </c>
      <c r="F10" s="52"/>
    </row>
    <row r="11" spans="1:6" ht="29" x14ac:dyDescent="0.35">
      <c r="A11" s="4">
        <v>10</v>
      </c>
      <c r="B11" s="4" t="s">
        <v>2153</v>
      </c>
      <c r="C11" s="4" t="s">
        <v>2153</v>
      </c>
      <c r="D11" s="52" t="s">
        <v>2162</v>
      </c>
      <c r="E11" s="53" t="s">
        <v>2163</v>
      </c>
      <c r="F11" s="52"/>
    </row>
    <row r="12" spans="1:6" ht="29" x14ac:dyDescent="0.35">
      <c r="A12" s="4">
        <v>11</v>
      </c>
      <c r="B12" s="4" t="s">
        <v>2153</v>
      </c>
      <c r="C12" s="4" t="s">
        <v>2164</v>
      </c>
      <c r="D12" s="52" t="s">
        <v>2165</v>
      </c>
      <c r="E12" s="55" t="s">
        <v>2166</v>
      </c>
      <c r="F12" s="52"/>
    </row>
    <row r="13" spans="1:6" x14ac:dyDescent="0.35">
      <c r="A13" s="4">
        <v>12</v>
      </c>
      <c r="B13" s="4" t="s">
        <v>2153</v>
      </c>
      <c r="C13" s="4" t="s">
        <v>2167</v>
      </c>
      <c r="D13" s="52" t="s">
        <v>2168</v>
      </c>
      <c r="E13" s="55" t="s">
        <v>2169</v>
      </c>
      <c r="F13" s="52"/>
    </row>
    <row r="14" spans="1:6" ht="43.5" x14ac:dyDescent="0.35">
      <c r="A14" s="4">
        <v>13</v>
      </c>
      <c r="B14" s="4" t="s">
        <v>2146</v>
      </c>
      <c r="C14" s="4" t="s">
        <v>2170</v>
      </c>
      <c r="D14" s="52" t="s">
        <v>2171</v>
      </c>
      <c r="E14" s="53" t="s">
        <v>2172</v>
      </c>
      <c r="F14" s="52"/>
    </row>
    <row r="15" spans="1:6" ht="43.5" x14ac:dyDescent="0.35">
      <c r="A15" s="4">
        <v>14</v>
      </c>
      <c r="B15" s="4" t="s">
        <v>2146</v>
      </c>
      <c r="C15" s="60" t="s">
        <v>2173</v>
      </c>
      <c r="D15" s="52" t="s">
        <v>2174</v>
      </c>
      <c r="E15" s="53" t="s">
        <v>2175</v>
      </c>
      <c r="F15" s="52"/>
    </row>
    <row r="16" spans="1:6" ht="29" x14ac:dyDescent="0.35">
      <c r="A16" s="4">
        <v>15</v>
      </c>
      <c r="B16" s="4" t="s">
        <v>2176</v>
      </c>
      <c r="C16" s="4"/>
      <c r="D16" s="52" t="s">
        <v>2177</v>
      </c>
      <c r="E16" s="53" t="s">
        <v>2178</v>
      </c>
      <c r="F16" s="52"/>
    </row>
    <row r="17" spans="1:6" x14ac:dyDescent="0.35">
      <c r="A17" s="4">
        <v>16</v>
      </c>
      <c r="B17" s="4" t="s">
        <v>2137</v>
      </c>
      <c r="C17" s="4" t="s">
        <v>2179</v>
      </c>
      <c r="D17" s="52" t="s">
        <v>2180</v>
      </c>
      <c r="E17" s="53" t="s">
        <v>2175</v>
      </c>
      <c r="F17" s="52"/>
    </row>
    <row r="18" spans="1:6" x14ac:dyDescent="0.35">
      <c r="A18" s="4">
        <v>17</v>
      </c>
      <c r="B18" s="4" t="s">
        <v>2146</v>
      </c>
      <c r="C18" s="4" t="s">
        <v>2181</v>
      </c>
      <c r="D18" s="52" t="s">
        <v>2182</v>
      </c>
      <c r="E18" s="53" t="s">
        <v>2183</v>
      </c>
      <c r="F18" s="52"/>
    </row>
    <row r="19" spans="1:6" ht="29" x14ac:dyDescent="0.35">
      <c r="A19" s="4">
        <v>18</v>
      </c>
      <c r="B19" s="4" t="s">
        <v>2137</v>
      </c>
      <c r="C19" s="4" t="s">
        <v>2184</v>
      </c>
      <c r="D19" s="52" t="s">
        <v>2185</v>
      </c>
      <c r="E19" s="53" t="s">
        <v>2186</v>
      </c>
      <c r="F19" s="52"/>
    </row>
    <row r="20" spans="1:6" ht="43.5" x14ac:dyDescent="0.35">
      <c r="A20" s="4">
        <v>19</v>
      </c>
      <c r="B20" s="4" t="s">
        <v>2137</v>
      </c>
      <c r="C20" s="4" t="s">
        <v>2184</v>
      </c>
      <c r="D20" s="52" t="s">
        <v>2187</v>
      </c>
      <c r="E20" s="56"/>
      <c r="F20" s="52"/>
    </row>
    <row r="21" spans="1:6" ht="43.5" x14ac:dyDescent="0.35">
      <c r="A21" s="4">
        <v>20</v>
      </c>
      <c r="B21" s="4" t="s">
        <v>2137</v>
      </c>
      <c r="C21" s="4" t="s">
        <v>2188</v>
      </c>
      <c r="D21" s="52" t="s">
        <v>2189</v>
      </c>
      <c r="E21" s="56" t="s">
        <v>2190</v>
      </c>
      <c r="F21" s="56" t="s">
        <v>2191</v>
      </c>
    </row>
    <row r="22" spans="1:6" ht="43.5" x14ac:dyDescent="0.35">
      <c r="A22" s="4">
        <v>21</v>
      </c>
      <c r="B22" s="4" t="s">
        <v>2137</v>
      </c>
      <c r="C22" s="4" t="s">
        <v>2192</v>
      </c>
      <c r="D22" s="52" t="s">
        <v>2193</v>
      </c>
      <c r="E22" s="53" t="s">
        <v>2194</v>
      </c>
      <c r="F22" s="52"/>
    </row>
    <row r="23" spans="1:6" ht="43.5" x14ac:dyDescent="0.35">
      <c r="A23" s="4">
        <v>22</v>
      </c>
      <c r="B23" s="24" t="s">
        <v>2195</v>
      </c>
      <c r="C23" s="4"/>
      <c r="D23" s="61" t="s">
        <v>2196</v>
      </c>
      <c r="E23" s="53" t="s">
        <v>2197</v>
      </c>
      <c r="F23" s="52"/>
    </row>
    <row r="24" spans="1:6" ht="29" x14ac:dyDescent="0.35">
      <c r="A24" s="4">
        <v>23</v>
      </c>
      <c r="B24" s="24" t="s">
        <v>2195</v>
      </c>
      <c r="C24" s="4"/>
      <c r="D24" s="61" t="s">
        <v>2198</v>
      </c>
      <c r="E24" s="53" t="s">
        <v>2199</v>
      </c>
      <c r="F24" s="52"/>
    </row>
    <row r="25" spans="1:6" ht="50" x14ac:dyDescent="0.35">
      <c r="A25" s="4">
        <v>24</v>
      </c>
      <c r="B25" s="24" t="s">
        <v>2195</v>
      </c>
      <c r="C25" s="4"/>
      <c r="D25" s="61" t="s">
        <v>2200</v>
      </c>
      <c r="E25" s="53" t="s">
        <v>2201</v>
      </c>
      <c r="F25" s="52"/>
    </row>
    <row r="26" spans="1:6" ht="37.5" x14ac:dyDescent="0.35">
      <c r="A26" s="4">
        <v>25</v>
      </c>
      <c r="B26" s="24" t="s">
        <v>2195</v>
      </c>
      <c r="C26" s="4"/>
      <c r="D26" s="61" t="s">
        <v>2202</v>
      </c>
      <c r="E26" s="53" t="s">
        <v>2203</v>
      </c>
      <c r="F26" s="52"/>
    </row>
    <row r="27" spans="1:6" x14ac:dyDescent="0.35">
      <c r="A27" s="4">
        <v>26</v>
      </c>
      <c r="B27" s="24" t="s">
        <v>2153</v>
      </c>
      <c r="C27" s="4"/>
      <c r="D27" s="52" t="s">
        <v>2204</v>
      </c>
      <c r="E27" s="53" t="s">
        <v>2205</v>
      </c>
      <c r="F27" s="52"/>
    </row>
  </sheetData>
  <autoFilter ref="A1:F27" xr:uid="{93521952-5703-4FA1-AE8E-3489A3B935F9}"/>
  <pageMargins left="0.7" right="0.7" top="0.78740157499999996" bottom="0.78740157499999996" header="0.3" footer="0.3"/>
  <pageSetup paperSize="0" orientation="portrait" horizontalDpi="300" verticalDpi="3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055A8-14A2-4916-A2A7-EE44AA44C220}">
  <sheetPr codeName="Tabelle9">
    <tabColor theme="1"/>
  </sheetPr>
  <dimension ref="A1:J31"/>
  <sheetViews>
    <sheetView zoomScaleNormal="100" workbookViewId="0">
      <selection activeCell="G2" sqref="G2"/>
    </sheetView>
  </sheetViews>
  <sheetFormatPr baseColWidth="10" defaultColWidth="11.453125" defaultRowHeight="12" x14ac:dyDescent="0.35"/>
  <cols>
    <col min="1" max="1" width="4.81640625" style="236" bestFit="1" customWidth="1"/>
    <col min="2" max="2" width="12" style="236" customWidth="1"/>
    <col min="3" max="3" width="25.1796875" style="268" customWidth="1"/>
    <col min="4" max="4" width="70" style="245" customWidth="1"/>
    <col min="5" max="5" width="11.453125" style="236"/>
    <col min="6" max="6" width="15" style="236" bestFit="1" customWidth="1"/>
    <col min="7" max="7" width="29.7265625" style="236" customWidth="1"/>
    <col min="8" max="8" width="11.453125" style="236"/>
    <col min="9" max="9" width="20" style="236" bestFit="1" customWidth="1"/>
    <col min="10" max="16384" width="11.453125" style="236"/>
  </cols>
  <sheetData>
    <row r="1" spans="1:10" s="230" customFormat="1" x14ac:dyDescent="0.35">
      <c r="A1" s="227" t="s">
        <v>2132</v>
      </c>
      <c r="B1" s="227" t="s">
        <v>2133</v>
      </c>
      <c r="C1" s="228" t="s">
        <v>2206</v>
      </c>
      <c r="D1" s="229" t="s">
        <v>69</v>
      </c>
      <c r="F1" s="231" t="s">
        <v>2207</v>
      </c>
      <c r="G1" s="231" t="s">
        <v>2208</v>
      </c>
    </row>
    <row r="2" spans="1:10" ht="34.5" x14ac:dyDescent="0.35">
      <c r="A2" s="232">
        <v>1</v>
      </c>
      <c r="B2" s="233" t="s">
        <v>2209</v>
      </c>
      <c r="C2" s="234" t="s">
        <v>2210</v>
      </c>
      <c r="D2" s="235" t="s">
        <v>2211</v>
      </c>
      <c r="F2" s="237" t="s">
        <v>2212</v>
      </c>
      <c r="G2" s="238" t="s">
        <v>2213</v>
      </c>
    </row>
    <row r="3" spans="1:10" x14ac:dyDescent="0.35">
      <c r="A3" s="239">
        <v>2</v>
      </c>
      <c r="B3" s="233" t="s">
        <v>2209</v>
      </c>
      <c r="C3" s="240" t="s">
        <v>2210</v>
      </c>
      <c r="D3" s="235" t="s">
        <v>2214</v>
      </c>
      <c r="G3" s="236" t="s">
        <v>2215</v>
      </c>
    </row>
    <row r="4" spans="1:10" ht="12.5" thickBot="1" x14ac:dyDescent="0.4">
      <c r="A4" s="239">
        <v>3</v>
      </c>
      <c r="B4" s="233" t="s">
        <v>2209</v>
      </c>
      <c r="C4" s="241" t="s">
        <v>2210</v>
      </c>
      <c r="D4" s="235" t="s">
        <v>2216</v>
      </c>
    </row>
    <row r="5" spans="1:10" ht="12.5" thickBot="1" x14ac:dyDescent="0.4">
      <c r="A5" s="232">
        <v>4</v>
      </c>
      <c r="B5" s="233" t="s">
        <v>2209</v>
      </c>
      <c r="C5" s="242" t="s">
        <v>2210</v>
      </c>
      <c r="D5" s="235" t="s">
        <v>2217</v>
      </c>
      <c r="F5" s="236" t="s">
        <v>2218</v>
      </c>
      <c r="G5" s="236" t="str">
        <f xml:space="preserve"> "CaTa Pricing Tool " &amp; version_number &amp; ".xlsm"</f>
        <v>CaTa Pricing Tool V62.xlsm</v>
      </c>
    </row>
    <row r="6" spans="1:10" ht="12.5" thickBot="1" x14ac:dyDescent="0.4">
      <c r="A6" s="239">
        <v>5</v>
      </c>
      <c r="B6" s="233" t="s">
        <v>2209</v>
      </c>
      <c r="C6" s="243" t="s">
        <v>2210</v>
      </c>
      <c r="D6" s="235" t="s">
        <v>2219</v>
      </c>
      <c r="F6" s="236" t="s">
        <v>2220</v>
      </c>
      <c r="G6" s="236" t="str">
        <f xml:space="preserve"> "CaTa Pricing Tool " &amp; J6 &amp; ".xlsm"</f>
        <v>CaTa Pricing Tool V46.xlsm</v>
      </c>
      <c r="I6" s="236" t="s">
        <v>2221</v>
      </c>
      <c r="J6" s="236" t="s">
        <v>2222</v>
      </c>
    </row>
    <row r="7" spans="1:10" ht="12.5" thickBot="1" x14ac:dyDescent="0.4">
      <c r="A7" s="239">
        <v>6</v>
      </c>
      <c r="B7" s="233" t="s">
        <v>2209</v>
      </c>
      <c r="C7" s="244" t="s">
        <v>2210</v>
      </c>
      <c r="D7" s="245" t="s">
        <v>2223</v>
      </c>
    </row>
    <row r="8" spans="1:10" ht="35" thickBot="1" x14ac:dyDescent="0.4">
      <c r="A8" s="232">
        <v>7</v>
      </c>
      <c r="B8" s="233" t="s">
        <v>2209</v>
      </c>
      <c r="C8" s="246" t="s">
        <v>2210</v>
      </c>
      <c r="D8" s="235" t="s">
        <v>2224</v>
      </c>
      <c r="F8" s="245" t="s">
        <v>2225</v>
      </c>
      <c r="G8" s="238" t="s">
        <v>2226</v>
      </c>
    </row>
    <row r="9" spans="1:10" ht="12.5" thickBot="1" x14ac:dyDescent="0.4">
      <c r="A9" s="239">
        <v>8</v>
      </c>
      <c r="B9" s="233" t="s">
        <v>2209</v>
      </c>
      <c r="C9" s="247" t="s">
        <v>2210</v>
      </c>
      <c r="D9" s="235" t="s">
        <v>2227</v>
      </c>
    </row>
    <row r="10" spans="1:10" ht="12.5" thickBot="1" x14ac:dyDescent="0.4">
      <c r="A10" s="239">
        <v>9</v>
      </c>
      <c r="B10" s="233" t="s">
        <v>2209</v>
      </c>
      <c r="C10" s="248" t="s">
        <v>2210</v>
      </c>
      <c r="D10" s="235" t="s">
        <v>2228</v>
      </c>
    </row>
    <row r="11" spans="1:10" ht="12.5" thickBot="1" x14ac:dyDescent="0.4">
      <c r="A11" s="232">
        <v>10</v>
      </c>
      <c r="B11" s="233" t="s">
        <v>2209</v>
      </c>
      <c r="C11" s="249" t="s">
        <v>2210</v>
      </c>
      <c r="D11" s="235" t="s">
        <v>2229</v>
      </c>
    </row>
    <row r="12" spans="1:10" ht="12.5" thickBot="1" x14ac:dyDescent="0.4">
      <c r="A12" s="239">
        <v>11</v>
      </c>
      <c r="B12" s="233" t="s">
        <v>2209</v>
      </c>
      <c r="C12" s="272" t="s">
        <v>2210</v>
      </c>
      <c r="D12" s="235" t="s">
        <v>2230</v>
      </c>
    </row>
    <row r="13" spans="1:10" x14ac:dyDescent="0.35">
      <c r="A13" s="239">
        <v>12</v>
      </c>
      <c r="B13" s="233" t="s">
        <v>2209</v>
      </c>
      <c r="C13" s="250" t="s">
        <v>2210</v>
      </c>
      <c r="D13" s="235" t="s">
        <v>2231</v>
      </c>
    </row>
    <row r="14" spans="1:10" x14ac:dyDescent="0.35">
      <c r="A14" s="239">
        <v>13</v>
      </c>
      <c r="B14" s="251" t="s">
        <v>2209</v>
      </c>
      <c r="C14" s="252" t="s">
        <v>2210</v>
      </c>
      <c r="D14" s="253" t="s">
        <v>2232</v>
      </c>
    </row>
    <row r="15" spans="1:10" x14ac:dyDescent="0.35">
      <c r="A15" s="232">
        <v>14</v>
      </c>
      <c r="B15" s="251" t="s">
        <v>2209</v>
      </c>
      <c r="C15" s="254" t="s">
        <v>2210</v>
      </c>
      <c r="D15" s="255" t="s">
        <v>2233</v>
      </c>
    </row>
    <row r="16" spans="1:10" x14ac:dyDescent="0.35">
      <c r="A16" s="239">
        <v>15</v>
      </c>
      <c r="B16" s="232" t="s">
        <v>2209</v>
      </c>
      <c r="C16" s="256" t="s">
        <v>2210</v>
      </c>
      <c r="D16" s="253" t="s">
        <v>2234</v>
      </c>
    </row>
    <row r="17" spans="1:4" ht="24" x14ac:dyDescent="0.35">
      <c r="A17" s="239">
        <v>16</v>
      </c>
      <c r="B17" s="232" t="s">
        <v>2209</v>
      </c>
      <c r="C17" s="257" t="s">
        <v>2210</v>
      </c>
      <c r="D17" s="253" t="s">
        <v>2235</v>
      </c>
    </row>
    <row r="18" spans="1:4" x14ac:dyDescent="0.35">
      <c r="A18" s="232">
        <v>17</v>
      </c>
      <c r="B18" s="232" t="s">
        <v>2137</v>
      </c>
      <c r="C18" s="258" t="s">
        <v>2210</v>
      </c>
      <c r="D18" s="253" t="s">
        <v>2236</v>
      </c>
    </row>
    <row r="19" spans="1:4" ht="60" x14ac:dyDescent="0.35">
      <c r="A19" s="239">
        <v>18</v>
      </c>
      <c r="B19" s="232" t="s">
        <v>2137</v>
      </c>
      <c r="C19" s="259" t="s">
        <v>2237</v>
      </c>
      <c r="D19" s="253" t="s">
        <v>2238</v>
      </c>
    </row>
    <row r="20" spans="1:4" ht="24" x14ac:dyDescent="0.35">
      <c r="A20" s="239">
        <v>19</v>
      </c>
      <c r="B20" s="232" t="s">
        <v>2137</v>
      </c>
      <c r="C20" s="270" t="s">
        <v>2239</v>
      </c>
      <c r="D20" s="262" t="s">
        <v>2240</v>
      </c>
    </row>
    <row r="21" spans="1:4" x14ac:dyDescent="0.35">
      <c r="A21" s="239">
        <v>20</v>
      </c>
      <c r="B21" s="232" t="s">
        <v>2137</v>
      </c>
      <c r="C21" s="270" t="s">
        <v>2241</v>
      </c>
      <c r="D21" s="262"/>
    </row>
    <row r="22" spans="1:4" ht="24" x14ac:dyDescent="0.35">
      <c r="A22" s="232">
        <v>21</v>
      </c>
      <c r="B22" s="232" t="s">
        <v>2137</v>
      </c>
      <c r="C22" s="271"/>
      <c r="D22" s="262" t="s">
        <v>2242</v>
      </c>
    </row>
    <row r="23" spans="1:4" x14ac:dyDescent="0.35">
      <c r="A23" s="239">
        <v>22</v>
      </c>
      <c r="B23" s="232" t="s">
        <v>2137</v>
      </c>
      <c r="C23" s="261" t="s">
        <v>2243</v>
      </c>
      <c r="D23" s="262" t="s">
        <v>2244</v>
      </c>
    </row>
    <row r="24" spans="1:4" ht="24" x14ac:dyDescent="0.35">
      <c r="A24" s="239">
        <v>23</v>
      </c>
      <c r="B24" s="251" t="s">
        <v>2137</v>
      </c>
      <c r="C24" s="263" t="s">
        <v>2245</v>
      </c>
      <c r="D24" s="245" t="s">
        <v>2246</v>
      </c>
    </row>
    <row r="25" spans="1:4" ht="36" x14ac:dyDescent="0.35">
      <c r="A25" s="232">
        <v>24</v>
      </c>
      <c r="B25" s="251" t="s">
        <v>2137</v>
      </c>
      <c r="C25" s="263" t="s">
        <v>2247</v>
      </c>
      <c r="D25" s="264" t="s">
        <v>2248</v>
      </c>
    </row>
    <row r="26" spans="1:4" ht="24.5" thickBot="1" x14ac:dyDescent="0.4">
      <c r="A26" s="239">
        <v>25</v>
      </c>
      <c r="B26" s="251" t="s">
        <v>2137</v>
      </c>
      <c r="C26" s="263" t="s">
        <v>2249</v>
      </c>
      <c r="D26" s="245" t="s">
        <v>2250</v>
      </c>
    </row>
    <row r="27" spans="1:4" ht="13" thickTop="1" thickBot="1" x14ac:dyDescent="0.4">
      <c r="A27" s="239">
        <v>26</v>
      </c>
      <c r="B27" s="260" t="s">
        <v>2146</v>
      </c>
      <c r="C27" s="265"/>
      <c r="D27" s="245" t="s">
        <v>2251</v>
      </c>
    </row>
    <row r="28" spans="1:4" ht="25" thickTop="1" thickBot="1" x14ac:dyDescent="0.4">
      <c r="A28" s="232">
        <v>27</v>
      </c>
      <c r="B28" s="266" t="s">
        <v>2209</v>
      </c>
      <c r="C28" s="267"/>
      <c r="D28" s="245" t="s">
        <v>2252</v>
      </c>
    </row>
    <row r="29" spans="1:4" ht="13" thickTop="1" thickBot="1" x14ac:dyDescent="0.4">
      <c r="A29" s="239">
        <v>28</v>
      </c>
    </row>
    <row r="30" spans="1:4" ht="13" thickTop="1" thickBot="1" x14ac:dyDescent="0.4">
      <c r="A30" s="239">
        <v>29</v>
      </c>
      <c r="B30" s="236" t="s">
        <v>2253</v>
      </c>
      <c r="C30" s="269"/>
      <c r="D30" s="245" t="s">
        <v>2254</v>
      </c>
    </row>
    <row r="31" spans="1:4" ht="12.5" thickTop="1" x14ac:dyDescent="0.35"/>
  </sheetData>
  <autoFilter ref="A1:D4" xr:uid="{416631B7-A64F-4725-AE8B-2FD2BEB76781}"/>
  <sortState xmlns:xlrd2="http://schemas.microsoft.com/office/spreadsheetml/2017/richdata2" ref="A2:D11">
    <sortCondition ref="A2:A11"/>
  </sortState>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anchor moveWithCells="1" sizeWithCells="1">
                  <from>
                    <xdr:col>2</xdr:col>
                    <xdr:colOff>323850</xdr:colOff>
                    <xdr:row>24</xdr:row>
                    <xdr:rowOff>184150</xdr:rowOff>
                  </from>
                  <to>
                    <xdr:col>2</xdr:col>
                    <xdr:colOff>1619250</xdr:colOff>
                    <xdr:row>24</xdr:row>
                    <xdr:rowOff>438150</xdr:rowOff>
                  </to>
                </anchor>
              </controlPr>
            </control>
          </mc:Choice>
        </mc:AlternateContent>
        <mc:AlternateContent xmlns:mc="http://schemas.openxmlformats.org/markup-compatibility/2006">
          <mc:Choice Requires="x14">
            <control shapeId="16386" r:id="rId5" name="Button 2">
              <controlPr defaultSize="0" print="0" autoFill="0" autoPict="0">
                <anchor moveWithCells="1" sizeWithCells="1">
                  <from>
                    <xdr:col>2</xdr:col>
                    <xdr:colOff>660400</xdr:colOff>
                    <xdr:row>23</xdr:row>
                    <xdr:rowOff>50800</xdr:rowOff>
                  </from>
                  <to>
                    <xdr:col>2</xdr:col>
                    <xdr:colOff>1619250</xdr:colOff>
                    <xdr:row>23</xdr:row>
                    <xdr:rowOff>279400</xdr:rowOff>
                  </to>
                </anchor>
              </controlPr>
            </control>
          </mc:Choice>
        </mc:AlternateContent>
        <mc:AlternateContent xmlns:mc="http://schemas.openxmlformats.org/markup-compatibility/2006">
          <mc:Choice Requires="x14">
            <control shapeId="16387" r:id="rId6" name="Button 3">
              <controlPr defaultSize="0" print="0" autoFill="0" autoPict="0">
                <anchor moveWithCells="1" sizeWithCells="1">
                  <from>
                    <xdr:col>2</xdr:col>
                    <xdr:colOff>209550</xdr:colOff>
                    <xdr:row>25</xdr:row>
                    <xdr:rowOff>19050</xdr:rowOff>
                  </from>
                  <to>
                    <xdr:col>2</xdr:col>
                    <xdr:colOff>1619250</xdr:colOff>
                    <xdr:row>25</xdr:row>
                    <xdr:rowOff>298450</xdr:rowOff>
                  </to>
                </anchor>
              </controlPr>
            </control>
          </mc:Choice>
        </mc:AlternateContent>
        <mc:AlternateContent xmlns:mc="http://schemas.openxmlformats.org/markup-compatibility/2006">
          <mc:Choice Requires="x14">
            <control shapeId="16389" r:id="rId7" name="Button 5">
              <controlPr defaultSize="0" print="0" autoFill="0" autoPict="0">
                <anchor moveWithCells="1" sizeWithCells="1">
                  <from>
                    <xdr:col>2</xdr:col>
                    <xdr:colOff>88900</xdr:colOff>
                    <xdr:row>21</xdr:row>
                    <xdr:rowOff>69850</xdr:rowOff>
                  </from>
                  <to>
                    <xdr:col>2</xdr:col>
                    <xdr:colOff>1581150</xdr:colOff>
                    <xdr:row>21</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0" tint="-4.9989318521683403E-2"/>
  </sheetPr>
  <dimension ref="A1:L68"/>
  <sheetViews>
    <sheetView workbookViewId="0"/>
  </sheetViews>
  <sheetFormatPr baseColWidth="10" defaultColWidth="11.453125" defaultRowHeight="14.5" x14ac:dyDescent="0.35"/>
  <sheetData>
    <row r="1" spans="1:12" x14ac:dyDescent="0.35">
      <c r="I1" s="1" t="s">
        <v>2255</v>
      </c>
      <c r="J1" t="s">
        <v>2256</v>
      </c>
    </row>
    <row r="2" spans="1:12" x14ac:dyDescent="0.35">
      <c r="A2" s="26" t="s">
        <v>2257</v>
      </c>
    </row>
    <row r="4" spans="1:12" x14ac:dyDescent="0.35">
      <c r="A4" s="27" t="s">
        <v>2258</v>
      </c>
    </row>
    <row r="5" spans="1:12" ht="15" thickBot="1" x14ac:dyDescent="0.4">
      <c r="A5" s="27"/>
    </row>
    <row r="6" spans="1:12" ht="15" thickBot="1" x14ac:dyDescent="0.4">
      <c r="B6" s="28"/>
      <c r="C6" t="s">
        <v>2137</v>
      </c>
      <c r="E6" s="29" t="s">
        <v>155</v>
      </c>
      <c r="F6" t="s">
        <v>2259</v>
      </c>
      <c r="H6" s="30" t="s">
        <v>2260</v>
      </c>
      <c r="I6" t="s">
        <v>2261</v>
      </c>
      <c r="K6" s="31" t="s">
        <v>2260</v>
      </c>
      <c r="L6" t="s">
        <v>2262</v>
      </c>
    </row>
    <row r="8" spans="1:12" x14ac:dyDescent="0.35">
      <c r="A8" s="27" t="s">
        <v>2263</v>
      </c>
    </row>
    <row r="10" spans="1:12" x14ac:dyDescent="0.35">
      <c r="B10" t="s">
        <v>2264</v>
      </c>
    </row>
    <row r="11" spans="1:12" x14ac:dyDescent="0.35">
      <c r="B11" t="s">
        <v>2265</v>
      </c>
    </row>
    <row r="12" spans="1:12" x14ac:dyDescent="0.35">
      <c r="B12" t="s">
        <v>2266</v>
      </c>
    </row>
    <row r="16" spans="1:12" x14ac:dyDescent="0.35">
      <c r="A16" s="26" t="s">
        <v>2267</v>
      </c>
    </row>
    <row r="17" spans="1:2" x14ac:dyDescent="0.35">
      <c r="A17" s="26"/>
    </row>
    <row r="18" spans="1:2" x14ac:dyDescent="0.35">
      <c r="A18" s="27" t="s">
        <v>2268</v>
      </c>
    </row>
    <row r="19" spans="1:2" x14ac:dyDescent="0.35">
      <c r="B19" t="s">
        <v>2269</v>
      </c>
    </row>
    <row r="20" spans="1:2" x14ac:dyDescent="0.35">
      <c r="B20" t="s">
        <v>2270</v>
      </c>
    </row>
    <row r="21" spans="1:2" x14ac:dyDescent="0.35">
      <c r="B21" t="s">
        <v>2271</v>
      </c>
    </row>
    <row r="23" spans="1:2" x14ac:dyDescent="0.35">
      <c r="A23" s="27" t="s">
        <v>2272</v>
      </c>
    </row>
    <row r="24" spans="1:2" x14ac:dyDescent="0.35">
      <c r="B24" t="s">
        <v>2273</v>
      </c>
    </row>
    <row r="26" spans="1:2" x14ac:dyDescent="0.35">
      <c r="A26" s="27" t="s">
        <v>2274</v>
      </c>
    </row>
    <row r="27" spans="1:2" x14ac:dyDescent="0.35">
      <c r="B27" t="s">
        <v>2275</v>
      </c>
    </row>
    <row r="29" spans="1:2" x14ac:dyDescent="0.35">
      <c r="A29" s="27" t="s">
        <v>2276</v>
      </c>
    </row>
    <row r="30" spans="1:2" x14ac:dyDescent="0.35">
      <c r="B30" t="s">
        <v>2277</v>
      </c>
    </row>
    <row r="32" spans="1:2" x14ac:dyDescent="0.35">
      <c r="A32" s="27" t="s">
        <v>2278</v>
      </c>
    </row>
    <row r="33" spans="1:2" x14ac:dyDescent="0.35">
      <c r="B33" t="s">
        <v>2279</v>
      </c>
    </row>
    <row r="36" spans="1:2" x14ac:dyDescent="0.35">
      <c r="A36" s="26" t="s">
        <v>2280</v>
      </c>
    </row>
    <row r="38" spans="1:2" x14ac:dyDescent="0.35">
      <c r="A38" s="27" t="s">
        <v>2281</v>
      </c>
    </row>
    <row r="39" spans="1:2" x14ac:dyDescent="0.35">
      <c r="B39" t="s">
        <v>2282</v>
      </c>
    </row>
    <row r="40" spans="1:2" x14ac:dyDescent="0.35">
      <c r="B40" t="s">
        <v>2283</v>
      </c>
    </row>
    <row r="41" spans="1:2" x14ac:dyDescent="0.35">
      <c r="B41" t="s">
        <v>2284</v>
      </c>
    </row>
    <row r="43" spans="1:2" x14ac:dyDescent="0.35">
      <c r="A43" s="27" t="s">
        <v>2285</v>
      </c>
    </row>
    <row r="44" spans="1:2" x14ac:dyDescent="0.35">
      <c r="B44" t="s">
        <v>2286</v>
      </c>
    </row>
    <row r="45" spans="1:2" x14ac:dyDescent="0.35">
      <c r="B45" t="s">
        <v>2287</v>
      </c>
    </row>
    <row r="46" spans="1:2" x14ac:dyDescent="0.35">
      <c r="B46" t="s">
        <v>2288</v>
      </c>
    </row>
    <row r="47" spans="1:2" x14ac:dyDescent="0.35">
      <c r="B47" t="s">
        <v>2289</v>
      </c>
    </row>
    <row r="48" spans="1:2" x14ac:dyDescent="0.35">
      <c r="A48" s="27"/>
    </row>
    <row r="49" spans="1:2" x14ac:dyDescent="0.35">
      <c r="A49" s="27" t="s">
        <v>2290</v>
      </c>
    </row>
    <row r="50" spans="1:2" x14ac:dyDescent="0.35">
      <c r="A50" s="27"/>
      <c r="B50" t="s">
        <v>2291</v>
      </c>
    </row>
    <row r="51" spans="1:2" x14ac:dyDescent="0.35">
      <c r="A51" s="27"/>
      <c r="B51" t="s">
        <v>2292</v>
      </c>
    </row>
    <row r="53" spans="1:2" x14ac:dyDescent="0.35">
      <c r="A53" s="27" t="s">
        <v>2293</v>
      </c>
    </row>
    <row r="54" spans="1:2" x14ac:dyDescent="0.35">
      <c r="B54" t="s">
        <v>2294</v>
      </c>
    </row>
    <row r="55" spans="1:2" x14ac:dyDescent="0.35">
      <c r="B55" t="s">
        <v>2295</v>
      </c>
    </row>
    <row r="56" spans="1:2" x14ac:dyDescent="0.35">
      <c r="B56" t="s">
        <v>2296</v>
      </c>
    </row>
    <row r="57" spans="1:2" x14ac:dyDescent="0.35">
      <c r="A57" s="27"/>
      <c r="B57" t="s">
        <v>2297</v>
      </c>
    </row>
    <row r="58" spans="1:2" x14ac:dyDescent="0.35">
      <c r="B58" t="s">
        <v>2298</v>
      </c>
    </row>
    <row r="59" spans="1:2" x14ac:dyDescent="0.35">
      <c r="B59" t="s">
        <v>2299</v>
      </c>
    </row>
    <row r="60" spans="1:2" x14ac:dyDescent="0.35">
      <c r="B60" t="s">
        <v>2300</v>
      </c>
    </row>
    <row r="62" spans="1:2" x14ac:dyDescent="0.35">
      <c r="A62" s="27"/>
    </row>
    <row r="65" spans="1:1" x14ac:dyDescent="0.35">
      <c r="A65" s="27"/>
    </row>
    <row r="68" spans="1:1" x14ac:dyDescent="0.35">
      <c r="A68" s="27"/>
    </row>
  </sheetData>
  <dataValidations count="2">
    <dataValidation allowBlank="1" showErrorMessage="1" promptTitle="Large Account Pricing " prompt="Is the account part of a LAP process. This may have an impact on the calculation of the volatility loading." sqref="E6" xr:uid="{00000000-0002-0000-0000-000000000000}"/>
    <dataValidation allowBlank="1" showErrorMessage="1" promptTitle="treaty number" prompt="The treaty number of the contract._x000a__x000a_This is an optional field that has no effect on the calculation and it exists only for information purposes." sqref="B6" xr:uid="{00000000-0002-0000-0000-000001000000}"/>
  </dataValidations>
  <pageMargins left="0.7" right="0.7" top="0.78740157499999996" bottom="0.78740157499999996" header="0.3" footer="0.3"/>
  <pageSetup paperSize="9" orientation="portrait"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9BF1C-CFE5-481C-80DE-97B14D16C979}">
  <sheetPr codeName="Sheet2"/>
  <dimension ref="A1:J54"/>
  <sheetViews>
    <sheetView workbookViewId="0">
      <selection activeCell="A19" sqref="A19:A22"/>
    </sheetView>
  </sheetViews>
  <sheetFormatPr baseColWidth="10" defaultColWidth="9.1796875" defaultRowHeight="14.5" x14ac:dyDescent="0.35"/>
  <cols>
    <col min="1" max="1" width="58.1796875" bestFit="1" customWidth="1"/>
    <col min="2" max="5" width="36.26953125" customWidth="1"/>
    <col min="6" max="6" width="46.81640625" customWidth="1"/>
    <col min="7" max="9" width="48.54296875" customWidth="1"/>
    <col min="10" max="10" width="37.26953125" bestFit="1" customWidth="1"/>
  </cols>
  <sheetData>
    <row r="1" spans="1:10" x14ac:dyDescent="0.3">
      <c r="A1" s="445" t="s">
        <v>2301</v>
      </c>
      <c r="B1" s="445" t="s">
        <v>2302</v>
      </c>
      <c r="C1" s="445" t="s">
        <v>2303</v>
      </c>
      <c r="D1" s="445" t="s">
        <v>2304</v>
      </c>
      <c r="E1" s="445"/>
      <c r="F1" s="445" t="s">
        <v>2303</v>
      </c>
      <c r="G1" s="445" t="s">
        <v>2304</v>
      </c>
      <c r="H1" s="445" t="s">
        <v>2030</v>
      </c>
      <c r="I1" s="445" t="s">
        <v>2031</v>
      </c>
      <c r="J1" s="440" t="s">
        <v>2032</v>
      </c>
    </row>
    <row r="2" spans="1:10" ht="43.5" x14ac:dyDescent="0.35">
      <c r="A2" s="488" t="str" cm="1">
        <f t="array" aca="1" ref="A2" ca="1">INDEX( \reference_typeofgoods1, , 1)</f>
        <v>1. General consumer goods</v>
      </c>
      <c r="B2" s="454" t="str" cm="1">
        <f t="array" aca="1" ref="B2" ca="1" xml:space="preserve"> \reference_Allgemeine_Gebrauchsgueter</f>
        <v/>
      </c>
      <c r="C2" s="451" t="str">
        <f t="shared" ref="C2:C33" ca="1" si="0">IF( ISBLANK(OFFSET(F2, , 2 * \language_offset)), "", OFFSET(F2, , 2 * \language_offset) )</f>
        <v>Goods for end customers, which are in the general household.</v>
      </c>
      <c r="D2" s="451" t="str">
        <f t="shared" ref="D2:D33" ca="1" si="1">IF( ISBLANK(OFFSET(G2, , 2 * \language_offset)), "", OFFSET(G2, , 2 * \language_offset) )</f>
        <v>Cupboards, tables, chairs, cutlery, porcelain, glasses, general household goods, baby carriages, marquise</v>
      </c>
      <c r="E2" s="454"/>
      <c r="F2" s="449" t="s">
        <v>2305</v>
      </c>
      <c r="G2" s="449" t="s">
        <v>2306</v>
      </c>
      <c r="H2" s="449" t="s">
        <v>2307</v>
      </c>
      <c r="I2" s="451" t="s">
        <v>2308</v>
      </c>
      <c r="J2" s="449"/>
    </row>
    <row r="3" spans="1:10" ht="43.5" x14ac:dyDescent="0.35">
      <c r="A3" s="489" t="str" cm="1">
        <f t="array" aca="1" ref="A3" ca="1">INDEX( \reference_typeofgoods1, , 2)</f>
        <v>2. Other vegetable goods</v>
      </c>
      <c r="B3" s="454" t="str">
        <f ca="1" xml:space="preserve"> \reference_Andere_vegetabile_Gueter</f>
        <v/>
      </c>
      <c r="C3" s="449" t="str">
        <f t="shared" ca="1" si="0"/>
        <v>Perishable products for end consumers</v>
      </c>
      <c r="D3" s="451" t="str">
        <f t="shared" ca="1" si="1"/>
        <v>Not the milk tanker, but the milk packs.
Milk, butter, flowers, meat (packaged), eggs.</v>
      </c>
      <c r="E3" s="454"/>
      <c r="F3" s="449" t="s">
        <v>2309</v>
      </c>
      <c r="G3" s="451" t="s">
        <v>2310</v>
      </c>
      <c r="H3" s="449" t="s">
        <v>2311</v>
      </c>
      <c r="I3" s="451" t="s">
        <v>2312</v>
      </c>
      <c r="J3" s="449"/>
    </row>
    <row r="4" spans="1:10" ht="15" customHeight="1" x14ac:dyDescent="0.35">
      <c r="A4" s="998" t="str" cm="1">
        <f t="array" aca="1" ref="A4" ca="1">INDEX( \reference_typeofgoods1, , 3)</f>
        <v>3. Plant construction</v>
      </c>
      <c r="B4" s="3" t="str" cm="1">
        <f t="array" aca="1" ref="B4:B7" ca="1">\reference_Anlagenbau</f>
        <v>Project - containerized</v>
      </c>
      <c r="C4" s="994" t="str">
        <f t="shared" ca="1" si="0"/>
        <v>Construction of production or extraction sites.
As a distinction from mechanical engineering, these are immovable goods that spend their lifetime in a permanently installed location.</v>
      </c>
      <c r="D4" s="994" t="str">
        <f t="shared" ca="1" si="1"/>
        <v>Turbine plant, hydroelectric power station</v>
      </c>
      <c r="E4" s="3"/>
      <c r="F4" s="994" t="s">
        <v>2313</v>
      </c>
      <c r="G4" s="986" t="s">
        <v>2314</v>
      </c>
      <c r="H4" s="994" t="s">
        <v>2315</v>
      </c>
      <c r="I4" s="986" t="s">
        <v>2316</v>
      </c>
      <c r="J4" s="2" t="s">
        <v>2033</v>
      </c>
    </row>
    <row r="5" spans="1:10" x14ac:dyDescent="0.35">
      <c r="A5" s="999"/>
      <c r="B5" s="3" t="str">
        <f ca="1"/>
        <v>Project - non-containerized</v>
      </c>
      <c r="C5" s="986" t="str">
        <f t="shared" ca="1" si="0"/>
        <v/>
      </c>
      <c r="D5" s="986" t="str">
        <f t="shared" ca="1" si="1"/>
        <v/>
      </c>
      <c r="E5" s="3"/>
      <c r="F5" s="986"/>
      <c r="G5" s="986"/>
      <c r="H5" s="986"/>
      <c r="I5" s="986"/>
      <c r="J5" s="2"/>
    </row>
    <row r="6" spans="1:10" x14ac:dyDescent="0.35">
      <c r="A6" s="999"/>
      <c r="B6" s="3" t="str">
        <f ca="1"/>
        <v>Serial / mass production - containerized</v>
      </c>
      <c r="C6" s="986" t="str">
        <f t="shared" ca="1" si="0"/>
        <v/>
      </c>
      <c r="D6" s="986" t="str">
        <f t="shared" ca="1" si="1"/>
        <v/>
      </c>
      <c r="E6" s="3"/>
      <c r="F6" s="986"/>
      <c r="G6" s="986"/>
      <c r="H6" s="986"/>
      <c r="I6" s="986"/>
      <c r="J6" s="2"/>
    </row>
    <row r="7" spans="1:10" x14ac:dyDescent="0.35">
      <c r="A7" s="1000"/>
      <c r="B7" s="454" t="str">
        <f ca="1"/>
        <v>Serial / mass production - non-containerized</v>
      </c>
      <c r="C7" s="987" t="str">
        <f t="shared" ca="1" si="0"/>
        <v/>
      </c>
      <c r="D7" s="987" t="str">
        <f t="shared" ca="1" si="1"/>
        <v/>
      </c>
      <c r="E7" s="454"/>
      <c r="F7" s="987"/>
      <c r="G7" s="987"/>
      <c r="H7" s="987"/>
      <c r="I7" s="987"/>
      <c r="J7" s="449"/>
    </row>
    <row r="8" spans="1:10" ht="15" customHeight="1" x14ac:dyDescent="0.35">
      <c r="A8" s="991" t="str" cm="1">
        <f t="array" aca="1" ref="A8" ca="1">INDEX( \reference_typeofgoods1, , 4)</f>
        <v>4. Automobile construction</v>
      </c>
      <c r="B8" s="3" t="str" cm="1">
        <f t="array" aca="1" ref="B8:B18" ca="1">\reference_Automobilbau</f>
        <v>Vehicles - car combustion</v>
      </c>
      <c r="C8" s="994" t="str">
        <f t="shared" ca="1" si="0"/>
        <v>Hybrid vehicles are classified as internal combustion engines.</v>
      </c>
      <c r="D8" s="3" t="str">
        <f t="shared" ca="1" si="1"/>
        <v/>
      </c>
      <c r="E8" s="3"/>
      <c r="F8" s="994" t="s">
        <v>2317</v>
      </c>
      <c r="G8" s="2"/>
      <c r="H8" s="994" t="s">
        <v>2318</v>
      </c>
      <c r="I8" s="2"/>
      <c r="J8" s="2"/>
    </row>
    <row r="9" spans="1:10" x14ac:dyDescent="0.35">
      <c r="A9" s="992"/>
      <c r="B9" s="3" t="str">
        <f ca="1"/>
        <v>Vehicles - car electric</v>
      </c>
      <c r="C9" s="986" t="str">
        <f t="shared" ca="1" si="0"/>
        <v/>
      </c>
      <c r="D9" s="3" t="str">
        <f t="shared" ca="1" si="1"/>
        <v/>
      </c>
      <c r="E9" s="3"/>
      <c r="F9" s="986"/>
      <c r="G9" s="2"/>
      <c r="H9" s="986"/>
      <c r="I9" s="2"/>
      <c r="J9" s="2"/>
    </row>
    <row r="10" spans="1:10" x14ac:dyDescent="0.35">
      <c r="A10" s="992"/>
      <c r="B10" s="3" t="str">
        <f ca="1"/>
        <v>Vehicles - truck combustion</v>
      </c>
      <c r="C10" s="986" t="str">
        <f t="shared" ca="1" si="0"/>
        <v/>
      </c>
      <c r="D10" s="3" t="str">
        <f t="shared" ca="1" si="1"/>
        <v/>
      </c>
      <c r="E10" s="3"/>
      <c r="F10" s="986"/>
      <c r="G10" s="2"/>
      <c r="H10" s="986"/>
      <c r="I10" s="2"/>
      <c r="J10" s="2"/>
    </row>
    <row r="11" spans="1:10" x14ac:dyDescent="0.35">
      <c r="A11" s="992"/>
      <c r="B11" s="3" t="str">
        <f ca="1"/>
        <v>Vehicles - truck electric</v>
      </c>
      <c r="C11" s="986" t="str">
        <f t="shared" ca="1" si="0"/>
        <v/>
      </c>
      <c r="D11" s="3" t="str">
        <f t="shared" ca="1" si="1"/>
        <v/>
      </c>
      <c r="E11" s="3"/>
      <c r="F11" s="986"/>
      <c r="G11" s="2"/>
      <c r="H11" s="986"/>
      <c r="I11" s="2"/>
      <c r="J11" s="2"/>
    </row>
    <row r="12" spans="1:10" x14ac:dyDescent="0.35">
      <c r="A12" s="992"/>
      <c r="B12" s="3" t="str">
        <f ca="1"/>
        <v>Vehicles - camping combustion</v>
      </c>
      <c r="C12" s="986" t="str">
        <f t="shared" ca="1" si="0"/>
        <v/>
      </c>
      <c r="D12" s="3" t="str">
        <f t="shared" ca="1" si="1"/>
        <v/>
      </c>
      <c r="E12" s="3"/>
      <c r="F12" s="986"/>
      <c r="G12" s="2"/>
      <c r="H12" s="986"/>
      <c r="I12" s="2"/>
      <c r="J12" s="2"/>
    </row>
    <row r="13" spans="1:10" x14ac:dyDescent="0.35">
      <c r="A13" s="992"/>
      <c r="B13" s="3" t="str">
        <f ca="1"/>
        <v>Vehicles - camping electric</v>
      </c>
      <c r="C13" s="986" t="str">
        <f t="shared" ca="1" si="0"/>
        <v/>
      </c>
      <c r="D13" s="3" t="str">
        <f t="shared" ca="1" si="1"/>
        <v/>
      </c>
      <c r="E13" s="3"/>
      <c r="F13" s="986"/>
      <c r="G13" s="2"/>
      <c r="H13" s="986"/>
      <c r="I13" s="2"/>
      <c r="J13" s="2"/>
    </row>
    <row r="14" spans="1:10" x14ac:dyDescent="0.35">
      <c r="A14" s="992"/>
      <c r="B14" s="3" t="str">
        <f ca="1"/>
        <v>Vehicles - motorcycles combustion</v>
      </c>
      <c r="C14" s="986" t="str">
        <f t="shared" ca="1" si="0"/>
        <v/>
      </c>
      <c r="D14" s="3" t="str">
        <f t="shared" ca="1" si="1"/>
        <v/>
      </c>
      <c r="E14" s="3"/>
      <c r="F14" s="986"/>
      <c r="G14" s="2"/>
      <c r="H14" s="986"/>
      <c r="I14" s="2"/>
      <c r="J14" s="2"/>
    </row>
    <row r="15" spans="1:10" x14ac:dyDescent="0.35">
      <c r="A15" s="992"/>
      <c r="B15" s="3" t="str">
        <f ca="1"/>
        <v>Vehicles - motorcycles electric</v>
      </c>
      <c r="C15" s="986" t="str">
        <f t="shared" ca="1" si="0"/>
        <v/>
      </c>
      <c r="D15" s="3" t="str">
        <f t="shared" ca="1" si="1"/>
        <v/>
      </c>
      <c r="E15" s="3"/>
      <c r="F15" s="986"/>
      <c r="G15" s="2"/>
      <c r="H15" s="986"/>
      <c r="I15" s="2"/>
      <c r="J15" s="2"/>
    </row>
    <row r="16" spans="1:10" x14ac:dyDescent="0.35">
      <c r="A16" s="992"/>
      <c r="B16" s="3" t="str">
        <f ca="1"/>
        <v>Antique car</v>
      </c>
      <c r="C16" s="2" t="str">
        <f t="shared" ca="1" si="0"/>
        <v>Vehicles older than 30 years.</v>
      </c>
      <c r="D16" s="3" t="str">
        <f t="shared" ca="1" si="1"/>
        <v/>
      </c>
      <c r="E16" s="3"/>
      <c r="F16" s="2" t="s">
        <v>2319</v>
      </c>
      <c r="G16" s="2"/>
      <c r="H16" s="2" t="s">
        <v>2320</v>
      </c>
      <c r="I16" s="2"/>
      <c r="J16" s="2"/>
    </row>
    <row r="17" spans="1:10" ht="15" customHeight="1" x14ac:dyDescent="0.35">
      <c r="A17" s="992"/>
      <c r="B17" s="3" t="str">
        <f ca="1"/>
        <v>Supply industry - non-electronics</v>
      </c>
      <c r="C17" s="986" t="str">
        <f t="shared" ca="1" si="0"/>
        <v>Individual components or entire assemblies for automotive manufacturers.</v>
      </c>
      <c r="D17" s="2" t="str">
        <f t="shared" ca="1" si="1"/>
        <v>Steering wheel, tires, seats</v>
      </c>
      <c r="E17" s="3"/>
      <c r="F17" s="986" t="s">
        <v>2321</v>
      </c>
      <c r="G17" s="2" t="s">
        <v>2322</v>
      </c>
      <c r="H17" s="986" t="s">
        <v>2323</v>
      </c>
      <c r="I17" s="2" t="s">
        <v>2324</v>
      </c>
      <c r="J17" s="986" t="s">
        <v>2034</v>
      </c>
    </row>
    <row r="18" spans="1:10" x14ac:dyDescent="0.35">
      <c r="A18" s="993"/>
      <c r="B18" s="454" t="str">
        <f ca="1"/>
        <v>Supply industry - electronics</v>
      </c>
      <c r="C18" s="987" t="str">
        <f t="shared" ca="1" si="0"/>
        <v/>
      </c>
      <c r="D18" s="449" t="str">
        <f t="shared" ca="1" si="1"/>
        <v>Distance sensors, radio</v>
      </c>
      <c r="E18" s="454"/>
      <c r="F18" s="987"/>
      <c r="G18" s="449" t="s">
        <v>2325</v>
      </c>
      <c r="H18" s="987"/>
      <c r="I18" s="449" t="s">
        <v>2326</v>
      </c>
      <c r="J18" s="987"/>
    </row>
    <row r="19" spans="1:10" ht="43.5" x14ac:dyDescent="0.35">
      <c r="A19" s="998" t="str" cm="1">
        <f t="array" aca="1" ref="A19" ca="1">INDEX( \reference_typeofgoods1, , 5)</f>
        <v>5. Building materials / Building elements</v>
      </c>
      <c r="B19" s="3" t="str" cm="1">
        <f t="array" aca="1" ref="B19:B22" ca="1" xml:space="preserve"> \reference_Baustoffe_Bauelemente</f>
        <v>Organic</v>
      </c>
      <c r="C19" s="446" t="str">
        <f t="shared" ca="1" si="0"/>
        <v>Building materials mainly in the field of wood and plant fibers. Are harvested, grow back.</v>
      </c>
      <c r="D19" s="446" t="str">
        <f t="shared" ca="1" si="1"/>
        <v>Wood, natural fibers, linen, flax</v>
      </c>
      <c r="E19" s="3"/>
      <c r="F19" s="446" t="s">
        <v>2327</v>
      </c>
      <c r="G19" s="446" t="s">
        <v>2328</v>
      </c>
      <c r="H19" s="446" t="s">
        <v>2329</v>
      </c>
      <c r="I19" s="446" t="s">
        <v>2330</v>
      </c>
      <c r="J19" s="2"/>
    </row>
    <row r="20" spans="1:10" ht="43.5" x14ac:dyDescent="0.35">
      <c r="A20" s="999"/>
      <c r="B20" s="3" t="str">
        <f ca="1"/>
        <v>Inorganic - mined</v>
      </c>
      <c r="C20" s="446" t="str">
        <f t="shared" ca="1" si="0"/>
        <v>Are mined. Are not subject to much preparation before use in the construction project.</v>
      </c>
      <c r="D20" s="446" t="str">
        <f t="shared" ca="1" si="1"/>
        <v>Lime, natural stones, marble, sandstone, clay, slate</v>
      </c>
      <c r="E20" s="3"/>
      <c r="F20" s="446" t="s">
        <v>2331</v>
      </c>
      <c r="G20" s="2" t="s">
        <v>2332</v>
      </c>
      <c r="H20" s="446" t="s">
        <v>2333</v>
      </c>
      <c r="I20" s="2" t="s">
        <v>2334</v>
      </c>
      <c r="J20" s="2"/>
    </row>
    <row r="21" spans="1:10" ht="29" x14ac:dyDescent="0.35">
      <c r="A21" s="999"/>
      <c r="B21" s="3" t="str">
        <f ca="1"/>
        <v>Inorganic - produced</v>
      </c>
      <c r="C21" s="446" t="str">
        <f t="shared" ca="1" si="0"/>
        <v>Goods subject to greater preparation before use in the construction project.</v>
      </c>
      <c r="D21" s="446" t="str">
        <f t="shared" ca="1" si="1"/>
        <v>Brick, tile, roof tile</v>
      </c>
      <c r="E21" s="3"/>
      <c r="F21" s="2" t="s">
        <v>2335</v>
      </c>
      <c r="G21" s="2" t="s">
        <v>2336</v>
      </c>
      <c r="H21" s="2" t="s">
        <v>2337</v>
      </c>
      <c r="I21" s="2" t="s">
        <v>2338</v>
      </c>
      <c r="J21" s="2"/>
    </row>
    <row r="22" spans="1:10" ht="29" x14ac:dyDescent="0.35">
      <c r="A22" s="1000"/>
      <c r="B22" s="454" t="str">
        <f ca="1"/>
        <v>Glass elements</v>
      </c>
      <c r="C22" s="451" t="str">
        <f t="shared" ca="1" si="0"/>
        <v>Goods in or on construction that are largely made of glass.</v>
      </c>
      <c r="D22" s="451" t="str">
        <f t="shared" ca="1" si="1"/>
        <v>Facade mirror, window panes, glass door</v>
      </c>
      <c r="E22" s="454"/>
      <c r="F22" s="449" t="s">
        <v>2339</v>
      </c>
      <c r="G22" s="449" t="s">
        <v>2340</v>
      </c>
      <c r="H22" s="449" t="s">
        <v>2341</v>
      </c>
      <c r="I22" s="449" t="s">
        <v>2342</v>
      </c>
      <c r="J22" s="449"/>
    </row>
    <row r="23" spans="1:10" ht="15" customHeight="1" x14ac:dyDescent="0.35">
      <c r="A23" s="991" t="str" cm="1">
        <f t="array" aca="1" ref="A23" ca="1">INDEX( \reference_typeofgoods1, , 6)</f>
        <v>6. Bulk goods, solid</v>
      </c>
      <c r="B23" s="3" t="str" cm="1">
        <f t="array" aca="1" ref="B23:B27" ca="1">\reference_Bulkgueter_fest</f>
        <v>Loose goods (excl. chemical products) - containerized</v>
      </c>
      <c r="C23" s="994" t="str">
        <f t="shared" ca="1" si="0"/>
        <v>Goods that are unpackaged in bulk.</v>
      </c>
      <c r="D23" s="994" t="str">
        <f t="shared" ca="1" si="1"/>
        <v>Gravel, coal, steel- / iron- / ores, grain, coffee, sugar, bananas</v>
      </c>
      <c r="E23" s="3"/>
      <c r="F23" s="994" t="s">
        <v>2343</v>
      </c>
      <c r="G23" s="986" t="s">
        <v>2344</v>
      </c>
      <c r="H23" s="994" t="s">
        <v>2345</v>
      </c>
      <c r="I23" s="986" t="s">
        <v>2346</v>
      </c>
      <c r="J23" s="2"/>
    </row>
    <row r="24" spans="1:10" x14ac:dyDescent="0.35">
      <c r="A24" s="992"/>
      <c r="B24" s="3" t="str">
        <f ca="1"/>
        <v>Loose goods (excl. chemical products) - non-containerized</v>
      </c>
      <c r="C24" s="986" t="str">
        <f t="shared" ca="1" si="0"/>
        <v/>
      </c>
      <c r="D24" s="986" t="str">
        <f t="shared" ca="1" si="1"/>
        <v/>
      </c>
      <c r="E24" s="3"/>
      <c r="F24" s="986"/>
      <c r="G24" s="986"/>
      <c r="H24" s="986"/>
      <c r="I24" s="986"/>
      <c r="J24" s="2"/>
    </row>
    <row r="25" spans="1:10" ht="15" customHeight="1" x14ac:dyDescent="0.35">
      <c r="A25" s="992"/>
      <c r="B25" s="3" t="str">
        <f ca="1"/>
        <v>Unit loads (e.g. semi-finished steel products, sheet metal)</v>
      </c>
      <c r="C25" s="446" t="str">
        <f t="shared" ca="1" si="0"/>
        <v>Mostly unpacked. Goods transported individually in one piece.</v>
      </c>
      <c r="D25" s="2" t="str">
        <f t="shared" ca="1" si="1"/>
        <v>Steel beams, steel sheets, tree trunks</v>
      </c>
      <c r="E25" s="3"/>
      <c r="F25" s="446" t="s">
        <v>2347</v>
      </c>
      <c r="G25" s="2" t="s">
        <v>2348</v>
      </c>
      <c r="H25" s="446" t="s">
        <v>2349</v>
      </c>
      <c r="I25" s="2" t="s">
        <v>2350</v>
      </c>
      <c r="J25" s="2"/>
    </row>
    <row r="26" spans="1:10" ht="15" customHeight="1" x14ac:dyDescent="0.35">
      <c r="A26" s="992"/>
      <c r="B26" s="3" t="str">
        <f ca="1"/>
        <v>Chemical products - containerized</v>
      </c>
      <c r="C26" s="3" t="str">
        <f t="shared" ca="1" si="0"/>
        <v/>
      </c>
      <c r="D26" s="986" t="str">
        <f t="shared" ca="1" si="1"/>
        <v>Phosphorus, synthetic materials, granules, chemicals in powder form.</v>
      </c>
      <c r="E26" s="3"/>
      <c r="F26" s="446"/>
      <c r="G26" s="986" t="s">
        <v>2351</v>
      </c>
      <c r="H26" s="446"/>
      <c r="I26" s="986" t="s">
        <v>2352</v>
      </c>
      <c r="J26" s="2"/>
    </row>
    <row r="27" spans="1:10" x14ac:dyDescent="0.35">
      <c r="A27" s="993"/>
      <c r="B27" s="454" t="str">
        <f ca="1"/>
        <v>Chemical products - non-containerized</v>
      </c>
      <c r="C27" s="454" t="str">
        <f t="shared" ca="1" si="0"/>
        <v/>
      </c>
      <c r="D27" s="987" t="str">
        <f t="shared" ca="1" si="1"/>
        <v/>
      </c>
      <c r="E27" s="454"/>
      <c r="F27" s="451"/>
      <c r="G27" s="987"/>
      <c r="H27" s="451"/>
      <c r="I27" s="987"/>
      <c r="J27" s="449"/>
    </row>
    <row r="28" spans="1:10" ht="29" x14ac:dyDescent="0.35">
      <c r="A28" s="995" t="str" cm="1">
        <f t="array" aca="1" ref="A28" ca="1">INDEX( \reference_typeofgoods1, , 7)</f>
        <v>7. Bulk goods, liquid</v>
      </c>
      <c r="B28" s="3" t="str" cm="1">
        <f t="array" aca="1" ref="B28:B31" ca="1">\reference_Bulkgueter_fluessig</f>
        <v>Food (excl. fats and oils)</v>
      </c>
      <c r="C28" s="446" t="str">
        <f t="shared" ca="1" si="0"/>
        <v>Food producers and their raw materials (not ready for sale).</v>
      </c>
      <c r="D28" s="446" t="str">
        <f t="shared" ca="1" si="1"/>
        <v>Tanker with milk, wine</v>
      </c>
      <c r="E28" s="3"/>
      <c r="F28" s="446" t="s">
        <v>2353</v>
      </c>
      <c r="G28" s="2" t="s">
        <v>2354</v>
      </c>
      <c r="H28" s="446" t="s">
        <v>2355</v>
      </c>
      <c r="I28" s="2" t="s">
        <v>2356</v>
      </c>
      <c r="J28" s="2"/>
    </row>
    <row r="29" spans="1:10" ht="29" x14ac:dyDescent="0.35">
      <c r="A29" s="996"/>
      <c r="B29" s="3" t="str">
        <f ca="1"/>
        <v>Fats and oils (vegetable or animal origin)</v>
      </c>
      <c r="C29" s="446" t="str">
        <f t="shared" ca="1" si="0"/>
        <v>Food producers and their raw materials (not ready for sale).</v>
      </c>
      <c r="D29" s="446" t="str">
        <f t="shared" ca="1" si="1"/>
        <v>Tanker with sunflower oil or similar.</v>
      </c>
      <c r="E29" s="3"/>
      <c r="F29" s="446" t="s">
        <v>2353</v>
      </c>
      <c r="G29" s="2" t="s">
        <v>2357</v>
      </c>
      <c r="H29" s="446" t="s">
        <v>2355</v>
      </c>
      <c r="I29" s="2" t="s">
        <v>2358</v>
      </c>
      <c r="J29" s="2"/>
    </row>
    <row r="30" spans="1:10" ht="43.5" x14ac:dyDescent="0.35">
      <c r="A30" s="996"/>
      <c r="B30" s="3" t="str">
        <f ca="1"/>
        <v>Petrochemical products</v>
      </c>
      <c r="C30" s="446" t="str">
        <f t="shared" ca="1" si="0"/>
        <v>General petroleum-based liquid goods (not ready for sale), the purpose of which is combustion.</v>
      </c>
      <c r="D30" s="446" t="str">
        <f t="shared" ca="1" si="1"/>
        <v>Petroleum, gasoline, diesel, kerosene, fuel oil</v>
      </c>
      <c r="E30" s="3"/>
      <c r="F30" s="446" t="s">
        <v>2359</v>
      </c>
      <c r="G30" s="2" t="s">
        <v>2360</v>
      </c>
      <c r="H30" s="446" t="s">
        <v>2361</v>
      </c>
      <c r="I30" s="2" t="s">
        <v>2362</v>
      </c>
      <c r="J30" s="2"/>
    </row>
    <row r="31" spans="1:10" ht="29" x14ac:dyDescent="0.35">
      <c r="A31" s="997"/>
      <c r="B31" s="454" t="str">
        <f ca="1"/>
        <v>Chemical products (excl. petrochemicals)</v>
      </c>
      <c r="C31" s="451" t="str">
        <f t="shared" ca="1" si="0"/>
        <v>General liquid goods for further processing or use</v>
      </c>
      <c r="D31" s="449" t="str">
        <f t="shared" ca="1" si="1"/>
        <v>Frost protection fluid</v>
      </c>
      <c r="E31" s="454"/>
      <c r="F31" s="451" t="s">
        <v>2363</v>
      </c>
      <c r="G31" s="449" t="s">
        <v>2364</v>
      </c>
      <c r="H31" s="451" t="s">
        <v>2365</v>
      </c>
      <c r="I31" s="449" t="s">
        <v>2366</v>
      </c>
      <c r="J31" s="449"/>
    </row>
    <row r="32" spans="1:10" ht="29" x14ac:dyDescent="0.35">
      <c r="A32" s="991" t="str" cm="1">
        <f t="array" aca="1" ref="A32" ca="1">INDEX( \reference_typeofgoods1, , 8)</f>
        <v>8. Bulk goods, gaseous</v>
      </c>
      <c r="B32" s="3" t="str" cm="1">
        <f t="array" aca="1" ref="B32:B33" ca="1">\reference_Bulkgueter_gasfoermig</f>
        <v>Containerized or smaller cargo units</v>
      </c>
      <c r="C32" s="446" t="str">
        <f t="shared" ca="1" si="0"/>
        <v>Gas that would also be suitable for end consumers in terms of size.</v>
      </c>
      <c r="D32" s="446" t="str">
        <f t="shared" ca="1" si="1"/>
        <v>Gas cylinders, CO2 cylinders for sparkling water, helium cylinders.</v>
      </c>
      <c r="E32" s="3"/>
      <c r="F32" s="446" t="s">
        <v>2367</v>
      </c>
      <c r="G32" s="2" t="s">
        <v>2368</v>
      </c>
      <c r="H32" s="446" t="s">
        <v>2369</v>
      </c>
      <c r="I32" s="446" t="s">
        <v>2370</v>
      </c>
      <c r="J32" s="2"/>
    </row>
    <row r="33" spans="1:10" x14ac:dyDescent="0.35">
      <c r="A33" s="993"/>
      <c r="B33" s="454" t="str">
        <f ca="1"/>
        <v>Non-containerized or larger cargo units</v>
      </c>
      <c r="C33" s="449" t="str">
        <f t="shared" ca="1" si="0"/>
        <v>Gases delivered to companies.</v>
      </c>
      <c r="D33" s="449" t="str">
        <f t="shared" ca="1" si="1"/>
        <v>Natural gas tanker</v>
      </c>
      <c r="E33" s="454"/>
      <c r="F33" s="451" t="s">
        <v>2371</v>
      </c>
      <c r="G33" s="449" t="s">
        <v>2372</v>
      </c>
      <c r="H33" s="451" t="s">
        <v>2373</v>
      </c>
      <c r="I33" s="449" t="s">
        <v>2374</v>
      </c>
      <c r="J33" s="449"/>
    </row>
    <row r="34" spans="1:10" ht="29" x14ac:dyDescent="0.35">
      <c r="A34" s="995" t="str" cm="1">
        <f t="array" aca="1" ref="A34" ca="1">INDEX( \reference_typeofgoods1, , 9)</f>
        <v>9. Pharma, medicine, cosmetics, food</v>
      </c>
      <c r="B34" s="3" t="str" cm="1">
        <f t="array" aca="1" ref="B34:B38" ca="1">\reference_Pharma_Medizin_Kosmetik_Lebensmittel</f>
        <v>Pharmaceutical products</v>
      </c>
      <c r="C34" s="3" t="str">
        <f t="shared" ref="C34:C54" ca="1" si="2">IF( ISBLANK(OFFSET(F34, , 2 * \language_offset)), "", OFFSET(F34, , 2 * \language_offset) )</f>
        <v/>
      </c>
      <c r="D34" s="446" t="str">
        <f t="shared" ref="D34:D54" ca="1" si="3">IF( ISBLANK(OFFSET(G34, , 2 * \language_offset)), "", OFFSET(G34, , 2 * \language_offset) )</f>
        <v>Medication, aspirin, insulin, cancer medication</v>
      </c>
      <c r="E34" s="3"/>
      <c r="F34" s="446"/>
      <c r="G34" s="2" t="s">
        <v>2375</v>
      </c>
      <c r="H34" s="446"/>
      <c r="I34" s="2" t="s">
        <v>2376</v>
      </c>
      <c r="J34" s="2"/>
    </row>
    <row r="35" spans="1:10" ht="29" x14ac:dyDescent="0.35">
      <c r="A35" s="996"/>
      <c r="B35" s="3" t="str">
        <f ca="1"/>
        <v>Medical Devices</v>
      </c>
      <c r="C35" s="446" t="str">
        <f t="shared" ca="1" si="2"/>
        <v>Devices that are medically suitable for diagnostics.</v>
      </c>
      <c r="D35" s="446" t="str">
        <f t="shared" ca="1" si="3"/>
        <v>X-ray machine, MRI, CT, ultrasound machine</v>
      </c>
      <c r="E35" s="3"/>
      <c r="F35" s="446" t="s">
        <v>2377</v>
      </c>
      <c r="G35" s="2" t="s">
        <v>2378</v>
      </c>
      <c r="H35" s="446" t="s">
        <v>2379</v>
      </c>
      <c r="I35" s="2" t="s">
        <v>2380</v>
      </c>
      <c r="J35" s="2"/>
    </row>
    <row r="36" spans="1:10" ht="29" x14ac:dyDescent="0.35">
      <c r="A36" s="996"/>
      <c r="B36" s="3" t="str">
        <f ca="1"/>
        <v>Cosmetics</v>
      </c>
      <c r="C36" s="446" t="str">
        <f t="shared" ca="1" si="2"/>
        <v>Consumer goods of personal care and body beautification.</v>
      </c>
      <c r="D36" s="446" t="str">
        <f t="shared" ca="1" si="3"/>
        <v>Lipstick, nail polish, mascara, shower gel</v>
      </c>
      <c r="E36" s="3"/>
      <c r="F36" s="446" t="s">
        <v>2381</v>
      </c>
      <c r="G36" s="2" t="s">
        <v>2382</v>
      </c>
      <c r="H36" s="446" t="s">
        <v>2383</v>
      </c>
      <c r="I36" s="2" t="s">
        <v>2384</v>
      </c>
      <c r="J36" s="2"/>
    </row>
    <row r="37" spans="1:10" ht="29" x14ac:dyDescent="0.35">
      <c r="A37" s="996"/>
      <c r="B37" s="3" t="str">
        <f ca="1"/>
        <v>Therapeutic products</v>
      </c>
      <c r="C37" s="446" t="str">
        <f t="shared" ca="1" si="2"/>
        <v>Products that promote health and are conducive to viability.</v>
      </c>
      <c r="D37" s="446" t="str">
        <f t="shared" ca="1" si="3"/>
        <v>Crutches, bandage, plaster, pacemaker, glasses</v>
      </c>
      <c r="E37" s="3"/>
      <c r="F37" s="446" t="s">
        <v>2385</v>
      </c>
      <c r="G37" s="2" t="s">
        <v>2386</v>
      </c>
      <c r="H37" s="446" t="s">
        <v>2387</v>
      </c>
      <c r="I37" s="2" t="s">
        <v>2388</v>
      </c>
      <c r="J37" s="2"/>
    </row>
    <row r="38" spans="1:10" ht="43.5" x14ac:dyDescent="0.35">
      <c r="A38" s="997"/>
      <c r="B38" s="454" t="str">
        <f ca="1"/>
        <v>Food and beverages (ready for sale)</v>
      </c>
      <c r="C38" s="451" t="str">
        <f t="shared" ca="1" si="2"/>
        <v>Mainly dietary supplements; foods to maintain and promote health.</v>
      </c>
      <c r="D38" s="451" t="str">
        <f t="shared" ca="1" si="3"/>
        <v>Vitamin tablets, aroma drops, essential oils</v>
      </c>
      <c r="E38" s="454"/>
      <c r="F38" s="451" t="s">
        <v>2389</v>
      </c>
      <c r="G38" s="449" t="s">
        <v>2390</v>
      </c>
      <c r="H38" s="451" t="s">
        <v>2391</v>
      </c>
      <c r="I38" s="449" t="s">
        <v>2392</v>
      </c>
      <c r="J38" s="449"/>
    </row>
    <row r="39" spans="1:10" ht="29" x14ac:dyDescent="0.35">
      <c r="A39" s="991" t="str" cm="1">
        <f t="array" aca="1" ref="A39" ca="1">INDEX( \reference_typeofgoods1, , 10)</f>
        <v>10. Electronics, EDP</v>
      </c>
      <c r="B39" s="3" t="str" cm="1">
        <f t="array" aca="1" ref="B39:B40" ca="1">\reference_Elektronik_EDV</f>
        <v>Brown goods (e.g. entertainment technology)</v>
      </c>
      <c r="C39" s="446" t="str">
        <f t="shared" ca="1" si="2"/>
        <v>Products that serve the purpose of entertainment.</v>
      </c>
      <c r="D39" s="2" t="str">
        <f t="shared" ca="1" si="3"/>
        <v>Radio, television, computer</v>
      </c>
      <c r="E39" s="3"/>
      <c r="F39" s="446" t="s">
        <v>2393</v>
      </c>
      <c r="G39" s="2" t="s">
        <v>2394</v>
      </c>
      <c r="H39" s="446" t="s">
        <v>2395</v>
      </c>
      <c r="I39" s="2" t="s">
        <v>2396</v>
      </c>
      <c r="J39" s="2"/>
    </row>
    <row r="40" spans="1:10" x14ac:dyDescent="0.35">
      <c r="A40" s="993"/>
      <c r="B40" s="454" t="str">
        <f ca="1"/>
        <v>White goods (e.g. household appliances)</v>
      </c>
      <c r="C40" s="449" t="str">
        <f t="shared" ca="1" si="2"/>
        <v>Products as household appliances</v>
      </c>
      <c r="D40" s="449" t="str">
        <f t="shared" ca="1" si="3"/>
        <v>Refrigerator, washing machine, dryer</v>
      </c>
      <c r="E40" s="454"/>
      <c r="F40" s="451" t="s">
        <v>2397</v>
      </c>
      <c r="G40" s="449" t="s">
        <v>2398</v>
      </c>
      <c r="H40" s="451" t="s">
        <v>2399</v>
      </c>
      <c r="I40" s="449" t="s">
        <v>2400</v>
      </c>
      <c r="J40" s="449"/>
    </row>
    <row r="41" spans="1:10" ht="58" x14ac:dyDescent="0.35">
      <c r="A41" s="995" t="str" cm="1">
        <f t="array" aca="1" ref="A41" ca="1">INDEX( \reference_typeofgoods1, , 11)</f>
        <v>11. Electrical engineering (control cabinets, etc..)</v>
      </c>
      <c r="B41" s="455" t="str" cm="1">
        <f t="array" aca="1" ref="B41:B42" ca="1">\reference_Elektrotechnik_Schaltschraenke_etc</f>
        <v>Power equipment (switchboards, photovoltaics, etc.)</v>
      </c>
      <c r="C41" s="453" t="str">
        <f t="shared" ca="1" si="2"/>
        <v>Technical products with little to no moving parts, therefore tend to be very susceptible to breakage. Area of application Power generation and control.</v>
      </c>
      <c r="D41" s="452" t="str">
        <f t="shared" ca="1" si="3"/>
        <v>Switchboards, photovoltaics</v>
      </c>
      <c r="E41" s="455"/>
      <c r="F41" s="453" t="s">
        <v>2401</v>
      </c>
      <c r="G41" s="452" t="s">
        <v>2402</v>
      </c>
      <c r="H41" s="453" t="s">
        <v>2403</v>
      </c>
      <c r="I41" s="452" t="s">
        <v>2404</v>
      </c>
      <c r="J41" s="452"/>
    </row>
    <row r="42" spans="1:10" ht="29" x14ac:dyDescent="0.35">
      <c r="A42" s="997"/>
      <c r="B42" s="454" t="str">
        <f ca="1"/>
        <v>Motion technology (generators, electric motors, etc.)</v>
      </c>
      <c r="C42" s="451" t="str">
        <f t="shared" ca="1" si="2"/>
        <v>Technical products with many moving parts, tend to be shock resistant.</v>
      </c>
      <c r="D42" s="449" t="str">
        <f t="shared" ca="1" si="3"/>
        <v>Diesel generator, electric motor</v>
      </c>
      <c r="E42" s="454"/>
      <c r="F42" s="451" t="s">
        <v>2405</v>
      </c>
      <c r="G42" s="449" t="s">
        <v>2406</v>
      </c>
      <c r="H42" s="451" t="s">
        <v>2407</v>
      </c>
      <c r="I42" s="449" t="s">
        <v>2408</v>
      </c>
      <c r="J42" s="449"/>
    </row>
    <row r="43" spans="1:10" ht="29" x14ac:dyDescent="0.35">
      <c r="A43" s="991" t="str" cm="1">
        <f t="array" aca="1" ref="A43" ca="1">INDEX( \reference_typeofgoods1, , 12)</f>
        <v>12. Precision mechanics, optics</v>
      </c>
      <c r="B43" s="3" t="str" cm="1">
        <f t="array" aca="1" ref="B43:B45" ca="1">\reference_Feinmechanik_Optik</f>
        <v>Lenses and lens systems</v>
      </c>
      <c r="C43" s="2" t="str">
        <f t="shared" ca="1" si="2"/>
        <v>Optical magnification lens products</v>
      </c>
      <c r="D43" s="446" t="str">
        <f t="shared" ca="1" si="3"/>
        <v>Microscopes, binoculars, telescope, camera lenses</v>
      </c>
      <c r="E43" s="3"/>
      <c r="F43" s="446" t="s">
        <v>2409</v>
      </c>
      <c r="G43" s="2" t="s">
        <v>2410</v>
      </c>
      <c r="H43" s="446" t="s">
        <v>2411</v>
      </c>
      <c r="I43" s="2" t="s">
        <v>2412</v>
      </c>
      <c r="J43" s="2" t="s">
        <v>2035</v>
      </c>
    </row>
    <row r="44" spans="1:10" ht="58" x14ac:dyDescent="0.35">
      <c r="A44" s="992"/>
      <c r="B44" s="3" t="str">
        <f ca="1"/>
        <v>Measuring systems mechanical</v>
      </c>
      <c r="C44" s="446" t="str">
        <f t="shared" ca="1" si="2"/>
        <v>Measuring systems with moving parts whose measurement happens mechanically (independent of the result display.)</v>
      </c>
      <c r="D44" s="446" t="str">
        <f t="shared" ca="1" si="3"/>
        <v>Blood pressure monitor, (water) scale, compass, hygrometer, thermometer, folding rule</v>
      </c>
      <c r="E44" s="3"/>
      <c r="F44" s="446" t="s">
        <v>2413</v>
      </c>
      <c r="G44" s="2" t="s">
        <v>2414</v>
      </c>
      <c r="H44" s="446" t="s">
        <v>2415</v>
      </c>
      <c r="I44" s="446" t="s">
        <v>2416</v>
      </c>
      <c r="J44" s="2"/>
    </row>
    <row r="45" spans="1:10" ht="43.5" x14ac:dyDescent="0.35">
      <c r="A45" s="993"/>
      <c r="B45" s="456" t="str">
        <f ca="1"/>
        <v>Measuring systems electronically (e.g. GPS technology, satellites)</v>
      </c>
      <c r="C45" s="451" t="str">
        <f t="shared" ca="1" si="2"/>
        <v>Measuring systems without moving parts, whose measurement happens purely electronically.</v>
      </c>
      <c r="D45" s="451" t="str">
        <f t="shared" ca="1" si="3"/>
        <v>GPS technology, satellites, laser measuring instruments, voltage measuring instruments</v>
      </c>
      <c r="E45" s="456"/>
      <c r="F45" s="451" t="s">
        <v>2417</v>
      </c>
      <c r="G45" s="449" t="s">
        <v>2418</v>
      </c>
      <c r="H45" s="451" t="s">
        <v>2419</v>
      </c>
      <c r="I45" s="451" t="s">
        <v>2420</v>
      </c>
      <c r="J45" s="449"/>
    </row>
    <row r="46" spans="1:10" ht="43.5" x14ac:dyDescent="0.35">
      <c r="A46" s="490" t="str" cm="1">
        <f t="array" aca="1" ref="A46" ca="1">INDEX( \reference_typeofgoods1, , 13)</f>
        <v>13. mechanical engineering</v>
      </c>
      <c r="B46" s="454" t="str">
        <f ca="1">\reference_Maschinen_und_Anlagenbau</f>
        <v/>
      </c>
      <c r="C46" s="451" t="str">
        <f t="shared" ca="1" si="2"/>
        <v>In contrast to plant engineering, this involves more movable goods.</v>
      </c>
      <c r="D46" s="451" t="str">
        <f t="shared" ca="1" si="3"/>
        <v>Working machines, power machines, conveyors, sewing machine, gas turbine, MAN engines</v>
      </c>
      <c r="E46" s="454"/>
      <c r="F46" s="451" t="s">
        <v>2421</v>
      </c>
      <c r="G46" s="449" t="s">
        <v>2422</v>
      </c>
      <c r="H46" s="451" t="s">
        <v>2423</v>
      </c>
      <c r="I46" s="451" t="s">
        <v>2424</v>
      </c>
      <c r="J46" s="449"/>
    </row>
    <row r="47" spans="1:10" x14ac:dyDescent="0.35">
      <c r="A47" s="991" t="str" cm="1">
        <f t="array" aca="1" ref="A47" ca="1">INDEX( \reference_typeofgoods1, , 14)</f>
        <v>14. Military material / military technology / firearms</v>
      </c>
      <c r="B47" s="3" t="str" cm="1">
        <f t="array" aca="1" ref="B47:B49" ca="1">\reference_Militaerisches_Material_Wehrtechnik_Schusswaff</f>
        <v>Vehicles (water, land, air)</v>
      </c>
      <c r="C47" s="2" t="str">
        <f t="shared" ca="1" si="2"/>
        <v>Vehicles with military purpose</v>
      </c>
      <c r="D47" s="2" t="str">
        <f t="shared" ca="1" si="3"/>
        <v>Tank, submarine, helicopter, ships</v>
      </c>
      <c r="E47" s="3"/>
      <c r="F47" s="446" t="s">
        <v>2425</v>
      </c>
      <c r="G47" s="446" t="s">
        <v>2426</v>
      </c>
      <c r="H47" s="446" t="s">
        <v>2427</v>
      </c>
      <c r="I47" s="446" t="s">
        <v>2428</v>
      </c>
      <c r="J47" s="2"/>
    </row>
    <row r="48" spans="1:10" ht="29" x14ac:dyDescent="0.35">
      <c r="A48" s="992"/>
      <c r="B48" s="3" t="str">
        <f ca="1"/>
        <v>Equipment</v>
      </c>
      <c r="C48" s="446" t="str">
        <f t="shared" ca="1" si="2"/>
        <v>Consumer goods with a primarily military purpose</v>
      </c>
      <c r="D48" s="446" t="str">
        <f t="shared" ca="1" si="3"/>
        <v>Helmets, vests, weapons (without ammunition), boots, radios, radar</v>
      </c>
      <c r="E48" s="3"/>
      <c r="F48" s="446" t="s">
        <v>2429</v>
      </c>
      <c r="G48" s="446" t="s">
        <v>2430</v>
      </c>
      <c r="H48" s="446" t="s">
        <v>2431</v>
      </c>
      <c r="I48" s="446" t="s">
        <v>2432</v>
      </c>
      <c r="J48" s="2"/>
    </row>
    <row r="49" spans="1:10" ht="29" x14ac:dyDescent="0.35">
      <c r="A49" s="993"/>
      <c r="B49" s="454" t="str">
        <f ca="1"/>
        <v>Ammunition</v>
      </c>
      <c r="C49" s="451" t="str">
        <f t="shared" ca="1" si="2"/>
        <v>Consumables with explosive or kinetic destructive force</v>
      </c>
      <c r="D49" s="451" t="str">
        <f t="shared" ca="1" si="3"/>
        <v>Grenades, rockets, shells, mines, torpedoes</v>
      </c>
      <c r="E49" s="454"/>
      <c r="F49" s="451" t="s">
        <v>2433</v>
      </c>
      <c r="G49" s="449" t="s">
        <v>2434</v>
      </c>
      <c r="H49" s="451" t="s">
        <v>2435</v>
      </c>
      <c r="I49" s="449" t="s">
        <v>2436</v>
      </c>
      <c r="J49" s="449"/>
    </row>
    <row r="50" spans="1:10" x14ac:dyDescent="0.35">
      <c r="A50" s="490" t="str" cm="1">
        <f t="array" aca="1" ref="A50" ca="1">INDEX( \reference_typeofgoods1, , 15)</f>
        <v>15. paper, printed products</v>
      </c>
      <c r="B50" s="454" t="str">
        <f ca="1">\reference_Papier_Druckerzeugnisse</f>
        <v/>
      </c>
      <c r="C50" s="451" t="str">
        <f t="shared" ca="1" si="2"/>
        <v>Products that come from a printing plant.</v>
      </c>
      <c r="D50" s="451" t="str">
        <f t="shared" ca="1" si="3"/>
        <v>Stacks of papers, books, newspapers</v>
      </c>
      <c r="E50" s="454"/>
      <c r="F50" s="451" t="s">
        <v>2437</v>
      </c>
      <c r="G50" s="451" t="s">
        <v>2438</v>
      </c>
      <c r="H50" s="451" t="s">
        <v>2439</v>
      </c>
      <c r="I50" s="451" t="s">
        <v>2440</v>
      </c>
      <c r="J50" s="449"/>
    </row>
    <row r="51" spans="1:10" x14ac:dyDescent="0.35">
      <c r="A51" s="489" t="str" cm="1">
        <f t="array" aca="1" ref="A51" ca="1">INDEX( \reference_typeofgoods1, , 16)</f>
        <v>16. shipbuilding, aircraft, rail (vehicles excl. automotive)</v>
      </c>
      <c r="B51" s="454" t="str">
        <f ca="1">\reference_Schiffs_Luft_Schienenbau_Fahrzeuge_excl_Automo</f>
        <v/>
      </c>
      <c r="C51" s="454" t="str">
        <f t="shared" ca="1" si="2"/>
        <v/>
      </c>
      <c r="D51" s="454" t="str">
        <f t="shared" ca="1" si="3"/>
        <v>Ship, airplane, streetcar, lockomotive</v>
      </c>
      <c r="E51" s="454"/>
      <c r="F51" s="449"/>
      <c r="G51" s="451" t="s">
        <v>2441</v>
      </c>
      <c r="H51" s="449"/>
      <c r="I51" s="451" t="s">
        <v>2442</v>
      </c>
      <c r="J51" s="449"/>
    </row>
    <row r="52" spans="1:10" ht="43.5" x14ac:dyDescent="0.35">
      <c r="A52" s="490" t="str" cm="1">
        <f t="array" aca="1" ref="A52" ca="1">INDEX( \reference_typeofgoods1, , 17)</f>
        <v>17. technical components</v>
      </c>
      <c r="B52" s="454" t="str">
        <f ca="1">\reference_Technische_Komponenten</f>
        <v/>
      </c>
      <c r="C52" s="451" t="str">
        <f t="shared" ca="1" si="2"/>
        <v>Goods that by themselves do not constitute a technical device, but only after assembly.</v>
      </c>
      <c r="D52" s="451" t="str">
        <f t="shared" ca="1" si="3"/>
        <v>Processors, hard disks, circuits for installation</v>
      </c>
      <c r="E52" s="454"/>
      <c r="F52" s="451" t="s">
        <v>2443</v>
      </c>
      <c r="G52" s="449" t="s">
        <v>2444</v>
      </c>
      <c r="H52" s="451" t="s">
        <v>2445</v>
      </c>
      <c r="I52" s="449" t="s">
        <v>2446</v>
      </c>
      <c r="J52" s="449"/>
    </row>
    <row r="53" spans="1:10" ht="29" x14ac:dyDescent="0.35">
      <c r="A53" s="489" t="str" cm="1">
        <f t="array" aca="1" ref="A53" ca="1">INDEX( \reference_typeofgoods1, , 18)</f>
        <v>18. textiles, leather, clothing, footwear</v>
      </c>
      <c r="B53" s="454" t="str">
        <f ca="1">\reference_Textilien_Leder_Bekleidung_Schuhe</f>
        <v/>
      </c>
      <c r="C53" s="451" t="str">
        <f t="shared" ca="1" si="2"/>
        <v>Largely finished goods; shortly before or already in final sale</v>
      </c>
      <c r="D53" s="449" t="str">
        <f t="shared" ca="1" si="3"/>
        <v>Jackets, T-shirts</v>
      </c>
      <c r="E53" s="454"/>
      <c r="F53" s="451" t="s">
        <v>2447</v>
      </c>
      <c r="G53" s="449" t="s">
        <v>2448</v>
      </c>
      <c r="H53" s="451" t="s">
        <v>2449</v>
      </c>
      <c r="I53" s="449" t="s">
        <v>2450</v>
      </c>
      <c r="J53" s="449" t="s">
        <v>2036</v>
      </c>
    </row>
    <row r="54" spans="1:10" ht="43.5" x14ac:dyDescent="0.35">
      <c r="A54" s="487" t="str" cm="1">
        <f t="array" aca="1" ref="A54" ca="1">INDEX( \reference_typeofgoods1, , 19)</f>
        <v>19. cables &amp; ropes (submarine cables, suspension cables for bridges, tension cables)</v>
      </c>
      <c r="B54" s="3" t="str">
        <f ca="1">\reference_Kabel_Seile_Seekabel_Tragseile_fuer_Bruecken_S</f>
        <v/>
      </c>
      <c r="C54" s="446" t="str">
        <f t="shared" ca="1" si="2"/>
        <v>Industrial cables both for mechanical use (suspension cables) and communication sector (overhead line).</v>
      </c>
      <c r="D54" s="446" t="str">
        <f t="shared" ca="1" si="3"/>
        <v>Submarine cables, suspension cables for bridges, tension cables, overhead lines</v>
      </c>
      <c r="E54" s="3"/>
      <c r="F54" s="446" t="s">
        <v>2451</v>
      </c>
      <c r="G54" s="2" t="s">
        <v>2452</v>
      </c>
      <c r="H54" s="446" t="s">
        <v>2453</v>
      </c>
      <c r="I54" s="2" t="s">
        <v>2454</v>
      </c>
      <c r="J54" s="2" t="s">
        <v>2037</v>
      </c>
    </row>
  </sheetData>
  <mergeCells count="33">
    <mergeCell ref="C4:C7"/>
    <mergeCell ref="D4:D7"/>
    <mergeCell ref="C17:C18"/>
    <mergeCell ref="C23:C24"/>
    <mergeCell ref="D23:D24"/>
    <mergeCell ref="J17:J18"/>
    <mergeCell ref="F23:F24"/>
    <mergeCell ref="G23:G24"/>
    <mergeCell ref="G26:G27"/>
    <mergeCell ref="F4:F7"/>
    <mergeCell ref="G4:G7"/>
    <mergeCell ref="F8:F15"/>
    <mergeCell ref="F17:F18"/>
    <mergeCell ref="H4:H7"/>
    <mergeCell ref="I4:I7"/>
    <mergeCell ref="I26:I27"/>
    <mergeCell ref="I23:I24"/>
    <mergeCell ref="A4:A7"/>
    <mergeCell ref="A8:A18"/>
    <mergeCell ref="A19:A22"/>
    <mergeCell ref="A23:A27"/>
    <mergeCell ref="A28:A31"/>
    <mergeCell ref="A47:A49"/>
    <mergeCell ref="H8:H15"/>
    <mergeCell ref="H17:H18"/>
    <mergeCell ref="H23:H24"/>
    <mergeCell ref="A32:A33"/>
    <mergeCell ref="A34:A38"/>
    <mergeCell ref="A39:A40"/>
    <mergeCell ref="A41:A42"/>
    <mergeCell ref="A43:A45"/>
    <mergeCell ref="C8:C15"/>
    <mergeCell ref="D26:D2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EBF72-91A0-4A72-936A-394E3CE57EE6}">
  <sheetPr codeName="Sheet5"/>
  <dimension ref="A1:S237"/>
  <sheetViews>
    <sheetView topLeftCell="A27" workbookViewId="0">
      <selection activeCell="A37" sqref="A37"/>
    </sheetView>
  </sheetViews>
  <sheetFormatPr baseColWidth="10" defaultColWidth="9.1796875" defaultRowHeight="14.5" x14ac:dyDescent="0.35"/>
  <cols>
    <col min="1" max="1" width="32.26953125" bestFit="1" customWidth="1"/>
    <col min="2" max="2" width="35.7265625" bestFit="1" customWidth="1"/>
    <col min="3" max="3" width="15.81640625" customWidth="1"/>
    <col min="4" max="4" width="20.1796875" customWidth="1"/>
    <col min="5" max="5" width="23.54296875" bestFit="1" customWidth="1"/>
    <col min="6" max="6" width="23.7265625" customWidth="1"/>
    <col min="7" max="7" width="26.26953125" customWidth="1"/>
    <col min="8" max="8" width="29" customWidth="1"/>
    <col min="9" max="9" width="34.26953125" bestFit="1" customWidth="1"/>
    <col min="10" max="10" width="33.453125" bestFit="1" customWidth="1"/>
    <col min="11" max="11" width="41.1796875" bestFit="1" customWidth="1"/>
    <col min="12" max="12" width="62.453125" bestFit="1" customWidth="1"/>
    <col min="13" max="13" width="23.7265625" bestFit="1" customWidth="1"/>
    <col min="14" max="14" width="25.1796875" bestFit="1" customWidth="1"/>
    <col min="15" max="15" width="14.7265625" bestFit="1" customWidth="1"/>
    <col min="16" max="16" width="25" bestFit="1" customWidth="1"/>
    <col min="17" max="17" width="12.26953125" bestFit="1" customWidth="1"/>
    <col min="18" max="18" width="16.54296875" bestFit="1" customWidth="1"/>
    <col min="19" max="19" width="36" customWidth="1"/>
  </cols>
  <sheetData>
    <row r="1" spans="1:19" ht="24" thickBot="1" x14ac:dyDescent="0.4">
      <c r="A1" s="471" t="s">
        <v>372</v>
      </c>
    </row>
    <row r="2" spans="1:19" ht="26.5" thickBot="1" x14ac:dyDescent="0.4">
      <c r="A2" s="472" t="s">
        <v>850</v>
      </c>
      <c r="B2" s="473" t="s">
        <v>863</v>
      </c>
      <c r="C2" s="473" t="s">
        <v>875</v>
      </c>
      <c r="D2" s="473" t="s">
        <v>918</v>
      </c>
      <c r="E2" s="473" t="s">
        <v>1008</v>
      </c>
      <c r="F2" s="473" t="s">
        <v>1036</v>
      </c>
      <c r="G2" s="473" t="s">
        <v>1074</v>
      </c>
      <c r="H2" s="473" t="s">
        <v>1104</v>
      </c>
      <c r="I2" s="473" t="s">
        <v>1120</v>
      </c>
      <c r="J2" s="473" t="s">
        <v>1156</v>
      </c>
      <c r="K2" s="473" t="s">
        <v>1169</v>
      </c>
      <c r="L2" s="473" t="s">
        <v>1186</v>
      </c>
      <c r="M2" s="473" t="s">
        <v>1207</v>
      </c>
      <c r="N2" s="473" t="s">
        <v>1213</v>
      </c>
      <c r="O2" s="473" t="s">
        <v>1230</v>
      </c>
      <c r="P2" s="473" t="s">
        <v>1239</v>
      </c>
      <c r="Q2" s="473" t="s">
        <v>1247</v>
      </c>
      <c r="R2" s="473" t="s">
        <v>1255</v>
      </c>
      <c r="S2" s="474" t="s">
        <v>1263</v>
      </c>
    </row>
    <row r="3" spans="1:19" ht="15.5" thickTop="1" thickBot="1" x14ac:dyDescent="0.4">
      <c r="A3" s="475"/>
      <c r="B3" s="284"/>
      <c r="C3" s="285" t="s">
        <v>876</v>
      </c>
      <c r="D3" s="285" t="s">
        <v>919</v>
      </c>
      <c r="E3" s="285" t="s">
        <v>1009</v>
      </c>
      <c r="F3" s="286" t="s">
        <v>1037</v>
      </c>
      <c r="G3" s="287" t="s">
        <v>1075</v>
      </c>
      <c r="H3" s="287" t="s">
        <v>1105</v>
      </c>
      <c r="I3" s="287" t="s">
        <v>1121</v>
      </c>
      <c r="J3" s="287" t="s">
        <v>1157</v>
      </c>
      <c r="K3" s="287" t="s">
        <v>1170</v>
      </c>
      <c r="L3" s="287" t="s">
        <v>1187</v>
      </c>
      <c r="M3" s="288"/>
      <c r="N3" s="287" t="s">
        <v>1214</v>
      </c>
      <c r="O3" s="288" t="s">
        <v>2455</v>
      </c>
      <c r="P3" s="288" t="s">
        <v>2455</v>
      </c>
      <c r="Q3" s="288" t="s">
        <v>2455</v>
      </c>
      <c r="R3" s="288" t="s">
        <v>2455</v>
      </c>
      <c r="S3" s="476"/>
    </row>
    <row r="4" spans="1:19" ht="15.5" thickTop="1" thickBot="1" x14ac:dyDescent="0.4">
      <c r="A4" s="477"/>
      <c r="C4" s="290" t="s">
        <v>888</v>
      </c>
      <c r="D4" s="290" t="s">
        <v>927</v>
      </c>
      <c r="E4" s="290" t="s">
        <v>1016</v>
      </c>
      <c r="F4" s="291" t="s">
        <v>1045</v>
      </c>
      <c r="G4" s="292" t="s">
        <v>1084</v>
      </c>
      <c r="H4" s="293" t="s">
        <v>1113</v>
      </c>
      <c r="I4" s="291" t="s">
        <v>1127</v>
      </c>
      <c r="J4" s="293" t="s">
        <v>1163</v>
      </c>
      <c r="K4" s="293" t="s">
        <v>1179</v>
      </c>
      <c r="L4" s="291" t="s">
        <v>1193</v>
      </c>
      <c r="N4" s="291" t="s">
        <v>1220</v>
      </c>
      <c r="S4" s="478"/>
    </row>
    <row r="5" spans="1:19" ht="15.5" thickTop="1" thickBot="1" x14ac:dyDescent="0.4">
      <c r="A5" s="477"/>
      <c r="C5" s="290" t="s">
        <v>899</v>
      </c>
      <c r="D5" s="290" t="s">
        <v>938</v>
      </c>
      <c r="E5" s="290" t="s">
        <v>1022</v>
      </c>
      <c r="F5" s="291" t="s">
        <v>1052</v>
      </c>
      <c r="G5" s="292" t="s">
        <v>1092</v>
      </c>
      <c r="I5" s="291" t="s">
        <v>1135</v>
      </c>
      <c r="L5" s="295" t="s">
        <v>1201</v>
      </c>
      <c r="N5" s="295" t="s">
        <v>1225</v>
      </c>
      <c r="S5" s="478"/>
    </row>
    <row r="6" spans="1:19" ht="15.5" thickTop="1" thickBot="1" x14ac:dyDescent="0.4">
      <c r="A6" s="477"/>
      <c r="C6" s="297" t="s">
        <v>909</v>
      </c>
      <c r="D6" s="290" t="s">
        <v>947</v>
      </c>
      <c r="E6" s="297" t="s">
        <v>1029</v>
      </c>
      <c r="F6" s="291" t="s">
        <v>1058</v>
      </c>
      <c r="G6" s="293" t="s">
        <v>1098</v>
      </c>
      <c r="I6" s="291" t="s">
        <v>1143</v>
      </c>
      <c r="S6" s="478"/>
    </row>
    <row r="7" spans="1:19" ht="15.5" thickTop="1" thickBot="1" x14ac:dyDescent="0.4">
      <c r="A7" s="477"/>
      <c r="D7" s="291" t="s">
        <v>957</v>
      </c>
      <c r="F7" s="295" t="s">
        <v>1066</v>
      </c>
      <c r="I7" s="295" t="s">
        <v>1149</v>
      </c>
      <c r="S7" s="478"/>
    </row>
    <row r="8" spans="1:19" ht="15" thickTop="1" x14ac:dyDescent="0.35">
      <c r="A8" s="477"/>
      <c r="D8" s="291" t="s">
        <v>966</v>
      </c>
      <c r="S8" s="478"/>
    </row>
    <row r="9" spans="1:19" x14ac:dyDescent="0.35">
      <c r="A9" s="477"/>
      <c r="D9" s="291" t="s">
        <v>973</v>
      </c>
      <c r="S9" s="478"/>
    </row>
    <row r="10" spans="1:19" x14ac:dyDescent="0.35">
      <c r="A10" s="477"/>
      <c r="D10" s="291" t="s">
        <v>982</v>
      </c>
      <c r="S10" s="478"/>
    </row>
    <row r="11" spans="1:19" x14ac:dyDescent="0.35">
      <c r="A11" s="477"/>
      <c r="D11" s="291" t="s">
        <v>990</v>
      </c>
      <c r="S11" s="478"/>
    </row>
    <row r="12" spans="1:19" x14ac:dyDescent="0.35">
      <c r="A12" s="477"/>
      <c r="D12" s="291" t="s">
        <v>996</v>
      </c>
      <c r="S12" s="478"/>
    </row>
    <row r="13" spans="1:19" ht="15" thickBot="1" x14ac:dyDescent="0.4">
      <c r="A13" s="226"/>
      <c r="B13" s="479"/>
      <c r="C13" s="479"/>
      <c r="D13" s="480" t="s">
        <v>1002</v>
      </c>
      <c r="E13" s="479"/>
      <c r="F13" s="479"/>
      <c r="G13" s="479"/>
      <c r="H13" s="479"/>
      <c r="I13" s="479"/>
      <c r="J13" s="479"/>
      <c r="K13" s="479"/>
      <c r="L13" s="479"/>
      <c r="M13" s="479"/>
      <c r="N13" s="479"/>
      <c r="O13" s="479"/>
      <c r="P13" s="479"/>
      <c r="Q13" s="479"/>
      <c r="R13" s="479"/>
      <c r="S13" s="481"/>
    </row>
    <row r="15" spans="1:19" ht="24" thickBot="1" x14ac:dyDescent="0.4">
      <c r="A15" s="471" t="s">
        <v>378</v>
      </c>
    </row>
    <row r="16" spans="1:19" ht="26.5" thickBot="1" x14ac:dyDescent="0.4">
      <c r="A16" s="472" t="s">
        <v>2456</v>
      </c>
      <c r="B16" s="473" t="s">
        <v>2457</v>
      </c>
      <c r="C16" s="473" t="s">
        <v>2458</v>
      </c>
      <c r="D16" s="473" t="s">
        <v>2459</v>
      </c>
      <c r="E16" s="473" t="s">
        <v>2460</v>
      </c>
      <c r="F16" s="473" t="s">
        <v>2461</v>
      </c>
      <c r="G16" s="473" t="s">
        <v>2462</v>
      </c>
      <c r="H16" s="473" t="s">
        <v>2463</v>
      </c>
      <c r="I16" s="473" t="s">
        <v>2464</v>
      </c>
      <c r="J16" s="473" t="s">
        <v>2465</v>
      </c>
      <c r="K16" s="473" t="s">
        <v>2466</v>
      </c>
      <c r="L16" s="473" t="s">
        <v>2467</v>
      </c>
      <c r="M16" s="473" t="s">
        <v>2468</v>
      </c>
      <c r="N16" s="473" t="s">
        <v>2469</v>
      </c>
      <c r="O16" s="473" t="s">
        <v>2470</v>
      </c>
      <c r="P16" s="473" t="s">
        <v>2471</v>
      </c>
      <c r="Q16" s="473" t="s">
        <v>2472</v>
      </c>
      <c r="R16" s="473" t="s">
        <v>2473</v>
      </c>
      <c r="S16" s="474" t="s">
        <v>2474</v>
      </c>
    </row>
    <row r="17" spans="1:19" ht="15.5" thickTop="1" thickBot="1" x14ac:dyDescent="0.4">
      <c r="A17" s="475"/>
      <c r="B17" s="284"/>
      <c r="C17" s="285" t="s">
        <v>2475</v>
      </c>
      <c r="D17" s="285" t="s">
        <v>2476</v>
      </c>
      <c r="E17" s="285" t="s">
        <v>2477</v>
      </c>
      <c r="F17" s="286" t="s">
        <v>2478</v>
      </c>
      <c r="G17" s="287" t="s">
        <v>2479</v>
      </c>
      <c r="H17" s="287" t="s">
        <v>2480</v>
      </c>
      <c r="I17" s="287" t="s">
        <v>2481</v>
      </c>
      <c r="J17" s="287" t="s">
        <v>2482</v>
      </c>
      <c r="K17" s="287" t="s">
        <v>2483</v>
      </c>
      <c r="L17" s="287" t="s">
        <v>2484</v>
      </c>
      <c r="M17" s="288"/>
      <c r="N17" s="287" t="s">
        <v>2485</v>
      </c>
      <c r="O17" s="288" t="s">
        <v>2455</v>
      </c>
      <c r="P17" s="288" t="s">
        <v>2455</v>
      </c>
      <c r="Q17" s="288" t="s">
        <v>2455</v>
      </c>
      <c r="R17" s="288" t="s">
        <v>2455</v>
      </c>
      <c r="S17" s="476"/>
    </row>
    <row r="18" spans="1:19" ht="15.5" thickTop="1" thickBot="1" x14ac:dyDescent="0.4">
      <c r="A18" s="477"/>
      <c r="C18" s="290" t="s">
        <v>2486</v>
      </c>
      <c r="D18" s="290" t="s">
        <v>2487</v>
      </c>
      <c r="E18" s="290" t="s">
        <v>2488</v>
      </c>
      <c r="F18" s="291" t="s">
        <v>2489</v>
      </c>
      <c r="G18" s="292" t="s">
        <v>2490</v>
      </c>
      <c r="H18" s="293" t="s">
        <v>2491</v>
      </c>
      <c r="I18" s="291" t="s">
        <v>2492</v>
      </c>
      <c r="J18" s="293" t="s">
        <v>2493</v>
      </c>
      <c r="K18" s="293" t="s">
        <v>2494</v>
      </c>
      <c r="L18" s="292" t="s">
        <v>2495</v>
      </c>
      <c r="N18" s="291" t="s">
        <v>2496</v>
      </c>
      <c r="S18" s="478"/>
    </row>
    <row r="19" spans="1:19" ht="15.5" thickTop="1" thickBot="1" x14ac:dyDescent="0.4">
      <c r="A19" s="477"/>
      <c r="C19" s="290" t="s">
        <v>2497</v>
      </c>
      <c r="D19" s="290" t="s">
        <v>2498</v>
      </c>
      <c r="E19" s="290" t="s">
        <v>2499</v>
      </c>
      <c r="F19" s="291" t="s">
        <v>2500</v>
      </c>
      <c r="G19" s="292" t="s">
        <v>2501</v>
      </c>
      <c r="I19" s="291" t="s">
        <v>2502</v>
      </c>
      <c r="L19" s="295" t="s">
        <v>2503</v>
      </c>
      <c r="N19" s="295" t="s">
        <v>2504</v>
      </c>
      <c r="S19" s="478"/>
    </row>
    <row r="20" spans="1:19" ht="15.5" thickTop="1" thickBot="1" x14ac:dyDescent="0.4">
      <c r="A20" s="477"/>
      <c r="C20" s="297" t="s">
        <v>2505</v>
      </c>
      <c r="D20" s="290" t="s">
        <v>2506</v>
      </c>
      <c r="E20" s="297" t="s">
        <v>2507</v>
      </c>
      <c r="F20" s="291" t="s">
        <v>2508</v>
      </c>
      <c r="G20" s="293" t="s">
        <v>2509</v>
      </c>
      <c r="I20" s="291" t="s">
        <v>2510</v>
      </c>
      <c r="S20" s="478"/>
    </row>
    <row r="21" spans="1:19" ht="15.5" thickTop="1" thickBot="1" x14ac:dyDescent="0.4">
      <c r="A21" s="477"/>
      <c r="D21" s="291" t="s">
        <v>2511</v>
      </c>
      <c r="F21" s="295" t="s">
        <v>2512</v>
      </c>
      <c r="I21" s="295" t="s">
        <v>2513</v>
      </c>
      <c r="S21" s="478"/>
    </row>
    <row r="22" spans="1:19" ht="15" thickTop="1" x14ac:dyDescent="0.35">
      <c r="A22" s="477"/>
      <c r="D22" s="291" t="s">
        <v>2514</v>
      </c>
      <c r="S22" s="478"/>
    </row>
    <row r="23" spans="1:19" x14ac:dyDescent="0.35">
      <c r="A23" s="477"/>
      <c r="D23" s="291" t="s">
        <v>2515</v>
      </c>
      <c r="S23" s="478"/>
    </row>
    <row r="24" spans="1:19" x14ac:dyDescent="0.35">
      <c r="A24" s="477"/>
      <c r="D24" s="291" t="s">
        <v>2516</v>
      </c>
      <c r="S24" s="478"/>
    </row>
    <row r="25" spans="1:19" x14ac:dyDescent="0.35">
      <c r="A25" s="477"/>
      <c r="D25" s="291" t="s">
        <v>2517</v>
      </c>
      <c r="S25" s="478"/>
    </row>
    <row r="26" spans="1:19" x14ac:dyDescent="0.35">
      <c r="A26" s="477"/>
      <c r="D26" s="291" t="s">
        <v>2518</v>
      </c>
      <c r="S26" s="478"/>
    </row>
    <row r="27" spans="1:19" ht="15" thickBot="1" x14ac:dyDescent="0.4">
      <c r="A27" s="226"/>
      <c r="B27" s="479"/>
      <c r="C27" s="479"/>
      <c r="D27" s="480" t="s">
        <v>2519</v>
      </c>
      <c r="E27" s="479"/>
      <c r="F27" s="479"/>
      <c r="G27" s="479"/>
      <c r="H27" s="479"/>
      <c r="I27" s="479"/>
      <c r="J27" s="479"/>
      <c r="K27" s="479"/>
      <c r="L27" s="479"/>
      <c r="M27" s="479"/>
      <c r="N27" s="479"/>
      <c r="O27" s="479"/>
      <c r="P27" s="479"/>
      <c r="Q27" s="479"/>
      <c r="R27" s="479"/>
      <c r="S27" s="481"/>
    </row>
    <row r="29" spans="1:19" x14ac:dyDescent="0.35">
      <c r="A29" t="s">
        <v>2520</v>
      </c>
      <c r="B29" t="s">
        <v>2521</v>
      </c>
      <c r="C29" t="s">
        <v>832</v>
      </c>
      <c r="D29" t="s">
        <v>2522</v>
      </c>
      <c r="E29" t="s">
        <v>2523</v>
      </c>
      <c r="F29" t="s">
        <v>2524</v>
      </c>
      <c r="G29" t="s">
        <v>2525</v>
      </c>
      <c r="H29" t="s">
        <v>2526</v>
      </c>
    </row>
    <row r="30" spans="1:19" x14ac:dyDescent="0.35">
      <c r="A30" t="s">
        <v>846</v>
      </c>
      <c r="B30" t="s">
        <v>846</v>
      </c>
      <c r="C30" t="s">
        <v>846</v>
      </c>
      <c r="D30" t="s">
        <v>845</v>
      </c>
      <c r="E30" t="s">
        <v>845</v>
      </c>
      <c r="F30" t="s">
        <v>845</v>
      </c>
      <c r="G30" t="s">
        <v>845</v>
      </c>
      <c r="H30" t="s">
        <v>845</v>
      </c>
    </row>
    <row r="31" spans="1:19" x14ac:dyDescent="0.35">
      <c r="A31" t="str">
        <f>\selected_typeofgoods_Class1</f>
        <v>5. Building materials / Building elements</v>
      </c>
      <c r="B31" t="str">
        <f>\selected_typeofgoods_SClass1</f>
        <v>Organic</v>
      </c>
      <c r="C31" t="s">
        <v>378</v>
      </c>
      <c r="D31">
        <f>VLOOKUP(C31, \parameter_language_offsets, 2, 0)</f>
        <v>14</v>
      </c>
      <c r="E31">
        <f ca="1">MATCH(A31, OFFSET($A$2, $D$31, 0, 1, 19), 0)</f>
        <v>5</v>
      </c>
      <c r="F31">
        <f ca="1">MATCH( B31, OFFSET($A$2, $D$31, E31-1, 12, 1), 0 )</f>
        <v>2</v>
      </c>
      <c r="G31" t="str">
        <f ca="1">IFERROR( OFFSET($A$2, 0, E31-1), "")</f>
        <v>5. Baustoffe / Bauelemente</v>
      </c>
      <c r="H31" t="str">
        <f ca="1" xml:space="preserve"> IFERROR(OFFSET($A$2, F31-1, E31-1), "")</f>
        <v>Organische</v>
      </c>
    </row>
    <row r="32" spans="1:19" x14ac:dyDescent="0.35">
      <c r="A32">
        <f>\selected_typeofgoods_Class2</f>
        <v>0</v>
      </c>
      <c r="B32">
        <f>\selected_typeofgoods_SClass2</f>
        <v>0</v>
      </c>
      <c r="E32" t="e">
        <f t="shared" ref="E32:E33" ca="1" si="0">MATCH(A32, OFFSET($A$2, $D$31, 0, 1, 19), 0)</f>
        <v>#N/A</v>
      </c>
      <c r="F32" t="e">
        <f t="shared" ref="F32:F33" ca="1" si="1">MATCH( B32, OFFSET($A$2, $D$31, E32-1, 12, 1), 0 )</f>
        <v>#N/A</v>
      </c>
      <c r="G32" t="str">
        <f t="shared" ref="G32:G33" ca="1" si="2">IFERROR( OFFSET($A$2, 0, E32-1), "")</f>
        <v/>
      </c>
      <c r="H32" t="str">
        <f t="shared" ref="H32:H33" ca="1" si="3" xml:space="preserve"> IFERROR(OFFSET($A$2, F32-1, E32-1), "")</f>
        <v/>
      </c>
    </row>
    <row r="33" spans="1:8" x14ac:dyDescent="0.35">
      <c r="A33">
        <f>\selected_typeofgoods_Class3</f>
        <v>0</v>
      </c>
      <c r="B33">
        <f>\selected_typeofgoods_SClass3</f>
        <v>0</v>
      </c>
      <c r="E33" t="e">
        <f t="shared" ca="1" si="0"/>
        <v>#N/A</v>
      </c>
      <c r="F33" t="e">
        <f t="shared" ca="1" si="1"/>
        <v>#N/A</v>
      </c>
      <c r="G33" t="str">
        <f t="shared" ca="1" si="2"/>
        <v/>
      </c>
      <c r="H33" t="str">
        <f t="shared" ca="1" si="3"/>
        <v/>
      </c>
    </row>
    <row r="35" spans="1:8" x14ac:dyDescent="0.35">
      <c r="A35" t="s">
        <v>832</v>
      </c>
      <c r="B35" t="s">
        <v>2527</v>
      </c>
      <c r="C35" t="s">
        <v>2528</v>
      </c>
      <c r="D35" t="s">
        <v>2529</v>
      </c>
    </row>
    <row r="36" spans="1:8" x14ac:dyDescent="0.35">
      <c r="A36" t="s">
        <v>846</v>
      </c>
      <c r="B36" t="s">
        <v>845</v>
      </c>
      <c r="C36" t="s">
        <v>845</v>
      </c>
      <c r="D36" t="s">
        <v>845</v>
      </c>
    </row>
    <row r="37" spans="1:8" x14ac:dyDescent="0.35">
      <c r="A37" t="s">
        <v>378</v>
      </c>
      <c r="B37">
        <f>VLOOKUP(A37, \parameter_language_offsets, 3, 0)</f>
        <v>1</v>
      </c>
      <c r="C37">
        <f>MAX( INDEX( \parameter_language_offsets, , 3) )</f>
        <v>1</v>
      </c>
      <c r="D37">
        <f>COUNTA( INDEX(\parameter_geoscope_countrynames, 1, ) )</f>
        <v>3</v>
      </c>
      <c r="F37" t="str" cm="1">
        <f t="array" ref="F37:H37" xml:space="preserve"> INDEX(\parameter_geoscope_countrynames, 1, )</f>
        <v>Ägypten</v>
      </c>
      <c r="G37" t="str">
        <v>Egypt</v>
      </c>
      <c r="H37" t="str">
        <v>Africa-North</v>
      </c>
    </row>
    <row r="39" spans="1:8" x14ac:dyDescent="0.35">
      <c r="A39" t="s">
        <v>2530</v>
      </c>
      <c r="B39" t="s">
        <v>2531</v>
      </c>
      <c r="D39" t="s">
        <v>2532</v>
      </c>
    </row>
    <row r="40" spans="1:8" x14ac:dyDescent="0.35">
      <c r="A40" t="s">
        <v>846</v>
      </c>
      <c r="B40" t="s">
        <v>845</v>
      </c>
      <c r="D40" t="s">
        <v>845</v>
      </c>
    </row>
    <row r="41" spans="1:8" x14ac:dyDescent="0.35">
      <c r="A41" t="str">
        <f xml:space="preserve"> \geographicalScope_Input</f>
        <v>Afghanistan</v>
      </c>
      <c r="B41" t="str">
        <f ca="1">VLOOKUP( A41, OFFSET( INDEX(\parameter_geoscope_countrynames, , D37), , , , -2 - C37 + B37), 2 + C37 - B37, 0)</f>
        <v>Asia-Asia</v>
      </c>
      <c r="D41" t="str" cm="1">
        <f t="array" ref="D41:D237" xml:space="preserve"> _xlfn._xlws.SORT( INDEX(\parameter_geoscope_countrynames, , 1 + Language!$B$37 ) )</f>
        <v>Afghanistan</v>
      </c>
    </row>
    <row r="42" spans="1:8" x14ac:dyDescent="0.35">
      <c r="D42" t="str">
        <v>Albania</v>
      </c>
    </row>
    <row r="43" spans="1:8" x14ac:dyDescent="0.35">
      <c r="D43" t="str">
        <v>Algeria</v>
      </c>
    </row>
    <row r="44" spans="1:8" x14ac:dyDescent="0.35">
      <c r="D44" t="str">
        <v>Andorra</v>
      </c>
    </row>
    <row r="45" spans="1:8" x14ac:dyDescent="0.35">
      <c r="D45" t="str">
        <v>Angola</v>
      </c>
    </row>
    <row r="46" spans="1:8" x14ac:dyDescent="0.35">
      <c r="D46" t="str">
        <v>Antigua and Barbuda</v>
      </c>
    </row>
    <row r="47" spans="1:8" x14ac:dyDescent="0.35">
      <c r="D47" t="str">
        <v>Argentina</v>
      </c>
    </row>
    <row r="48" spans="1:8" x14ac:dyDescent="0.35">
      <c r="D48" t="str">
        <v>Armenia</v>
      </c>
    </row>
    <row r="49" spans="4:4" x14ac:dyDescent="0.35">
      <c r="D49" t="str">
        <v>Aruba</v>
      </c>
    </row>
    <row r="50" spans="4:4" ht="15.65" customHeight="1" x14ac:dyDescent="0.35">
      <c r="D50" t="str">
        <v>Australia</v>
      </c>
    </row>
    <row r="51" spans="4:4" x14ac:dyDescent="0.35">
      <c r="D51" t="str">
        <v>Austria</v>
      </c>
    </row>
    <row r="52" spans="4:4" x14ac:dyDescent="0.35">
      <c r="D52" t="str">
        <v>Azerbaijan</v>
      </c>
    </row>
    <row r="53" spans="4:4" x14ac:dyDescent="0.35">
      <c r="D53" t="str">
        <v>Bahamas</v>
      </c>
    </row>
    <row r="54" spans="4:4" x14ac:dyDescent="0.35">
      <c r="D54" t="str">
        <v>Bahrain</v>
      </c>
    </row>
    <row r="55" spans="4:4" x14ac:dyDescent="0.35">
      <c r="D55" t="str">
        <v>Bangladesh</v>
      </c>
    </row>
    <row r="56" spans="4:4" x14ac:dyDescent="0.35">
      <c r="D56" t="str">
        <v>Barbados</v>
      </c>
    </row>
    <row r="57" spans="4:4" x14ac:dyDescent="0.35">
      <c r="D57" t="str">
        <v>Belarus</v>
      </c>
    </row>
    <row r="58" spans="4:4" x14ac:dyDescent="0.35">
      <c r="D58" t="str">
        <v>Belgium</v>
      </c>
    </row>
    <row r="59" spans="4:4" x14ac:dyDescent="0.35">
      <c r="D59" t="str">
        <v>Belize</v>
      </c>
    </row>
    <row r="60" spans="4:4" x14ac:dyDescent="0.35">
      <c r="D60" t="str">
        <v>Benin</v>
      </c>
    </row>
    <row r="61" spans="4:4" x14ac:dyDescent="0.35">
      <c r="D61" t="str">
        <v>Bhutan</v>
      </c>
    </row>
    <row r="62" spans="4:4" x14ac:dyDescent="0.35">
      <c r="D62" t="str">
        <v>Bolivia</v>
      </c>
    </row>
    <row r="63" spans="4:4" x14ac:dyDescent="0.35">
      <c r="D63" t="str">
        <v>Bonaire</v>
      </c>
    </row>
    <row r="64" spans="4:4" x14ac:dyDescent="0.35">
      <c r="D64" t="str">
        <v>Bosnia and Herzegovina</v>
      </c>
    </row>
    <row r="65" spans="4:4" x14ac:dyDescent="0.35">
      <c r="D65" t="str">
        <v>Botswana</v>
      </c>
    </row>
    <row r="66" spans="4:4" x14ac:dyDescent="0.35">
      <c r="D66" t="str">
        <v>Brazil</v>
      </c>
    </row>
    <row r="67" spans="4:4" x14ac:dyDescent="0.35">
      <c r="D67" t="str">
        <v>Brunei</v>
      </c>
    </row>
    <row r="68" spans="4:4" x14ac:dyDescent="0.35">
      <c r="D68" t="str">
        <v>Bulgaria</v>
      </c>
    </row>
    <row r="69" spans="4:4" x14ac:dyDescent="0.35">
      <c r="D69" t="str">
        <v>Burkina Faso</v>
      </c>
    </row>
    <row r="70" spans="4:4" x14ac:dyDescent="0.35">
      <c r="D70" t="str">
        <v>Burundi</v>
      </c>
    </row>
    <row r="71" spans="4:4" x14ac:dyDescent="0.35">
      <c r="D71" t="str">
        <v>Cambodia</v>
      </c>
    </row>
    <row r="72" spans="4:4" x14ac:dyDescent="0.35">
      <c r="D72" t="str">
        <v>Cameroon</v>
      </c>
    </row>
    <row r="73" spans="4:4" x14ac:dyDescent="0.35">
      <c r="D73" t="str">
        <v>Canada</v>
      </c>
    </row>
    <row r="74" spans="4:4" x14ac:dyDescent="0.35">
      <c r="D74" t="str">
        <v>Cape Verde</v>
      </c>
    </row>
    <row r="75" spans="4:4" x14ac:dyDescent="0.35">
      <c r="D75" t="str">
        <v>Central African Republic</v>
      </c>
    </row>
    <row r="76" spans="4:4" x14ac:dyDescent="0.35">
      <c r="D76" t="str">
        <v>Chad</v>
      </c>
    </row>
    <row r="77" spans="4:4" x14ac:dyDescent="0.35">
      <c r="D77" t="str">
        <v>Chile</v>
      </c>
    </row>
    <row r="78" spans="4:4" x14ac:dyDescent="0.35">
      <c r="D78" t="str">
        <v>Colombia</v>
      </c>
    </row>
    <row r="79" spans="4:4" x14ac:dyDescent="0.35">
      <c r="D79" t="str">
        <v>Comoros</v>
      </c>
    </row>
    <row r="80" spans="4:4" x14ac:dyDescent="0.35">
      <c r="D80" t="str">
        <v>Costa Rica</v>
      </c>
    </row>
    <row r="81" spans="4:4" x14ac:dyDescent="0.35">
      <c r="D81" t="str">
        <v>Croatia</v>
      </c>
    </row>
    <row r="82" spans="4:4" x14ac:dyDescent="0.35">
      <c r="D82" t="str">
        <v>Cuba</v>
      </c>
    </row>
    <row r="83" spans="4:4" x14ac:dyDescent="0.35">
      <c r="D83" t="str">
        <v>Curaçao</v>
      </c>
    </row>
    <row r="84" spans="4:4" x14ac:dyDescent="0.35">
      <c r="D84" t="str">
        <v>Czech Republic</v>
      </c>
    </row>
    <row r="85" spans="4:4" x14ac:dyDescent="0.35">
      <c r="D85" t="str">
        <v>Democratic Republic of the Congo</v>
      </c>
    </row>
    <row r="86" spans="4:4" x14ac:dyDescent="0.35">
      <c r="D86" t="str">
        <v>Denmark</v>
      </c>
    </row>
    <row r="87" spans="4:4" x14ac:dyDescent="0.35">
      <c r="D87" t="str">
        <v>Djibouti</v>
      </c>
    </row>
    <row r="88" spans="4:4" x14ac:dyDescent="0.35">
      <c r="D88" t="str">
        <v>Dominica</v>
      </c>
    </row>
    <row r="89" spans="4:4" x14ac:dyDescent="0.35">
      <c r="D89" t="str">
        <v>Dominican Republic</v>
      </c>
    </row>
    <row r="90" spans="4:4" x14ac:dyDescent="0.35">
      <c r="D90" t="str">
        <v>East Timor</v>
      </c>
    </row>
    <row r="91" spans="4:4" x14ac:dyDescent="0.35">
      <c r="D91" t="str">
        <v>Ecuador</v>
      </c>
    </row>
    <row r="92" spans="4:4" x14ac:dyDescent="0.35">
      <c r="D92" t="str">
        <v>Egypt</v>
      </c>
    </row>
    <row r="93" spans="4:4" x14ac:dyDescent="0.35">
      <c r="D93" t="str">
        <v>Egypt</v>
      </c>
    </row>
    <row r="94" spans="4:4" x14ac:dyDescent="0.35">
      <c r="D94" t="str">
        <v>El Salvador</v>
      </c>
    </row>
    <row r="95" spans="4:4" x14ac:dyDescent="0.35">
      <c r="D95" t="str">
        <v>Equatorial Guinea</v>
      </c>
    </row>
    <row r="96" spans="4:4" x14ac:dyDescent="0.35">
      <c r="D96" t="str">
        <v>Eritrea</v>
      </c>
    </row>
    <row r="97" spans="4:4" x14ac:dyDescent="0.35">
      <c r="D97" t="str">
        <v>Estonia</v>
      </c>
    </row>
    <row r="98" spans="4:4" x14ac:dyDescent="0.35">
      <c r="D98" t="str">
        <v>Eswatini</v>
      </c>
    </row>
    <row r="99" spans="4:4" x14ac:dyDescent="0.35">
      <c r="D99" t="str">
        <v>Ethiopia</v>
      </c>
    </row>
    <row r="100" spans="4:4" x14ac:dyDescent="0.35">
      <c r="D100" t="str">
        <v>Falkland Islands</v>
      </c>
    </row>
    <row r="101" spans="4:4" x14ac:dyDescent="0.35">
      <c r="D101" t="str">
        <v>Finland</v>
      </c>
    </row>
    <row r="102" spans="4:4" x14ac:dyDescent="0.35">
      <c r="D102" t="str">
        <v>France</v>
      </c>
    </row>
    <row r="103" spans="4:4" x14ac:dyDescent="0.35">
      <c r="D103" t="str">
        <v>French Guiana</v>
      </c>
    </row>
    <row r="104" spans="4:4" x14ac:dyDescent="0.35">
      <c r="D104" t="str">
        <v>Gabon</v>
      </c>
    </row>
    <row r="105" spans="4:4" x14ac:dyDescent="0.35">
      <c r="D105" t="str">
        <v>Gambia</v>
      </c>
    </row>
    <row r="106" spans="4:4" x14ac:dyDescent="0.35">
      <c r="D106" t="str">
        <v>Georgia</v>
      </c>
    </row>
    <row r="107" spans="4:4" x14ac:dyDescent="0.35">
      <c r="D107" t="str">
        <v>Germany</v>
      </c>
    </row>
    <row r="108" spans="4:4" x14ac:dyDescent="0.35">
      <c r="D108" t="str">
        <v>Ghana</v>
      </c>
    </row>
    <row r="109" spans="4:4" x14ac:dyDescent="0.35">
      <c r="D109" t="str">
        <v>Gibraltar</v>
      </c>
    </row>
    <row r="110" spans="4:4" x14ac:dyDescent="0.35">
      <c r="D110" t="str">
        <v>Greece</v>
      </c>
    </row>
    <row r="111" spans="4:4" x14ac:dyDescent="0.35">
      <c r="D111" t="str">
        <v>Grenada</v>
      </c>
    </row>
    <row r="112" spans="4:4" x14ac:dyDescent="0.35">
      <c r="D112" t="str">
        <v>Guam</v>
      </c>
    </row>
    <row r="113" spans="4:4" x14ac:dyDescent="0.35">
      <c r="D113" t="str">
        <v>Guatemala</v>
      </c>
    </row>
    <row r="114" spans="4:4" x14ac:dyDescent="0.35">
      <c r="D114" t="str">
        <v>Guinea</v>
      </c>
    </row>
    <row r="115" spans="4:4" x14ac:dyDescent="0.35">
      <c r="D115" t="str">
        <v>Guinea-Bissau</v>
      </c>
    </row>
    <row r="116" spans="4:4" x14ac:dyDescent="0.35">
      <c r="D116" t="str">
        <v>Guyana</v>
      </c>
    </row>
    <row r="117" spans="4:4" x14ac:dyDescent="0.35">
      <c r="D117" t="str">
        <v>Haiti</v>
      </c>
    </row>
    <row r="118" spans="4:4" x14ac:dyDescent="0.35">
      <c r="D118" t="str">
        <v>Honduras</v>
      </c>
    </row>
    <row r="119" spans="4:4" x14ac:dyDescent="0.35">
      <c r="D119" t="str">
        <v>Hong Kong</v>
      </c>
    </row>
    <row r="120" spans="4:4" x14ac:dyDescent="0.35">
      <c r="D120" t="str">
        <v>Iceland</v>
      </c>
    </row>
    <row r="121" spans="4:4" x14ac:dyDescent="0.35">
      <c r="D121" t="str">
        <v>India</v>
      </c>
    </row>
    <row r="122" spans="4:4" x14ac:dyDescent="0.35">
      <c r="D122" t="str">
        <v>Indonesia</v>
      </c>
    </row>
    <row r="123" spans="4:4" x14ac:dyDescent="0.35">
      <c r="D123" t="str">
        <v>Iran</v>
      </c>
    </row>
    <row r="124" spans="4:4" x14ac:dyDescent="0.35">
      <c r="D124" t="str">
        <v>Iraq</v>
      </c>
    </row>
    <row r="125" spans="4:4" x14ac:dyDescent="0.35">
      <c r="D125" t="str">
        <v>Israel</v>
      </c>
    </row>
    <row r="126" spans="4:4" x14ac:dyDescent="0.35">
      <c r="D126" t="str">
        <v>Italy</v>
      </c>
    </row>
    <row r="127" spans="4:4" x14ac:dyDescent="0.35">
      <c r="D127" t="str">
        <v>Ivory Coast</v>
      </c>
    </row>
    <row r="128" spans="4:4" x14ac:dyDescent="0.35">
      <c r="D128" t="str">
        <v>Jamaica</v>
      </c>
    </row>
    <row r="129" spans="4:4" x14ac:dyDescent="0.35">
      <c r="D129" t="str">
        <v>Japan</v>
      </c>
    </row>
    <row r="130" spans="4:4" x14ac:dyDescent="0.35">
      <c r="D130" t="str">
        <v>Jordan</v>
      </c>
    </row>
    <row r="131" spans="4:4" x14ac:dyDescent="0.35">
      <c r="D131" t="str">
        <v>Kazakhstan</v>
      </c>
    </row>
    <row r="132" spans="4:4" x14ac:dyDescent="0.35">
      <c r="D132" t="str">
        <v>Kenya</v>
      </c>
    </row>
    <row r="133" spans="4:4" x14ac:dyDescent="0.35">
      <c r="D133" t="str">
        <v>Kuwait</v>
      </c>
    </row>
    <row r="134" spans="4:4" x14ac:dyDescent="0.35">
      <c r="D134" t="str">
        <v>Kyrgyzstan</v>
      </c>
    </row>
    <row r="135" spans="4:4" x14ac:dyDescent="0.35">
      <c r="D135" t="str">
        <v>Laos</v>
      </c>
    </row>
    <row r="136" spans="4:4" x14ac:dyDescent="0.35">
      <c r="D136" t="str">
        <v>Latvia</v>
      </c>
    </row>
    <row r="137" spans="4:4" x14ac:dyDescent="0.35">
      <c r="D137" t="str">
        <v>Lebanon</v>
      </c>
    </row>
    <row r="138" spans="4:4" x14ac:dyDescent="0.35">
      <c r="D138" t="str">
        <v>Lesotho</v>
      </c>
    </row>
    <row r="139" spans="4:4" x14ac:dyDescent="0.35">
      <c r="D139" t="str">
        <v>Liberia</v>
      </c>
    </row>
    <row r="140" spans="4:4" x14ac:dyDescent="0.35">
      <c r="D140" t="str">
        <v>Libya</v>
      </c>
    </row>
    <row r="141" spans="4:4" x14ac:dyDescent="0.35">
      <c r="D141" t="str">
        <v>Liechtenstein</v>
      </c>
    </row>
    <row r="142" spans="4:4" x14ac:dyDescent="0.35">
      <c r="D142" t="str">
        <v>Lithuania</v>
      </c>
    </row>
    <row r="143" spans="4:4" x14ac:dyDescent="0.35">
      <c r="D143" t="str">
        <v>Luxembourg</v>
      </c>
    </row>
    <row r="144" spans="4:4" x14ac:dyDescent="0.35">
      <c r="D144" t="str">
        <v>Macau</v>
      </c>
    </row>
    <row r="145" spans="4:4" x14ac:dyDescent="0.35">
      <c r="D145" t="str">
        <v>Madagascar</v>
      </c>
    </row>
    <row r="146" spans="4:4" x14ac:dyDescent="0.35">
      <c r="D146" t="str">
        <v>Malawi</v>
      </c>
    </row>
    <row r="147" spans="4:4" x14ac:dyDescent="0.35">
      <c r="D147" t="str">
        <v>Malaysia</v>
      </c>
    </row>
    <row r="148" spans="4:4" x14ac:dyDescent="0.35">
      <c r="D148" t="str">
        <v>Maldives</v>
      </c>
    </row>
    <row r="149" spans="4:4" x14ac:dyDescent="0.35">
      <c r="D149" t="str">
        <v>Mali</v>
      </c>
    </row>
    <row r="150" spans="4:4" x14ac:dyDescent="0.35">
      <c r="D150" t="str">
        <v>Malta</v>
      </c>
    </row>
    <row r="151" spans="4:4" x14ac:dyDescent="0.35">
      <c r="D151" t="str">
        <v>Mauritania</v>
      </c>
    </row>
    <row r="152" spans="4:4" x14ac:dyDescent="0.35">
      <c r="D152" t="str">
        <v>Mauritius</v>
      </c>
    </row>
    <row r="153" spans="4:4" x14ac:dyDescent="0.35">
      <c r="D153" t="str">
        <v>Mayotte</v>
      </c>
    </row>
    <row r="154" spans="4:4" x14ac:dyDescent="0.35">
      <c r="D154" t="str">
        <v>Mexico</v>
      </c>
    </row>
    <row r="155" spans="4:4" x14ac:dyDescent="0.35">
      <c r="D155" t="str">
        <v>Moldova</v>
      </c>
    </row>
    <row r="156" spans="4:4" x14ac:dyDescent="0.35">
      <c r="D156" t="str">
        <v>Monaco</v>
      </c>
    </row>
    <row r="157" spans="4:4" x14ac:dyDescent="0.35">
      <c r="D157" t="str">
        <v>Mongolia</v>
      </c>
    </row>
    <row r="158" spans="4:4" x14ac:dyDescent="0.35">
      <c r="D158" t="str">
        <v>Montenegro</v>
      </c>
    </row>
    <row r="159" spans="4:4" x14ac:dyDescent="0.35">
      <c r="D159" t="str">
        <v>Morocco</v>
      </c>
    </row>
    <row r="160" spans="4:4" x14ac:dyDescent="0.35">
      <c r="D160" t="str">
        <v>Mozambique</v>
      </c>
    </row>
    <row r="161" spans="4:4" x14ac:dyDescent="0.35">
      <c r="D161" t="str">
        <v>Myanmar</v>
      </c>
    </row>
    <row r="162" spans="4:4" x14ac:dyDescent="0.35">
      <c r="D162" t="str">
        <v>Namibia</v>
      </c>
    </row>
    <row r="163" spans="4:4" x14ac:dyDescent="0.35">
      <c r="D163" t="str">
        <v>Nepal</v>
      </c>
    </row>
    <row r="164" spans="4:4" x14ac:dyDescent="0.35">
      <c r="D164" t="str">
        <v>Netherlands</v>
      </c>
    </row>
    <row r="165" spans="4:4" x14ac:dyDescent="0.35">
      <c r="D165" t="str">
        <v>New Zealand</v>
      </c>
    </row>
    <row r="166" spans="4:4" x14ac:dyDescent="0.35">
      <c r="D166" t="str">
        <v>Nicaragua</v>
      </c>
    </row>
    <row r="167" spans="4:4" x14ac:dyDescent="0.35">
      <c r="D167" t="str">
        <v>Niger</v>
      </c>
    </row>
    <row r="168" spans="4:4" x14ac:dyDescent="0.35">
      <c r="D168" t="str">
        <v>Nigeria</v>
      </c>
    </row>
    <row r="169" spans="4:4" x14ac:dyDescent="0.35">
      <c r="D169" t="str">
        <v>North Korea</v>
      </c>
    </row>
    <row r="170" spans="4:4" x14ac:dyDescent="0.35">
      <c r="D170" t="str">
        <v>Northern Macedonia</v>
      </c>
    </row>
    <row r="171" spans="4:4" x14ac:dyDescent="0.35">
      <c r="D171" t="str">
        <v>Norway</v>
      </c>
    </row>
    <row r="172" spans="4:4" x14ac:dyDescent="0.35">
      <c r="D172" t="str">
        <v>Oceania</v>
      </c>
    </row>
    <row r="173" spans="4:4" x14ac:dyDescent="0.35">
      <c r="D173" t="str">
        <v>Oman</v>
      </c>
    </row>
    <row r="174" spans="4:4" x14ac:dyDescent="0.35">
      <c r="D174" t="str">
        <v>Pakistan</v>
      </c>
    </row>
    <row r="175" spans="4:4" x14ac:dyDescent="0.35">
      <c r="D175" t="str">
        <v>Palestine</v>
      </c>
    </row>
    <row r="176" spans="4:4" x14ac:dyDescent="0.35">
      <c r="D176" t="str">
        <v>Panama</v>
      </c>
    </row>
    <row r="177" spans="4:4" x14ac:dyDescent="0.35">
      <c r="D177" t="str">
        <v>Paraguay</v>
      </c>
    </row>
    <row r="178" spans="4:4" x14ac:dyDescent="0.35">
      <c r="D178" t="str">
        <v>People's Republic of China</v>
      </c>
    </row>
    <row r="179" spans="4:4" x14ac:dyDescent="0.35">
      <c r="D179" t="str">
        <v>Peru</v>
      </c>
    </row>
    <row r="180" spans="4:4" x14ac:dyDescent="0.35">
      <c r="D180" t="str">
        <v>Philippines</v>
      </c>
    </row>
    <row r="181" spans="4:4" x14ac:dyDescent="0.35">
      <c r="D181" t="str">
        <v xml:space="preserve">Poland </v>
      </c>
    </row>
    <row r="182" spans="4:4" x14ac:dyDescent="0.35">
      <c r="D182" t="str">
        <v>Portugal</v>
      </c>
    </row>
    <row r="183" spans="4:4" x14ac:dyDescent="0.35">
      <c r="D183" t="str">
        <v>Qatar</v>
      </c>
    </row>
    <row r="184" spans="4:4" x14ac:dyDescent="0.35">
      <c r="D184" t="str">
        <v>Republic of Cyprus</v>
      </c>
    </row>
    <row r="185" spans="4:4" x14ac:dyDescent="0.35">
      <c r="D185" t="str">
        <v>Republic of the Congo</v>
      </c>
    </row>
    <row r="186" spans="4:4" x14ac:dyDescent="0.35">
      <c r="D186" t="str">
        <v>Réunion</v>
      </c>
    </row>
    <row r="187" spans="4:4" x14ac:dyDescent="0.35">
      <c r="D187" t="str">
        <v>Romania</v>
      </c>
    </row>
    <row r="188" spans="4:4" x14ac:dyDescent="0.35">
      <c r="D188" t="str">
        <v>Rwanda</v>
      </c>
    </row>
    <row r="189" spans="4:4" x14ac:dyDescent="0.35">
      <c r="D189" t="str">
        <v>Saint Helena, Ascension and Tristan da Cunha</v>
      </c>
    </row>
    <row r="190" spans="4:4" x14ac:dyDescent="0.35">
      <c r="D190" t="str">
        <v>Saint Kitts and Nevis</v>
      </c>
    </row>
    <row r="191" spans="4:4" x14ac:dyDescent="0.35">
      <c r="D191" t="str">
        <v>Saint Lucia</v>
      </c>
    </row>
    <row r="192" spans="4:4" x14ac:dyDescent="0.35">
      <c r="D192" t="str">
        <v>Saint Vincent and the Grenadines</v>
      </c>
    </row>
    <row r="193" spans="4:4" x14ac:dyDescent="0.35">
      <c r="D193" t="str">
        <v>San Marino</v>
      </c>
    </row>
    <row r="194" spans="4:4" x14ac:dyDescent="0.35">
      <c r="D194" t="str">
        <v>São Tomé and Príncipe</v>
      </c>
    </row>
    <row r="195" spans="4:4" x14ac:dyDescent="0.35">
      <c r="D195" t="str">
        <v>Saudi Arabia</v>
      </c>
    </row>
    <row r="196" spans="4:4" x14ac:dyDescent="0.35">
      <c r="D196" t="str">
        <v>Senegal</v>
      </c>
    </row>
    <row r="197" spans="4:4" x14ac:dyDescent="0.35">
      <c r="D197" t="str">
        <v>Serbia</v>
      </c>
    </row>
    <row r="198" spans="4:4" x14ac:dyDescent="0.35">
      <c r="D198" t="str">
        <v>Seychelles</v>
      </c>
    </row>
    <row r="199" spans="4:4" x14ac:dyDescent="0.35">
      <c r="D199" t="str">
        <v>Sierra Leone</v>
      </c>
    </row>
    <row r="200" spans="4:4" x14ac:dyDescent="0.35">
      <c r="D200" t="str">
        <v>Singapore</v>
      </c>
    </row>
    <row r="201" spans="4:4" x14ac:dyDescent="0.35">
      <c r="D201" t="str">
        <v>Slovakia</v>
      </c>
    </row>
    <row r="202" spans="4:4" x14ac:dyDescent="0.35">
      <c r="D202" t="str">
        <v>Slovenia</v>
      </c>
    </row>
    <row r="203" spans="4:4" x14ac:dyDescent="0.35">
      <c r="D203" t="str">
        <v>Somalia</v>
      </c>
    </row>
    <row r="204" spans="4:4" x14ac:dyDescent="0.35">
      <c r="D204" t="str">
        <v>South Africa</v>
      </c>
    </row>
    <row r="205" spans="4:4" x14ac:dyDescent="0.35">
      <c r="D205" t="str">
        <v>South Georgia and the South Sandwich Islands</v>
      </c>
    </row>
    <row r="206" spans="4:4" x14ac:dyDescent="0.35">
      <c r="D206" t="str">
        <v>South Korea</v>
      </c>
    </row>
    <row r="207" spans="4:4" x14ac:dyDescent="0.35">
      <c r="D207" t="str">
        <v>South Sudan</v>
      </c>
    </row>
    <row r="208" spans="4:4" x14ac:dyDescent="0.35">
      <c r="D208" t="str">
        <v>Spain</v>
      </c>
    </row>
    <row r="209" spans="4:4" x14ac:dyDescent="0.35">
      <c r="D209" t="str">
        <v>Sri Lanka</v>
      </c>
    </row>
    <row r="210" spans="4:4" x14ac:dyDescent="0.35">
      <c r="D210" t="str">
        <v>Sudan</v>
      </c>
    </row>
    <row r="211" spans="4:4" x14ac:dyDescent="0.35">
      <c r="D211" t="str">
        <v>Suriname</v>
      </c>
    </row>
    <row r="212" spans="4:4" x14ac:dyDescent="0.35">
      <c r="D212" t="str">
        <v>Sweden</v>
      </c>
    </row>
    <row r="213" spans="4:4" x14ac:dyDescent="0.35">
      <c r="D213" t="str">
        <v>Switzerland</v>
      </c>
    </row>
    <row r="214" spans="4:4" x14ac:dyDescent="0.35">
      <c r="D214" t="str">
        <v>Syria</v>
      </c>
    </row>
    <row r="215" spans="4:4" x14ac:dyDescent="0.35">
      <c r="D215" t="str">
        <v>Taiwan</v>
      </c>
    </row>
    <row r="216" spans="4:4" x14ac:dyDescent="0.35">
      <c r="D216" t="str">
        <v>Tajikistan</v>
      </c>
    </row>
    <row r="217" spans="4:4" x14ac:dyDescent="0.35">
      <c r="D217" t="str">
        <v>Tanzania</v>
      </c>
    </row>
    <row r="218" spans="4:4" x14ac:dyDescent="0.35">
      <c r="D218" t="str">
        <v>Thailand</v>
      </c>
    </row>
    <row r="219" spans="4:4" x14ac:dyDescent="0.35">
      <c r="D219" t="str">
        <v>Togo</v>
      </c>
    </row>
    <row r="220" spans="4:4" x14ac:dyDescent="0.35">
      <c r="D220" t="str">
        <v>Trinidad and Tobago</v>
      </c>
    </row>
    <row r="221" spans="4:4" x14ac:dyDescent="0.35">
      <c r="D221" t="str">
        <v>Tunisia</v>
      </c>
    </row>
    <row r="222" spans="4:4" x14ac:dyDescent="0.35">
      <c r="D222" t="str">
        <v>Turkey (Asian part)</v>
      </c>
    </row>
    <row r="223" spans="4:4" x14ac:dyDescent="0.35">
      <c r="D223" t="str">
        <v>Turkmenistan</v>
      </c>
    </row>
    <row r="224" spans="4:4" x14ac:dyDescent="0.35">
      <c r="D224" t="str">
        <v xml:space="preserve">Uganda </v>
      </c>
    </row>
    <row r="225" spans="4:4" x14ac:dyDescent="0.35">
      <c r="D225" t="str">
        <v xml:space="preserve">UK </v>
      </c>
    </row>
    <row r="226" spans="4:4" x14ac:dyDescent="0.35">
      <c r="D226" t="str">
        <v>Ukraine</v>
      </c>
    </row>
    <row r="227" spans="4:4" x14ac:dyDescent="0.35">
      <c r="D227" t="str">
        <v>United Arab Emirates</v>
      </c>
    </row>
    <row r="228" spans="4:4" x14ac:dyDescent="0.35">
      <c r="D228" t="str">
        <v>Uruguay</v>
      </c>
    </row>
    <row r="229" spans="4:4" x14ac:dyDescent="0.35">
      <c r="D229" t="str">
        <v>USA</v>
      </c>
    </row>
    <row r="230" spans="4:4" x14ac:dyDescent="0.35">
      <c r="D230" t="str">
        <v>Uzbekistan</v>
      </c>
    </row>
    <row r="231" spans="4:4" x14ac:dyDescent="0.35">
      <c r="D231" t="str">
        <v>Vatican City</v>
      </c>
    </row>
    <row r="232" spans="4:4" x14ac:dyDescent="0.35">
      <c r="D232" t="str">
        <v>Venezuela</v>
      </c>
    </row>
    <row r="233" spans="4:4" x14ac:dyDescent="0.35">
      <c r="D233" t="str">
        <v>Vietnam</v>
      </c>
    </row>
    <row r="234" spans="4:4" x14ac:dyDescent="0.35">
      <c r="D234" t="str">
        <v>Western Sahara</v>
      </c>
    </row>
    <row r="235" spans="4:4" x14ac:dyDescent="0.35">
      <c r="D235" t="str">
        <v>Yemen</v>
      </c>
    </row>
    <row r="236" spans="4:4" x14ac:dyDescent="0.35">
      <c r="D236" t="str">
        <v>Zambia</v>
      </c>
    </row>
    <row r="237" spans="4:4" x14ac:dyDescent="0.35">
      <c r="D237" t="str">
        <v>Zimbabwe</v>
      </c>
    </row>
  </sheetData>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905A5-1644-4317-923F-E4FCEA45F612}">
  <sheetPr codeName="Sheet8">
    <tabColor rgb="FFFF0000"/>
  </sheetPr>
  <dimension ref="A1"/>
  <sheetViews>
    <sheetView workbookViewId="0">
      <selection activeCell="M20" sqref="M20"/>
    </sheetView>
  </sheetViews>
  <sheetFormatPr baseColWidth="10" defaultColWidth="9.1796875" defaultRowHeight="14.5" x14ac:dyDescent="0.3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7AD27-1AE9-47F9-9A24-EE6F550C6D9B}">
  <sheetPr codeName="Sheet9"/>
  <dimension ref="A1:Q5"/>
  <sheetViews>
    <sheetView topLeftCell="G1" workbookViewId="0">
      <selection activeCell="Q1" sqref="Q1"/>
    </sheetView>
  </sheetViews>
  <sheetFormatPr baseColWidth="10" defaultColWidth="9.1796875" defaultRowHeight="14.5" x14ac:dyDescent="0.35"/>
  <cols>
    <col min="1" max="1" width="25.54296875" bestFit="1" customWidth="1"/>
    <col min="2" max="2" width="4.26953125" bestFit="1" customWidth="1"/>
    <col min="3" max="3" width="4.81640625" bestFit="1" customWidth="1"/>
    <col min="5" max="5" width="25.54296875" bestFit="1" customWidth="1"/>
    <col min="6" max="6" width="10.7265625" bestFit="1" customWidth="1"/>
    <col min="7" max="7" width="13.1796875" bestFit="1" customWidth="1"/>
    <col min="8" max="8" width="20.81640625" bestFit="1" customWidth="1"/>
    <col min="9" max="9" width="17.453125" bestFit="1" customWidth="1"/>
    <col min="11" max="11" width="10.7265625" bestFit="1" customWidth="1"/>
    <col min="12" max="12" width="13.1796875" bestFit="1" customWidth="1"/>
    <col min="13" max="13" width="4.26953125" bestFit="1" customWidth="1"/>
    <col min="14" max="14" width="4.81640625" bestFit="1" customWidth="1"/>
  </cols>
  <sheetData>
    <row r="1" spans="1:17" x14ac:dyDescent="0.35">
      <c r="A1" t="s">
        <v>2544</v>
      </c>
      <c r="B1" t="s">
        <v>2545</v>
      </c>
      <c r="C1" t="s">
        <v>2546</v>
      </c>
      <c r="E1" t="s">
        <v>2547</v>
      </c>
      <c r="F1" t="s">
        <v>2549</v>
      </c>
      <c r="G1" t="s">
        <v>2550</v>
      </c>
      <c r="H1" t="s">
        <v>2545</v>
      </c>
      <c r="I1" t="s">
        <v>2546</v>
      </c>
      <c r="K1" t="s">
        <v>2548</v>
      </c>
      <c r="P1" t="s">
        <v>91</v>
      </c>
      <c r="Q1" t="e">
        <f xml:space="preserve"> _xlfn.LET(_xlpm.subStr, "Germany", IF( LEFT(\selected_branch, LEN(_xlpm.subStr)) = _xlpm.subStr, "Germany", \selected_branch ))</f>
        <v>#NAME?</v>
      </c>
    </row>
    <row r="2" spans="1:17" x14ac:dyDescent="0.35">
      <c r="A2" t="str" cm="1">
        <f t="array" aca="1" ref="A2" ca="1" xml:space="preserve"> _xlfn.UNIQUE(_xlfn.ANCHORARRAY(calc_geoscope_int_int_hashtag))</f>
        <v>Unknown - Unknown</v>
      </c>
      <c r="B2" s="591" cm="1">
        <f t="array" aca="1" ref="B2" ca="1" xml:space="preserve"> SUMIF(_xlfn.ANCHORARRAY(calc_geoscope_int_int_hashtag),_xlfn.ANCHORARRAY( A2),_xlfn.ANCHORARRAY( calc_geoscope_int_int_perc_hashtag))</f>
        <v>0</v>
      </c>
      <c r="C2" s="591" cm="1">
        <f t="array" aca="1" ref="C2" ca="1" xml:space="preserve"> SUMIF(_xlfn.ANCHORARRAY(calc_geoscope_int_int_hashtag),_xlfn.ANCHORARRAY( A2),_xlfn.ANCHORARRAY( calc_geoscope_int_int_charges_hashtag)) - COUNTIF(_xlfn.ANCHORARRAY(calc_geoscope_int_int_hashtag),_xlfn.ANCHORARRAY( A2))</f>
        <v>0</v>
      </c>
      <c r="E2" t="str" cm="1">
        <f t="array" aca="1" ref="E2" ca="1" xml:space="preserve"> _xlfn.SORTBY(_xlfn.ANCHORARRAY(A2),_xlfn.ANCHORARRAY( B2), -1)</f>
        <v>Unknown - Unknown</v>
      </c>
      <c r="F2" t="str" cm="1">
        <f t="array" aca="1" ref="F2" ca="1" xml:space="preserve"> LEFT(_xlfn.ANCHORARRAY(E2), FIND(" - ",_xlfn.ANCHORARRAY( E2), 1) - 1)</f>
        <v>Unknown</v>
      </c>
      <c r="G2" t="str" cm="1">
        <f t="array" aca="1" ref="G2" ca="1" xml:space="preserve"> MID(_xlfn.ANCHORARRAY(E2), FIND(" - ",_xlfn.ANCHORARRAY( E2), 1) + 3, 99)</f>
        <v>Unknown</v>
      </c>
      <c r="H2" s="591" cm="1">
        <f t="array" aca="1" ref="H2" ca="1" xml:space="preserve"> INDEX(_xlfn.ANCHORARRAY(B2), MATCH(_xlfn.ANCHORARRAY(E2),_xlfn.ANCHORARRAY( A2), 0))</f>
        <v>0</v>
      </c>
      <c r="I2" s="591" cm="1">
        <f t="array" aca="1" ref="I2" ca="1" xml:space="preserve"> INDEX(_xlfn.ANCHORARRAY(C2), MATCH(_xlfn.ANCHORARRAY(E2),_xlfn.ANCHORARRAY( A2), 0))</f>
        <v>0</v>
      </c>
      <c r="K2" t="str" cm="1">
        <f t="array" aca="1" ref="K2:K4" ca="1" xml:space="preserve"> IFERROR( INDEX(_xlfn.ANCHORARRAY( F2), ROW(A1:A3), 1 ), "" )</f>
        <v>Unknown</v>
      </c>
      <c r="L2" t="str" cm="1">
        <f t="array" aca="1" ref="L2:L4" ca="1" xml:space="preserve"> IFERROR( INDEX(_xlfn.ANCHORARRAY( G2), ROW(B1:B3), 1 ), "" )</f>
        <v>Unknown</v>
      </c>
      <c r="M2" s="591" cm="1">
        <f t="array" aca="1" ref="M2:M4" ca="1" xml:space="preserve"> IFERROR( INDEX(_xlfn.ANCHORARRAY( H2), ROW(B1:B3), 1 ), "" )</f>
        <v>0</v>
      </c>
      <c r="N2" s="591" cm="1">
        <f t="array" aca="1" ref="N2:N4" ca="1" xml:space="preserve"> IFERROR( INDEX(_xlfn.ANCHORARRAY( I2), ROW(C1:C3), 1 ), "" )</f>
        <v>0</v>
      </c>
    </row>
    <row r="3" spans="1:17" x14ac:dyDescent="0.35">
      <c r="B3" s="591"/>
      <c r="C3" s="591"/>
      <c r="H3" s="591"/>
      <c r="I3" s="591"/>
      <c r="K3" t="str">
        <f ca="1"/>
        <v/>
      </c>
      <c r="L3" t="str">
        <f ca="1"/>
        <v/>
      </c>
      <c r="M3" s="591" t="str">
        <f ca="1"/>
        <v/>
      </c>
      <c r="N3" s="591" t="str">
        <f ca="1"/>
        <v/>
      </c>
    </row>
    <row r="4" spans="1:17" x14ac:dyDescent="0.35">
      <c r="B4" s="591"/>
      <c r="C4" s="591"/>
      <c r="H4" s="591"/>
      <c r="I4" s="591"/>
      <c r="K4" t="str">
        <f ca="1"/>
        <v/>
      </c>
      <c r="L4" t="str">
        <f ca="1"/>
        <v/>
      </c>
      <c r="M4" s="591" t="str">
        <f ca="1"/>
        <v/>
      </c>
      <c r="N4" s="591" t="str">
        <f ca="1"/>
        <v/>
      </c>
    </row>
    <row r="5" spans="1:17" x14ac:dyDescent="0.35">
      <c r="B5" s="591"/>
      <c r="C5" s="591"/>
      <c r="H5" s="591"/>
      <c r="I5" s="59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19247-5026-4FB8-AECD-62D5D87CDA2D}">
  <sheetPr codeName="Sheet10">
    <tabColor rgb="FFFFC000"/>
  </sheetPr>
  <dimension ref="A1:J1801"/>
  <sheetViews>
    <sheetView topLeftCell="A713" workbookViewId="0">
      <selection activeCell="B724" sqref="B724"/>
    </sheetView>
  </sheetViews>
  <sheetFormatPr baseColWidth="10" defaultColWidth="9.1796875" defaultRowHeight="14.5" x14ac:dyDescent="0.35"/>
  <cols>
    <col min="1" max="1" width="31" customWidth="1"/>
    <col min="2" max="2" width="7.81640625" bestFit="1" customWidth="1"/>
    <col min="3" max="3" width="17.54296875" bestFit="1" customWidth="1"/>
    <col min="4" max="4" width="7.1796875" bestFit="1" customWidth="1"/>
    <col min="5" max="5" width="10.453125" bestFit="1" customWidth="1"/>
    <col min="6" max="6" width="15.7265625" bestFit="1" customWidth="1"/>
    <col min="7" max="7" width="25.54296875" bestFit="1" customWidth="1"/>
    <col min="8" max="8" width="41.81640625" bestFit="1" customWidth="1"/>
    <col min="9" max="9" width="14.54296875" bestFit="1" customWidth="1"/>
    <col min="10" max="10" width="7.54296875" bestFit="1" customWidth="1"/>
  </cols>
  <sheetData>
    <row r="1" spans="1:10" ht="24" x14ac:dyDescent="0.35">
      <c r="A1" s="607" t="s">
        <v>64</v>
      </c>
      <c r="B1" s="607" t="s">
        <v>65</v>
      </c>
      <c r="C1" s="647"/>
      <c r="D1" s="648" t="s">
        <v>66</v>
      </c>
      <c r="E1" s="649">
        <f ca="1">SUBTOTAL(9,C2:C1617)</f>
        <v>501992.45828990766</v>
      </c>
      <c r="F1" s="607" t="s">
        <v>68</v>
      </c>
      <c r="G1" s="611" t="s">
        <v>69</v>
      </c>
      <c r="H1" s="612" t="s">
        <v>2537</v>
      </c>
      <c r="I1" s="612" t="s">
        <v>71</v>
      </c>
      <c r="J1" s="613" t="s">
        <v>72</v>
      </c>
    </row>
    <row r="2" spans="1:10" x14ac:dyDescent="0.35">
      <c r="A2" s="615" t="s">
        <v>2562</v>
      </c>
      <c r="B2" s="616" t="str">
        <f ca="1">IF(C2="","",IF(D2="Datum",TEXT(DAY(C2),"00")&amp;"."&amp;TEXT(MONTH(C2),"00")&amp;"."&amp;TEXT(YEAR(C2),"0000"),IF(AND(ISNUMBER(C2),D2="x"),TEXT(C2,"@"),IF(ISNUMBER(C2),TEXT(ROUNDDOWN(C2,0),0)&amp;IF(D2=0,"","."&amp;IF(C2-ROUNDDOWN(C2,0)=0,LEFT("0000000000",D2),TEXT((C2-ROUNDDOWN(C2,0))*(1&amp; LEFT("0000000000",$D2)),LEFT("0000000000",$D2)))),C2))))</f>
        <v>500000</v>
      </c>
      <c r="C2" s="650" cm="1">
        <f t="array" aca="1" ref="C2" ca="1" xml:space="preserve"> IF( INDIRECT(H2) = "", "", ROUND(INDIRECT(H2), 0) )</f>
        <v>500000</v>
      </c>
      <c r="D2" s="651">
        <v>0</v>
      </c>
      <c r="E2" s="236"/>
      <c r="F2" s="232" t="s">
        <v>2538</v>
      </c>
      <c r="G2" s="239" t="s">
        <v>2563</v>
      </c>
      <c r="H2" s="652" t="s">
        <v>859</v>
      </c>
      <c r="I2" s="653" t="s">
        <v>2542</v>
      </c>
      <c r="J2" s="654"/>
    </row>
    <row r="3" spans="1:10" x14ac:dyDescent="0.35">
      <c r="A3" s="615" t="s">
        <v>2564</v>
      </c>
      <c r="B3" s="616" t="str">
        <f>IF(C3="","",IF(D3="Datum",TEXT(DAY(C3),"00")&amp;"."&amp;TEXT(MONTH(C3),"00")&amp;"."&amp;TEXT(YEAR(C3),"0000"),IF(AND(ISNUMBER(C3),D3="x"),TEXT(C3,"@"),IF(ISNUMBER(C3),TEXT(ROUNDDOWN(C3,0),0)&amp;IF(D3=0,"","."&amp;IF(C3-ROUNDDOWN(C3,0)=0,LEFT("0000000000",D3),TEXT((C3-ROUNDDOWN(C3,0))*(1&amp; LEFT("0000000000",$D3)),LEFT("0000000000",$D3)))),C3))))</f>
        <v/>
      </c>
      <c r="C3" s="650"/>
      <c r="D3" s="651">
        <v>0</v>
      </c>
      <c r="E3" s="236"/>
      <c r="F3" s="232" t="s">
        <v>2538</v>
      </c>
      <c r="G3" s="239" t="s">
        <v>2565</v>
      </c>
      <c r="H3" s="652"/>
      <c r="I3" s="653"/>
      <c r="J3" s="654"/>
    </row>
    <row r="4" spans="1:10" x14ac:dyDescent="0.35">
      <c r="A4" s="615" t="s">
        <v>2566</v>
      </c>
      <c r="B4" s="616" t="str">
        <f t="shared" ref="B4:B67" ca="1" si="0">IF(C4="","",IF(D4="Datum",TEXT(DAY(C4),"00")&amp;"."&amp;TEXT(MONTH(C4),"00")&amp;"."&amp;TEXT(YEAR(C4),"0000"),IF(AND(ISNUMBER(C4),D4="x"),TEXT(C4,"@"),IF(ISNUMBER(C4),TEXT(ROUNDDOWN(C4,0),0)&amp;IF(D4=0,"","."&amp;IF(C4-ROUNDDOWN(C4,0)=0,LEFT("0000000000",D4),TEXT((C4-ROUNDDOWN(C4,0))*(1&amp; LEFT("0000000000",$D4)),LEFT("0000000000",$D4)))),C4))))</f>
        <v>125</v>
      </c>
      <c r="C4" s="650" cm="1">
        <f t="array" aca="1" ref="C4" ca="1" xml:space="preserve"> IF( INDIRECT(H4) = "", "", ROUND(INDIRECT(H4), 0) )</f>
        <v>125</v>
      </c>
      <c r="D4" s="651">
        <v>0</v>
      </c>
      <c r="E4" s="236"/>
      <c r="F4" s="232" t="s">
        <v>2538</v>
      </c>
      <c r="G4" s="239"/>
      <c r="H4" s="652" t="s">
        <v>871</v>
      </c>
      <c r="I4" s="653" t="s">
        <v>2543</v>
      </c>
      <c r="J4" s="654"/>
    </row>
    <row r="5" spans="1:10" x14ac:dyDescent="0.35">
      <c r="A5" s="615" t="s">
        <v>2567</v>
      </c>
      <c r="B5" s="616" t="str">
        <f t="shared" si="0"/>
        <v/>
      </c>
      <c r="C5" s="665"/>
      <c r="D5" s="655">
        <v>0</v>
      </c>
      <c r="E5" s="236"/>
      <c r="F5" s="232" t="s">
        <v>2538</v>
      </c>
      <c r="G5" s="239"/>
      <c r="H5" s="652"/>
      <c r="I5" s="656"/>
      <c r="J5" s="654"/>
    </row>
    <row r="6" spans="1:10" x14ac:dyDescent="0.35">
      <c r="A6" s="615" t="s">
        <v>2568</v>
      </c>
      <c r="B6" s="616" t="str">
        <f t="shared" si="0"/>
        <v/>
      </c>
      <c r="C6" s="665"/>
      <c r="D6" s="651">
        <v>3</v>
      </c>
      <c r="E6" s="236"/>
      <c r="F6" s="232" t="s">
        <v>2569</v>
      </c>
      <c r="G6" s="239" t="s">
        <v>2570</v>
      </c>
      <c r="H6" s="652"/>
      <c r="I6" s="656"/>
      <c r="J6" s="654"/>
    </row>
    <row r="7" spans="1:10" x14ac:dyDescent="0.35">
      <c r="A7" s="615" t="s">
        <v>2571</v>
      </c>
      <c r="B7" s="616" t="str">
        <f t="shared" ca="1" si="0"/>
        <v>1867.46</v>
      </c>
      <c r="C7" s="650" cm="1">
        <f t="array" aca="1" ref="C7" ca="1" xml:space="preserve"> IF( INDIRECT(H7) = "", "", INDIRECT(H7) )</f>
        <v>1867.4582899076531</v>
      </c>
      <c r="D7" s="651">
        <v>2</v>
      </c>
      <c r="E7" s="236"/>
      <c r="F7" s="232" t="s">
        <v>2572</v>
      </c>
      <c r="G7" s="239"/>
      <c r="H7" s="652" t="s">
        <v>2551</v>
      </c>
      <c r="I7" s="653" t="s">
        <v>2552</v>
      </c>
      <c r="J7" s="654"/>
    </row>
    <row r="8" spans="1:10" x14ac:dyDescent="0.35">
      <c r="A8" s="615" t="s">
        <v>2573</v>
      </c>
      <c r="B8" s="616" t="str">
        <f t="shared" si="0"/>
        <v/>
      </c>
      <c r="C8" s="665"/>
      <c r="D8" s="651">
        <v>2</v>
      </c>
      <c r="E8" s="236"/>
      <c r="F8" s="232" t="s">
        <v>2572</v>
      </c>
      <c r="G8" s="239"/>
      <c r="H8" s="652"/>
      <c r="I8" s="656"/>
      <c r="J8" s="654"/>
    </row>
    <row r="9" spans="1:10" ht="36" x14ac:dyDescent="0.35">
      <c r="A9" s="615" t="s">
        <v>2574</v>
      </c>
      <c r="B9" s="616" t="str">
        <f t="shared" si="0"/>
        <v/>
      </c>
      <c r="C9" s="665"/>
      <c r="D9" s="651">
        <v>2</v>
      </c>
      <c r="E9" s="236"/>
      <c r="F9" s="232" t="s">
        <v>2572</v>
      </c>
      <c r="G9" s="666" t="s">
        <v>2575</v>
      </c>
      <c r="H9" s="652"/>
      <c r="I9" s="656"/>
      <c r="J9" s="654"/>
    </row>
    <row r="10" spans="1:10" x14ac:dyDescent="0.35">
      <c r="A10" s="615" t="s">
        <v>2576</v>
      </c>
      <c r="B10" s="616" t="str">
        <f t="shared" si="0"/>
        <v/>
      </c>
      <c r="C10" s="665"/>
      <c r="D10" s="655">
        <v>2</v>
      </c>
      <c r="E10" s="236"/>
      <c r="F10" s="232" t="s">
        <v>2572</v>
      </c>
      <c r="G10" s="239"/>
      <c r="H10" s="652"/>
      <c r="I10" s="656"/>
      <c r="J10" s="654"/>
    </row>
    <row r="11" spans="1:10" x14ac:dyDescent="0.35">
      <c r="A11" s="615" t="s">
        <v>2577</v>
      </c>
      <c r="B11" s="616" t="str">
        <f t="shared" si="0"/>
        <v/>
      </c>
      <c r="C11" s="665"/>
      <c r="D11" s="655">
        <v>2</v>
      </c>
      <c r="E11" s="236"/>
      <c r="F11" s="232" t="s">
        <v>2572</v>
      </c>
      <c r="G11" s="239"/>
      <c r="H11" s="652"/>
      <c r="I11" s="656"/>
      <c r="J11" s="654"/>
    </row>
    <row r="12" spans="1:10" x14ac:dyDescent="0.35">
      <c r="A12" s="615" t="s">
        <v>2578</v>
      </c>
      <c r="B12" s="616" t="str">
        <f t="shared" si="0"/>
        <v/>
      </c>
      <c r="C12" s="665"/>
      <c r="D12" s="655">
        <v>6</v>
      </c>
      <c r="E12" s="236"/>
      <c r="F12" s="232" t="s">
        <v>2579</v>
      </c>
      <c r="G12" s="239" t="s">
        <v>2580</v>
      </c>
      <c r="H12" s="652"/>
      <c r="I12" s="656"/>
      <c r="J12" s="654"/>
    </row>
    <row r="13" spans="1:10" x14ac:dyDescent="0.35">
      <c r="A13" s="615" t="s">
        <v>2581</v>
      </c>
      <c r="B13" s="616" t="str">
        <f t="shared" si="0"/>
        <v/>
      </c>
      <c r="C13" s="665"/>
      <c r="D13" s="655" t="s">
        <v>75</v>
      </c>
      <c r="E13" s="236"/>
      <c r="F13" s="232" t="s">
        <v>76</v>
      </c>
      <c r="G13" s="239"/>
      <c r="H13" s="652"/>
      <c r="I13" s="656"/>
      <c r="J13" s="654"/>
    </row>
    <row r="14" spans="1:10" x14ac:dyDescent="0.35">
      <c r="A14" s="615" t="s">
        <v>2582</v>
      </c>
      <c r="B14" s="616" t="str">
        <f t="shared" si="0"/>
        <v/>
      </c>
      <c r="C14" s="650"/>
      <c r="D14" s="655">
        <v>2</v>
      </c>
      <c r="E14" s="236"/>
      <c r="F14" s="232" t="s">
        <v>2539</v>
      </c>
      <c r="G14" s="239" t="s">
        <v>2583</v>
      </c>
      <c r="H14" s="652"/>
      <c r="I14" s="653"/>
      <c r="J14" s="654"/>
    </row>
    <row r="15" spans="1:10" x14ac:dyDescent="0.35">
      <c r="A15" s="615" t="s">
        <v>2584</v>
      </c>
      <c r="B15" s="616" t="str">
        <f t="shared" si="0"/>
        <v/>
      </c>
      <c r="C15" s="650"/>
      <c r="D15" s="651">
        <v>2</v>
      </c>
      <c r="E15" s="236"/>
      <c r="F15" s="232" t="s">
        <v>2539</v>
      </c>
      <c r="G15" s="239" t="s">
        <v>2585</v>
      </c>
      <c r="H15" s="652"/>
      <c r="I15" s="653"/>
      <c r="J15" s="654"/>
    </row>
    <row r="16" spans="1:10" x14ac:dyDescent="0.35">
      <c r="A16" s="615" t="s">
        <v>2586</v>
      </c>
      <c r="B16" s="616" t="str">
        <f t="shared" si="0"/>
        <v/>
      </c>
      <c r="C16" s="665"/>
      <c r="D16" s="651">
        <v>2</v>
      </c>
      <c r="E16" s="236"/>
      <c r="F16" s="232" t="s">
        <v>2539</v>
      </c>
      <c r="G16" s="239" t="s">
        <v>2585</v>
      </c>
      <c r="H16" s="652"/>
      <c r="I16" s="656"/>
      <c r="J16" s="654"/>
    </row>
    <row r="17" spans="1:10" x14ac:dyDescent="0.35">
      <c r="A17" s="615" t="s">
        <v>2587</v>
      </c>
      <c r="B17" s="616" t="str">
        <f t="shared" si="0"/>
        <v/>
      </c>
      <c r="C17" s="665"/>
      <c r="D17" s="651">
        <v>2</v>
      </c>
      <c r="E17" s="236"/>
      <c r="F17" s="232" t="s">
        <v>2539</v>
      </c>
      <c r="G17" s="239" t="s">
        <v>2585</v>
      </c>
      <c r="H17" s="652"/>
      <c r="I17" s="656"/>
      <c r="J17" s="654"/>
    </row>
    <row r="18" spans="1:10" x14ac:dyDescent="0.35">
      <c r="A18" s="615" t="s">
        <v>2588</v>
      </c>
      <c r="B18" s="616" t="str">
        <f t="shared" si="0"/>
        <v/>
      </c>
      <c r="C18" s="665"/>
      <c r="D18" s="651">
        <v>2</v>
      </c>
      <c r="E18" s="236"/>
      <c r="F18" s="232" t="s">
        <v>2539</v>
      </c>
      <c r="G18" s="239" t="s">
        <v>2585</v>
      </c>
      <c r="H18" s="652"/>
      <c r="I18" s="656"/>
      <c r="J18" s="654"/>
    </row>
    <row r="19" spans="1:10" x14ac:dyDescent="0.35">
      <c r="A19" s="615" t="s">
        <v>2589</v>
      </c>
      <c r="B19" s="616" t="str">
        <f t="shared" si="0"/>
        <v/>
      </c>
      <c r="C19" s="650"/>
      <c r="D19" s="651">
        <v>2</v>
      </c>
      <c r="E19" s="236"/>
      <c r="F19" s="232" t="s">
        <v>2539</v>
      </c>
      <c r="G19" s="239" t="s">
        <v>2585</v>
      </c>
      <c r="H19" s="652"/>
      <c r="I19" s="653"/>
      <c r="J19" s="654"/>
    </row>
    <row r="20" spans="1:10" ht="48" x14ac:dyDescent="0.35">
      <c r="A20" s="615" t="s">
        <v>2590</v>
      </c>
      <c r="B20" s="616" t="str">
        <f t="shared" ca="1" si="0"/>
        <v>100% Direct Business</v>
      </c>
      <c r="C20" s="650" t="str" cm="1">
        <f t="array" aca="1" ref="C20" ca="1" xml:space="preserve"> IF( INDIRECT(H20) = "", "", INDIRECT(H20) )</f>
        <v>100% Direct Business</v>
      </c>
      <c r="D20" s="655" t="s">
        <v>75</v>
      </c>
      <c r="E20" s="236"/>
      <c r="F20" s="232" t="s">
        <v>76</v>
      </c>
      <c r="G20" s="657" t="s">
        <v>2591</v>
      </c>
      <c r="H20" s="652" t="s">
        <v>4373</v>
      </c>
      <c r="I20" s="653" t="s">
        <v>4374</v>
      </c>
      <c r="J20" s="654"/>
    </row>
    <row r="21" spans="1:10" x14ac:dyDescent="0.35">
      <c r="A21" s="615" t="s">
        <v>2592</v>
      </c>
      <c r="B21" s="616" t="str">
        <f t="shared" si="0"/>
        <v/>
      </c>
      <c r="C21" s="665"/>
      <c r="D21" s="655">
        <v>2</v>
      </c>
      <c r="E21" s="236"/>
      <c r="F21" s="232" t="s">
        <v>2539</v>
      </c>
      <c r="G21" s="239"/>
      <c r="H21" s="652"/>
      <c r="I21" s="656"/>
      <c r="J21" s="654"/>
    </row>
    <row r="22" spans="1:10" x14ac:dyDescent="0.35">
      <c r="A22" s="615" t="s">
        <v>2593</v>
      </c>
      <c r="B22" s="616" t="str">
        <f t="shared" si="0"/>
        <v/>
      </c>
      <c r="C22" s="650"/>
      <c r="D22" s="655">
        <v>0</v>
      </c>
      <c r="E22" s="236"/>
      <c r="F22" s="232" t="s">
        <v>2538</v>
      </c>
      <c r="G22" s="239"/>
      <c r="H22" s="652"/>
      <c r="I22" s="653"/>
      <c r="J22" s="654"/>
    </row>
    <row r="23" spans="1:10" x14ac:dyDescent="0.35">
      <c r="A23" s="615" t="s">
        <v>2594</v>
      </c>
      <c r="B23" s="616" t="str">
        <f t="shared" si="0"/>
        <v/>
      </c>
      <c r="C23" s="650"/>
      <c r="D23" s="655">
        <v>0</v>
      </c>
      <c r="E23" s="236"/>
      <c r="F23" s="232" t="s">
        <v>2538</v>
      </c>
      <c r="G23" s="239"/>
      <c r="H23" s="652"/>
      <c r="I23" s="653"/>
      <c r="J23" s="654"/>
    </row>
    <row r="24" spans="1:10" x14ac:dyDescent="0.35">
      <c r="A24" s="615" t="s">
        <v>2595</v>
      </c>
      <c r="B24" s="616" t="str">
        <f t="shared" si="0"/>
        <v/>
      </c>
      <c r="C24" s="650"/>
      <c r="D24" s="655">
        <v>0</v>
      </c>
      <c r="E24" s="236"/>
      <c r="F24" s="232" t="s">
        <v>2538</v>
      </c>
      <c r="G24" s="239"/>
      <c r="H24" s="652"/>
      <c r="I24" s="653"/>
      <c r="J24" s="654"/>
    </row>
    <row r="25" spans="1:10" x14ac:dyDescent="0.35">
      <c r="A25" s="615" t="s">
        <v>2596</v>
      </c>
      <c r="B25" s="616" t="str">
        <f t="shared" si="0"/>
        <v/>
      </c>
      <c r="C25" s="650"/>
      <c r="D25" s="651">
        <v>2</v>
      </c>
      <c r="E25" s="236"/>
      <c r="F25" s="232" t="s">
        <v>2572</v>
      </c>
      <c r="G25" s="239"/>
      <c r="H25" s="652"/>
      <c r="I25" s="653"/>
      <c r="J25" s="654"/>
    </row>
    <row r="26" spans="1:10" x14ac:dyDescent="0.35">
      <c r="A26" s="615" t="s">
        <v>2597</v>
      </c>
      <c r="B26" s="616" t="str">
        <f t="shared" si="0"/>
        <v/>
      </c>
      <c r="C26" s="665"/>
      <c r="D26" s="651">
        <v>2</v>
      </c>
      <c r="E26" s="236"/>
      <c r="F26" s="232" t="s">
        <v>2572</v>
      </c>
      <c r="G26" s="239"/>
      <c r="H26" s="652"/>
      <c r="I26" s="667"/>
      <c r="J26" s="654"/>
    </row>
    <row r="27" spans="1:10" x14ac:dyDescent="0.35">
      <c r="A27" s="615" t="s">
        <v>2598</v>
      </c>
      <c r="B27" s="616" t="str">
        <f t="shared" si="0"/>
        <v/>
      </c>
      <c r="C27" s="665"/>
      <c r="D27" s="651">
        <v>2</v>
      </c>
      <c r="E27" s="236"/>
      <c r="F27" s="232" t="s">
        <v>2572</v>
      </c>
      <c r="G27" s="239"/>
      <c r="H27" s="652"/>
      <c r="I27" s="667"/>
      <c r="J27" s="654"/>
    </row>
    <row r="28" spans="1:10" x14ac:dyDescent="0.35">
      <c r="A28" s="615" t="s">
        <v>2599</v>
      </c>
      <c r="B28" s="616" t="str">
        <f t="shared" si="0"/>
        <v/>
      </c>
      <c r="C28" s="665"/>
      <c r="D28" s="651">
        <v>2</v>
      </c>
      <c r="E28" s="236"/>
      <c r="F28" s="232" t="s">
        <v>2572</v>
      </c>
      <c r="G28" s="239"/>
      <c r="H28" s="652"/>
      <c r="I28" s="656"/>
      <c r="J28" s="654"/>
    </row>
    <row r="29" spans="1:10" x14ac:dyDescent="0.35">
      <c r="A29" s="615" t="s">
        <v>2600</v>
      </c>
      <c r="B29" s="616" t="str">
        <f t="shared" si="0"/>
        <v/>
      </c>
      <c r="C29" s="665"/>
      <c r="D29" s="651">
        <v>2</v>
      </c>
      <c r="E29" s="236"/>
      <c r="F29" s="232" t="s">
        <v>2572</v>
      </c>
      <c r="G29" s="239"/>
      <c r="H29" s="652"/>
      <c r="I29" s="656"/>
      <c r="J29" s="654"/>
    </row>
    <row r="30" spans="1:10" x14ac:dyDescent="0.35">
      <c r="A30" s="615" t="s">
        <v>2601</v>
      </c>
      <c r="B30" s="616" t="str">
        <f t="shared" si="0"/>
        <v/>
      </c>
      <c r="C30" s="665"/>
      <c r="D30" s="655">
        <v>6</v>
      </c>
      <c r="E30" s="236"/>
      <c r="F30" s="232" t="s">
        <v>2579</v>
      </c>
      <c r="G30" s="239" t="s">
        <v>2583</v>
      </c>
      <c r="H30" s="652"/>
      <c r="I30" s="656"/>
      <c r="J30" s="654"/>
    </row>
    <row r="31" spans="1:10" x14ac:dyDescent="0.35">
      <c r="A31" s="615" t="s">
        <v>2602</v>
      </c>
      <c r="B31" s="616" t="str">
        <f t="shared" si="0"/>
        <v/>
      </c>
      <c r="C31" s="665"/>
      <c r="D31" s="655" t="s">
        <v>75</v>
      </c>
      <c r="E31" s="236"/>
      <c r="F31" s="232" t="s">
        <v>76</v>
      </c>
      <c r="G31" s="239"/>
      <c r="H31" s="652"/>
      <c r="I31" s="656"/>
      <c r="J31" s="654"/>
    </row>
    <row r="32" spans="1:10" x14ac:dyDescent="0.35">
      <c r="A32" s="615" t="s">
        <v>2603</v>
      </c>
      <c r="B32" s="616" t="str">
        <f t="shared" si="0"/>
        <v/>
      </c>
      <c r="C32" s="665"/>
      <c r="D32" s="655">
        <v>2</v>
      </c>
      <c r="E32" s="236"/>
      <c r="F32" s="232" t="s">
        <v>2539</v>
      </c>
      <c r="G32" s="239" t="s">
        <v>2585</v>
      </c>
      <c r="H32" s="652"/>
      <c r="I32" s="656"/>
      <c r="J32" s="654"/>
    </row>
    <row r="33" spans="1:10" x14ac:dyDescent="0.35">
      <c r="A33" s="615" t="s">
        <v>2604</v>
      </c>
      <c r="B33" s="616" t="str">
        <f t="shared" si="0"/>
        <v/>
      </c>
      <c r="C33" s="665"/>
      <c r="D33" s="651">
        <v>2</v>
      </c>
      <c r="E33" s="236"/>
      <c r="F33" s="232" t="s">
        <v>2539</v>
      </c>
      <c r="G33" s="239" t="s">
        <v>2585</v>
      </c>
      <c r="H33" s="652"/>
      <c r="I33" s="656"/>
      <c r="J33" s="654"/>
    </row>
    <row r="34" spans="1:10" x14ac:dyDescent="0.35">
      <c r="A34" s="615" t="s">
        <v>2605</v>
      </c>
      <c r="B34" s="616" t="str">
        <f t="shared" si="0"/>
        <v/>
      </c>
      <c r="C34" s="665"/>
      <c r="D34" s="651">
        <v>2</v>
      </c>
      <c r="E34" s="236"/>
      <c r="F34" s="232" t="s">
        <v>2539</v>
      </c>
      <c r="G34" s="239" t="s">
        <v>2585</v>
      </c>
      <c r="H34" s="652"/>
      <c r="I34" s="656"/>
      <c r="J34" s="654"/>
    </row>
    <row r="35" spans="1:10" x14ac:dyDescent="0.35">
      <c r="A35" s="615" t="s">
        <v>2606</v>
      </c>
      <c r="B35" s="616" t="str">
        <f t="shared" si="0"/>
        <v/>
      </c>
      <c r="C35" s="665"/>
      <c r="D35" s="651">
        <v>2</v>
      </c>
      <c r="E35" s="236"/>
      <c r="F35" s="232" t="s">
        <v>2539</v>
      </c>
      <c r="G35" s="239" t="s">
        <v>2585</v>
      </c>
      <c r="H35" s="652"/>
      <c r="I35" s="656"/>
      <c r="J35" s="654"/>
    </row>
    <row r="36" spans="1:10" x14ac:dyDescent="0.35">
      <c r="A36" s="615" t="s">
        <v>2607</v>
      </c>
      <c r="B36" s="616" t="str">
        <f t="shared" si="0"/>
        <v/>
      </c>
      <c r="C36" s="665"/>
      <c r="D36" s="651">
        <v>2</v>
      </c>
      <c r="E36" s="236"/>
      <c r="F36" s="232" t="s">
        <v>2539</v>
      </c>
      <c r="G36" s="239" t="s">
        <v>2585</v>
      </c>
      <c r="H36" s="652"/>
      <c r="I36" s="656"/>
      <c r="J36" s="654"/>
    </row>
    <row r="37" spans="1:10" x14ac:dyDescent="0.35">
      <c r="A37" s="615" t="s">
        <v>2608</v>
      </c>
      <c r="B37" s="616" t="str">
        <f t="shared" si="0"/>
        <v/>
      </c>
      <c r="C37" s="665"/>
      <c r="D37" s="651">
        <v>2</v>
      </c>
      <c r="E37" s="236"/>
      <c r="F37" s="232" t="s">
        <v>2539</v>
      </c>
      <c r="G37" s="239" t="s">
        <v>2585</v>
      </c>
      <c r="H37" s="652"/>
      <c r="I37" s="656"/>
      <c r="J37" s="654"/>
    </row>
    <row r="38" spans="1:10" ht="48" x14ac:dyDescent="0.35">
      <c r="A38" s="615" t="s">
        <v>2609</v>
      </c>
      <c r="B38" s="616" t="str">
        <f t="shared" si="0"/>
        <v/>
      </c>
      <c r="C38" s="665"/>
      <c r="D38" s="655" t="s">
        <v>75</v>
      </c>
      <c r="E38" s="236"/>
      <c r="F38" s="232" t="s">
        <v>76</v>
      </c>
      <c r="G38" s="657" t="s">
        <v>2591</v>
      </c>
      <c r="H38" s="652"/>
      <c r="I38" s="656"/>
      <c r="J38" s="654"/>
    </row>
    <row r="39" spans="1:10" x14ac:dyDescent="0.35">
      <c r="A39" s="615" t="s">
        <v>2610</v>
      </c>
      <c r="B39" s="616" t="str">
        <f t="shared" si="0"/>
        <v/>
      </c>
      <c r="C39" s="665"/>
      <c r="D39" s="655">
        <v>2</v>
      </c>
      <c r="E39" s="236"/>
      <c r="F39" s="232" t="s">
        <v>2539</v>
      </c>
      <c r="G39" s="239"/>
      <c r="H39" s="652"/>
      <c r="I39" s="656"/>
      <c r="J39" s="654"/>
    </row>
    <row r="40" spans="1:10" x14ac:dyDescent="0.35">
      <c r="A40" s="615" t="s">
        <v>2611</v>
      </c>
      <c r="B40" s="616" t="str">
        <f t="shared" si="0"/>
        <v/>
      </c>
      <c r="C40" s="650"/>
      <c r="D40" s="655">
        <v>0</v>
      </c>
      <c r="E40" s="236"/>
      <c r="F40" s="232" t="s">
        <v>2538</v>
      </c>
      <c r="G40" s="239"/>
      <c r="H40" s="652"/>
      <c r="I40" s="653"/>
      <c r="J40" s="654"/>
    </row>
    <row r="41" spans="1:10" x14ac:dyDescent="0.35">
      <c r="A41" s="615" t="s">
        <v>2612</v>
      </c>
      <c r="B41" s="616" t="str">
        <f t="shared" si="0"/>
        <v/>
      </c>
      <c r="C41" s="650"/>
      <c r="D41" s="655">
        <v>0</v>
      </c>
      <c r="E41" s="236"/>
      <c r="F41" s="232" t="s">
        <v>2538</v>
      </c>
      <c r="G41" s="239"/>
      <c r="H41" s="652"/>
      <c r="I41" s="653"/>
      <c r="J41" s="654"/>
    </row>
    <row r="42" spans="1:10" x14ac:dyDescent="0.35">
      <c r="A42" s="615" t="s">
        <v>2613</v>
      </c>
      <c r="B42" s="616" t="str">
        <f t="shared" si="0"/>
        <v/>
      </c>
      <c r="C42" s="650"/>
      <c r="D42" s="655">
        <v>0</v>
      </c>
      <c r="E42" s="236"/>
      <c r="F42" s="232" t="s">
        <v>2538</v>
      </c>
      <c r="G42" s="239"/>
      <c r="H42" s="652"/>
      <c r="I42" s="653"/>
      <c r="J42" s="654"/>
    </row>
    <row r="43" spans="1:10" x14ac:dyDescent="0.35">
      <c r="A43" s="615" t="s">
        <v>2614</v>
      </c>
      <c r="B43" s="616" t="str">
        <f t="shared" si="0"/>
        <v/>
      </c>
      <c r="C43" s="650"/>
      <c r="D43" s="651">
        <v>2</v>
      </c>
      <c r="E43" s="236"/>
      <c r="F43" s="232" t="s">
        <v>2572</v>
      </c>
      <c r="G43" s="239"/>
      <c r="H43" s="652"/>
      <c r="I43" s="653"/>
      <c r="J43" s="654"/>
    </row>
    <row r="44" spans="1:10" x14ac:dyDescent="0.35">
      <c r="A44" s="615" t="s">
        <v>2615</v>
      </c>
      <c r="B44" s="616" t="str">
        <f t="shared" si="0"/>
        <v/>
      </c>
      <c r="C44" s="665"/>
      <c r="D44" s="651">
        <v>2</v>
      </c>
      <c r="E44" s="236"/>
      <c r="F44" s="232" t="s">
        <v>2572</v>
      </c>
      <c r="G44" s="239"/>
      <c r="H44" s="652"/>
      <c r="I44" s="667"/>
      <c r="J44" s="654"/>
    </row>
    <row r="45" spans="1:10" x14ac:dyDescent="0.35">
      <c r="A45" s="615" t="s">
        <v>2616</v>
      </c>
      <c r="B45" s="616" t="str">
        <f t="shared" si="0"/>
        <v/>
      </c>
      <c r="C45" s="665"/>
      <c r="D45" s="651">
        <v>2</v>
      </c>
      <c r="E45" s="236"/>
      <c r="F45" s="232" t="s">
        <v>2572</v>
      </c>
      <c r="G45" s="239"/>
      <c r="H45" s="652"/>
      <c r="I45" s="667"/>
      <c r="J45" s="654"/>
    </row>
    <row r="46" spans="1:10" x14ac:dyDescent="0.35">
      <c r="A46" s="615" t="s">
        <v>2617</v>
      </c>
      <c r="B46" s="616" t="str">
        <f t="shared" si="0"/>
        <v/>
      </c>
      <c r="C46" s="665"/>
      <c r="D46" s="651">
        <v>2</v>
      </c>
      <c r="E46" s="236"/>
      <c r="F46" s="232" t="s">
        <v>2572</v>
      </c>
      <c r="G46" s="239"/>
      <c r="H46" s="652"/>
      <c r="I46" s="656"/>
      <c r="J46" s="654"/>
    </row>
    <row r="47" spans="1:10" x14ac:dyDescent="0.35">
      <c r="A47" s="615" t="s">
        <v>2618</v>
      </c>
      <c r="B47" s="616" t="str">
        <f t="shared" si="0"/>
        <v/>
      </c>
      <c r="C47" s="665"/>
      <c r="D47" s="651">
        <v>2</v>
      </c>
      <c r="E47" s="236"/>
      <c r="F47" s="232" t="s">
        <v>2572</v>
      </c>
      <c r="G47" s="239"/>
      <c r="H47" s="652"/>
      <c r="I47" s="656"/>
      <c r="J47" s="654"/>
    </row>
    <row r="48" spans="1:10" x14ac:dyDescent="0.35">
      <c r="A48" s="615" t="s">
        <v>2619</v>
      </c>
      <c r="B48" s="616" t="str">
        <f t="shared" si="0"/>
        <v/>
      </c>
      <c r="C48" s="665"/>
      <c r="D48" s="655">
        <v>6</v>
      </c>
      <c r="E48" s="236"/>
      <c r="F48" s="232" t="s">
        <v>2579</v>
      </c>
      <c r="G48" s="239" t="s">
        <v>2583</v>
      </c>
      <c r="H48" s="652"/>
      <c r="I48" s="656"/>
      <c r="J48" s="654"/>
    </row>
    <row r="49" spans="1:10" x14ac:dyDescent="0.35">
      <c r="A49" s="615" t="s">
        <v>2620</v>
      </c>
      <c r="B49" s="616" t="str">
        <f t="shared" si="0"/>
        <v/>
      </c>
      <c r="C49" s="665"/>
      <c r="D49" s="655" t="s">
        <v>75</v>
      </c>
      <c r="E49" s="236"/>
      <c r="F49" s="232" t="s">
        <v>76</v>
      </c>
      <c r="G49" s="239"/>
      <c r="H49" s="652"/>
      <c r="I49" s="656"/>
      <c r="J49" s="654"/>
    </row>
    <row r="50" spans="1:10" x14ac:dyDescent="0.35">
      <c r="A50" s="615" t="s">
        <v>2621</v>
      </c>
      <c r="B50" s="616" t="str">
        <f t="shared" si="0"/>
        <v/>
      </c>
      <c r="C50" s="665"/>
      <c r="D50" s="655">
        <v>2</v>
      </c>
      <c r="E50" s="236"/>
      <c r="F50" s="232" t="s">
        <v>2539</v>
      </c>
      <c r="G50" s="239" t="s">
        <v>2585</v>
      </c>
      <c r="H50" s="652"/>
      <c r="I50" s="656"/>
      <c r="J50" s="654"/>
    </row>
    <row r="51" spans="1:10" x14ac:dyDescent="0.35">
      <c r="A51" s="615" t="s">
        <v>2622</v>
      </c>
      <c r="B51" s="616" t="str">
        <f t="shared" si="0"/>
        <v/>
      </c>
      <c r="C51" s="665"/>
      <c r="D51" s="651">
        <v>2</v>
      </c>
      <c r="E51" s="236"/>
      <c r="F51" s="232" t="s">
        <v>2539</v>
      </c>
      <c r="G51" s="239" t="s">
        <v>2585</v>
      </c>
      <c r="H51" s="652"/>
      <c r="I51" s="656"/>
      <c r="J51" s="654"/>
    </row>
    <row r="52" spans="1:10" x14ac:dyDescent="0.35">
      <c r="A52" s="615" t="s">
        <v>2623</v>
      </c>
      <c r="B52" s="616" t="str">
        <f t="shared" si="0"/>
        <v/>
      </c>
      <c r="C52" s="665"/>
      <c r="D52" s="651">
        <v>2</v>
      </c>
      <c r="E52" s="236"/>
      <c r="F52" s="232" t="s">
        <v>2539</v>
      </c>
      <c r="G52" s="239" t="s">
        <v>2585</v>
      </c>
      <c r="H52" s="652"/>
      <c r="I52" s="656"/>
      <c r="J52" s="654"/>
    </row>
    <row r="53" spans="1:10" x14ac:dyDescent="0.35">
      <c r="A53" s="615" t="s">
        <v>2624</v>
      </c>
      <c r="B53" s="616" t="str">
        <f t="shared" si="0"/>
        <v/>
      </c>
      <c r="C53" s="665"/>
      <c r="D53" s="651">
        <v>2</v>
      </c>
      <c r="E53" s="236"/>
      <c r="F53" s="232" t="s">
        <v>2539</v>
      </c>
      <c r="G53" s="239" t="s">
        <v>2585</v>
      </c>
      <c r="H53" s="652"/>
      <c r="I53" s="656"/>
      <c r="J53" s="654"/>
    </row>
    <row r="54" spans="1:10" x14ac:dyDescent="0.35">
      <c r="A54" s="615" t="s">
        <v>2625</v>
      </c>
      <c r="B54" s="616" t="str">
        <f t="shared" si="0"/>
        <v/>
      </c>
      <c r="C54" s="665"/>
      <c r="D54" s="651">
        <v>2</v>
      </c>
      <c r="E54" s="236"/>
      <c r="F54" s="232" t="s">
        <v>2539</v>
      </c>
      <c r="G54" s="239" t="s">
        <v>2585</v>
      </c>
      <c r="H54" s="652"/>
      <c r="I54" s="656"/>
      <c r="J54" s="654"/>
    </row>
    <row r="55" spans="1:10" x14ac:dyDescent="0.35">
      <c r="A55" s="615" t="s">
        <v>2626</v>
      </c>
      <c r="B55" s="616" t="str">
        <f t="shared" si="0"/>
        <v/>
      </c>
      <c r="C55" s="665"/>
      <c r="D55" s="651">
        <v>2</v>
      </c>
      <c r="E55" s="236"/>
      <c r="F55" s="232" t="s">
        <v>2539</v>
      </c>
      <c r="G55" s="239" t="s">
        <v>2585</v>
      </c>
      <c r="H55" s="652"/>
      <c r="I55" s="656"/>
      <c r="J55" s="654"/>
    </row>
    <row r="56" spans="1:10" ht="48" x14ac:dyDescent="0.35">
      <c r="A56" s="615" t="s">
        <v>2627</v>
      </c>
      <c r="B56" s="616" t="str">
        <f t="shared" si="0"/>
        <v/>
      </c>
      <c r="C56" s="665"/>
      <c r="D56" s="655" t="s">
        <v>75</v>
      </c>
      <c r="E56" s="236"/>
      <c r="F56" s="232" t="s">
        <v>76</v>
      </c>
      <c r="G56" s="657" t="s">
        <v>2591</v>
      </c>
      <c r="H56" s="652"/>
      <c r="I56" s="656"/>
      <c r="J56" s="654"/>
    </row>
    <row r="57" spans="1:10" x14ac:dyDescent="0.35">
      <c r="A57" s="615" t="s">
        <v>2628</v>
      </c>
      <c r="B57" s="616" t="str">
        <f t="shared" si="0"/>
        <v/>
      </c>
      <c r="C57" s="665"/>
      <c r="D57" s="655">
        <v>2</v>
      </c>
      <c r="E57" s="236"/>
      <c r="F57" s="232" t="s">
        <v>2539</v>
      </c>
      <c r="G57" s="239"/>
      <c r="H57" s="652"/>
      <c r="I57" s="656"/>
      <c r="J57" s="654"/>
    </row>
    <row r="58" spans="1:10" x14ac:dyDescent="0.35">
      <c r="A58" s="615" t="s">
        <v>2629</v>
      </c>
      <c r="B58" s="616" t="str">
        <f t="shared" si="0"/>
        <v/>
      </c>
      <c r="C58" s="650"/>
      <c r="D58" s="655">
        <v>0</v>
      </c>
      <c r="E58" s="236"/>
      <c r="F58" s="232" t="s">
        <v>2538</v>
      </c>
      <c r="G58" s="239"/>
      <c r="H58" s="652"/>
      <c r="I58" s="653"/>
      <c r="J58" s="654"/>
    </row>
    <row r="59" spans="1:10" x14ac:dyDescent="0.35">
      <c r="A59" s="615" t="s">
        <v>2630</v>
      </c>
      <c r="B59" s="616" t="str">
        <f t="shared" si="0"/>
        <v/>
      </c>
      <c r="C59" s="650"/>
      <c r="D59" s="655">
        <v>0</v>
      </c>
      <c r="E59" s="236"/>
      <c r="F59" s="232" t="s">
        <v>2538</v>
      </c>
      <c r="G59" s="239"/>
      <c r="H59" s="652"/>
      <c r="I59" s="653"/>
      <c r="J59" s="654"/>
    </row>
    <row r="60" spans="1:10" x14ac:dyDescent="0.35">
      <c r="A60" s="615" t="s">
        <v>2631</v>
      </c>
      <c r="B60" s="616" t="str">
        <f t="shared" si="0"/>
        <v/>
      </c>
      <c r="C60" s="650"/>
      <c r="D60" s="655">
        <v>0</v>
      </c>
      <c r="E60" s="236"/>
      <c r="F60" s="232" t="s">
        <v>2538</v>
      </c>
      <c r="G60" s="239"/>
      <c r="H60" s="652"/>
      <c r="I60" s="653"/>
      <c r="J60" s="654"/>
    </row>
    <row r="61" spans="1:10" x14ac:dyDescent="0.35">
      <c r="A61" s="615" t="s">
        <v>2632</v>
      </c>
      <c r="B61" s="616" t="str">
        <f t="shared" si="0"/>
        <v/>
      </c>
      <c r="C61" s="650"/>
      <c r="D61" s="651">
        <v>2</v>
      </c>
      <c r="E61" s="236"/>
      <c r="F61" s="232" t="s">
        <v>2572</v>
      </c>
      <c r="G61" s="239"/>
      <c r="H61" s="652"/>
      <c r="I61" s="653"/>
      <c r="J61" s="654"/>
    </row>
    <row r="62" spans="1:10" x14ac:dyDescent="0.35">
      <c r="A62" s="615" t="s">
        <v>2633</v>
      </c>
      <c r="B62" s="616" t="str">
        <f t="shared" si="0"/>
        <v/>
      </c>
      <c r="C62" s="665"/>
      <c r="D62" s="651">
        <v>2</v>
      </c>
      <c r="E62" s="236"/>
      <c r="F62" s="232" t="s">
        <v>2572</v>
      </c>
      <c r="G62" s="239"/>
      <c r="H62" s="652"/>
      <c r="I62" s="667"/>
      <c r="J62" s="654"/>
    </row>
    <row r="63" spans="1:10" x14ac:dyDescent="0.35">
      <c r="A63" s="615" t="s">
        <v>2634</v>
      </c>
      <c r="B63" s="616" t="str">
        <f t="shared" si="0"/>
        <v/>
      </c>
      <c r="C63" s="665"/>
      <c r="D63" s="651">
        <v>2</v>
      </c>
      <c r="E63" s="236"/>
      <c r="F63" s="232" t="s">
        <v>2572</v>
      </c>
      <c r="G63" s="239"/>
      <c r="H63" s="652"/>
      <c r="I63" s="667"/>
      <c r="J63" s="654"/>
    </row>
    <row r="64" spans="1:10" x14ac:dyDescent="0.35">
      <c r="A64" s="615" t="s">
        <v>2635</v>
      </c>
      <c r="B64" s="616" t="str">
        <f t="shared" si="0"/>
        <v/>
      </c>
      <c r="C64" s="665"/>
      <c r="D64" s="651">
        <v>2</v>
      </c>
      <c r="E64" s="236"/>
      <c r="F64" s="232" t="s">
        <v>2572</v>
      </c>
      <c r="G64" s="239"/>
      <c r="H64" s="652"/>
      <c r="I64" s="656"/>
      <c r="J64" s="654"/>
    </row>
    <row r="65" spans="1:10" x14ac:dyDescent="0.35">
      <c r="A65" s="615" t="s">
        <v>2636</v>
      </c>
      <c r="B65" s="616" t="str">
        <f t="shared" si="0"/>
        <v/>
      </c>
      <c r="C65" s="665"/>
      <c r="D65" s="651">
        <v>2</v>
      </c>
      <c r="E65" s="236"/>
      <c r="F65" s="232" t="s">
        <v>2572</v>
      </c>
      <c r="G65" s="239"/>
      <c r="H65" s="652"/>
      <c r="I65" s="656"/>
      <c r="J65" s="654"/>
    </row>
    <row r="66" spans="1:10" x14ac:dyDescent="0.35">
      <c r="A66" s="615" t="s">
        <v>2637</v>
      </c>
      <c r="B66" s="616" t="str">
        <f t="shared" si="0"/>
        <v/>
      </c>
      <c r="C66" s="665"/>
      <c r="D66" s="655">
        <v>6</v>
      </c>
      <c r="E66" s="236"/>
      <c r="F66" s="232" t="s">
        <v>2579</v>
      </c>
      <c r="G66" s="239" t="s">
        <v>2583</v>
      </c>
      <c r="H66" s="652"/>
      <c r="I66" s="656"/>
      <c r="J66" s="654"/>
    </row>
    <row r="67" spans="1:10" x14ac:dyDescent="0.35">
      <c r="A67" s="615" t="s">
        <v>2638</v>
      </c>
      <c r="B67" s="616" t="str">
        <f t="shared" si="0"/>
        <v/>
      </c>
      <c r="C67" s="665"/>
      <c r="D67" s="655" t="s">
        <v>75</v>
      </c>
      <c r="E67" s="236"/>
      <c r="F67" s="232" t="s">
        <v>76</v>
      </c>
      <c r="G67" s="239"/>
      <c r="H67" s="652"/>
      <c r="I67" s="656"/>
      <c r="J67" s="654"/>
    </row>
    <row r="68" spans="1:10" x14ac:dyDescent="0.35">
      <c r="A68" s="615" t="s">
        <v>2639</v>
      </c>
      <c r="B68" s="616" t="str">
        <f t="shared" ref="B68:B131" si="1">IF(C68="","",IF(D68="Datum",TEXT(DAY(C68),"00")&amp;"."&amp;TEXT(MONTH(C68),"00")&amp;"."&amp;TEXT(YEAR(C68),"0000"),IF(AND(ISNUMBER(C68),D68="x"),TEXT(C68,"@"),IF(ISNUMBER(C68),TEXT(ROUNDDOWN(C68,0),0)&amp;IF(D68=0,"","."&amp;IF(C68-ROUNDDOWN(C68,0)=0,LEFT("0000000000",D68),TEXT((C68-ROUNDDOWN(C68,0))*(1&amp; LEFT("0000000000",$D68)),LEFT("0000000000",$D68)))),C68))))</f>
        <v/>
      </c>
      <c r="C68" s="665"/>
      <c r="D68" s="655">
        <v>2</v>
      </c>
      <c r="E68" s="236"/>
      <c r="F68" s="232" t="s">
        <v>2539</v>
      </c>
      <c r="G68" s="239" t="s">
        <v>2585</v>
      </c>
      <c r="H68" s="652"/>
      <c r="I68" s="656"/>
      <c r="J68" s="654"/>
    </row>
    <row r="69" spans="1:10" x14ac:dyDescent="0.35">
      <c r="A69" s="615" t="s">
        <v>2640</v>
      </c>
      <c r="B69" s="616" t="str">
        <f t="shared" si="1"/>
        <v/>
      </c>
      <c r="C69" s="665"/>
      <c r="D69" s="651">
        <v>2</v>
      </c>
      <c r="E69" s="236"/>
      <c r="F69" s="232" t="s">
        <v>2539</v>
      </c>
      <c r="G69" s="239" t="s">
        <v>2585</v>
      </c>
      <c r="H69" s="652"/>
      <c r="I69" s="656"/>
      <c r="J69" s="654"/>
    </row>
    <row r="70" spans="1:10" x14ac:dyDescent="0.35">
      <c r="A70" s="615" t="s">
        <v>2641</v>
      </c>
      <c r="B70" s="616" t="str">
        <f t="shared" si="1"/>
        <v/>
      </c>
      <c r="C70" s="665"/>
      <c r="D70" s="651">
        <v>2</v>
      </c>
      <c r="E70" s="236"/>
      <c r="F70" s="232" t="s">
        <v>2539</v>
      </c>
      <c r="G70" s="239" t="s">
        <v>2585</v>
      </c>
      <c r="H70" s="652"/>
      <c r="I70" s="656"/>
      <c r="J70" s="654"/>
    </row>
    <row r="71" spans="1:10" x14ac:dyDescent="0.35">
      <c r="A71" s="615" t="s">
        <v>2642</v>
      </c>
      <c r="B71" s="616" t="str">
        <f t="shared" si="1"/>
        <v/>
      </c>
      <c r="C71" s="665"/>
      <c r="D71" s="651">
        <v>2</v>
      </c>
      <c r="E71" s="236"/>
      <c r="F71" s="232" t="s">
        <v>2539</v>
      </c>
      <c r="G71" s="239" t="s">
        <v>2585</v>
      </c>
      <c r="H71" s="652"/>
      <c r="I71" s="656"/>
      <c r="J71" s="654"/>
    </row>
    <row r="72" spans="1:10" x14ac:dyDescent="0.35">
      <c r="A72" s="615" t="s">
        <v>2643</v>
      </c>
      <c r="B72" s="616" t="str">
        <f t="shared" si="1"/>
        <v/>
      </c>
      <c r="C72" s="665"/>
      <c r="D72" s="651">
        <v>2</v>
      </c>
      <c r="E72" s="236"/>
      <c r="F72" s="232" t="s">
        <v>2539</v>
      </c>
      <c r="G72" s="239" t="s">
        <v>2585</v>
      </c>
      <c r="H72" s="652"/>
      <c r="I72" s="656"/>
      <c r="J72" s="654"/>
    </row>
    <row r="73" spans="1:10" x14ac:dyDescent="0.35">
      <c r="A73" s="615" t="s">
        <v>2644</v>
      </c>
      <c r="B73" s="616" t="str">
        <f t="shared" si="1"/>
        <v/>
      </c>
      <c r="C73" s="665"/>
      <c r="D73" s="651">
        <v>2</v>
      </c>
      <c r="E73" s="236"/>
      <c r="F73" s="232" t="s">
        <v>2539</v>
      </c>
      <c r="G73" s="239" t="s">
        <v>2585</v>
      </c>
      <c r="H73" s="652"/>
      <c r="I73" s="656"/>
      <c r="J73" s="654"/>
    </row>
    <row r="74" spans="1:10" ht="48" x14ac:dyDescent="0.35">
      <c r="A74" s="615" t="s">
        <v>2645</v>
      </c>
      <c r="B74" s="616" t="str">
        <f t="shared" si="1"/>
        <v/>
      </c>
      <c r="C74" s="665"/>
      <c r="D74" s="655" t="s">
        <v>75</v>
      </c>
      <c r="E74" s="236"/>
      <c r="F74" s="232" t="s">
        <v>76</v>
      </c>
      <c r="G74" s="657" t="s">
        <v>2591</v>
      </c>
      <c r="H74" s="652"/>
      <c r="I74" s="656"/>
      <c r="J74" s="654"/>
    </row>
    <row r="75" spans="1:10" x14ac:dyDescent="0.35">
      <c r="A75" s="615" t="s">
        <v>2646</v>
      </c>
      <c r="B75" s="616" t="str">
        <f t="shared" si="1"/>
        <v/>
      </c>
      <c r="C75" s="665"/>
      <c r="D75" s="655">
        <v>2</v>
      </c>
      <c r="E75" s="236"/>
      <c r="F75" s="232" t="s">
        <v>2539</v>
      </c>
      <c r="G75" s="239"/>
      <c r="H75" s="652"/>
      <c r="I75" s="656"/>
      <c r="J75" s="654"/>
    </row>
    <row r="76" spans="1:10" x14ac:dyDescent="0.35">
      <c r="A76" s="615" t="s">
        <v>2647</v>
      </c>
      <c r="B76" s="616" t="str">
        <f t="shared" si="1"/>
        <v/>
      </c>
      <c r="C76" s="650"/>
      <c r="D76" s="655">
        <v>0</v>
      </c>
      <c r="E76" s="236"/>
      <c r="F76" s="232" t="s">
        <v>2538</v>
      </c>
      <c r="G76" s="239"/>
      <c r="H76" s="652"/>
      <c r="I76" s="653"/>
      <c r="J76" s="654"/>
    </row>
    <row r="77" spans="1:10" x14ac:dyDescent="0.35">
      <c r="A77" s="615" t="s">
        <v>2648</v>
      </c>
      <c r="B77" s="616" t="str">
        <f t="shared" si="1"/>
        <v/>
      </c>
      <c r="C77" s="650"/>
      <c r="D77" s="655">
        <v>0</v>
      </c>
      <c r="E77" s="236"/>
      <c r="F77" s="232" t="s">
        <v>2538</v>
      </c>
      <c r="G77" s="239"/>
      <c r="H77" s="652"/>
      <c r="I77" s="653"/>
      <c r="J77" s="654"/>
    </row>
    <row r="78" spans="1:10" x14ac:dyDescent="0.35">
      <c r="A78" s="615" t="s">
        <v>2649</v>
      </c>
      <c r="B78" s="616" t="str">
        <f t="shared" si="1"/>
        <v/>
      </c>
      <c r="C78" s="650"/>
      <c r="D78" s="655">
        <v>0</v>
      </c>
      <c r="E78" s="236"/>
      <c r="F78" s="232" t="s">
        <v>2538</v>
      </c>
      <c r="G78" s="239"/>
      <c r="H78" s="652"/>
      <c r="I78" s="653"/>
      <c r="J78" s="654"/>
    </row>
    <row r="79" spans="1:10" x14ac:dyDescent="0.35">
      <c r="A79" s="615" t="s">
        <v>2650</v>
      </c>
      <c r="B79" s="616" t="str">
        <f t="shared" si="1"/>
        <v/>
      </c>
      <c r="C79" s="650"/>
      <c r="D79" s="651">
        <v>2</v>
      </c>
      <c r="E79" s="236"/>
      <c r="F79" s="232" t="s">
        <v>2572</v>
      </c>
      <c r="G79" s="239"/>
      <c r="H79" s="652"/>
      <c r="I79" s="653"/>
      <c r="J79" s="654"/>
    </row>
    <row r="80" spans="1:10" x14ac:dyDescent="0.35">
      <c r="A80" s="615" t="s">
        <v>2651</v>
      </c>
      <c r="B80" s="616" t="str">
        <f t="shared" si="1"/>
        <v/>
      </c>
      <c r="C80" s="665"/>
      <c r="D80" s="651">
        <v>2</v>
      </c>
      <c r="E80" s="236"/>
      <c r="F80" s="232" t="s">
        <v>2572</v>
      </c>
      <c r="G80" s="239"/>
      <c r="H80" s="652"/>
      <c r="I80" s="667"/>
      <c r="J80" s="654"/>
    </row>
    <row r="81" spans="1:10" x14ac:dyDescent="0.35">
      <c r="A81" s="615" t="s">
        <v>2652</v>
      </c>
      <c r="B81" s="616" t="str">
        <f t="shared" si="1"/>
        <v/>
      </c>
      <c r="C81" s="665"/>
      <c r="D81" s="651">
        <v>2</v>
      </c>
      <c r="E81" s="236"/>
      <c r="F81" s="232" t="s">
        <v>2572</v>
      </c>
      <c r="G81" s="239"/>
      <c r="H81" s="652"/>
      <c r="I81" s="667"/>
      <c r="J81" s="654"/>
    </row>
    <row r="82" spans="1:10" x14ac:dyDescent="0.35">
      <c r="A82" s="615" t="s">
        <v>2653</v>
      </c>
      <c r="B82" s="616" t="str">
        <f t="shared" si="1"/>
        <v/>
      </c>
      <c r="C82" s="665"/>
      <c r="D82" s="651">
        <v>2</v>
      </c>
      <c r="E82" s="236"/>
      <c r="F82" s="232" t="s">
        <v>2572</v>
      </c>
      <c r="G82" s="239"/>
      <c r="H82" s="652"/>
      <c r="I82" s="656"/>
      <c r="J82" s="654"/>
    </row>
    <row r="83" spans="1:10" x14ac:dyDescent="0.35">
      <c r="A83" s="615" t="s">
        <v>2654</v>
      </c>
      <c r="B83" s="616" t="str">
        <f t="shared" si="1"/>
        <v/>
      </c>
      <c r="C83" s="665"/>
      <c r="D83" s="651">
        <v>2</v>
      </c>
      <c r="E83" s="236"/>
      <c r="F83" s="232" t="s">
        <v>2572</v>
      </c>
      <c r="G83" s="239"/>
      <c r="H83" s="652"/>
      <c r="I83" s="656"/>
      <c r="J83" s="654"/>
    </row>
    <row r="84" spans="1:10" x14ac:dyDescent="0.35">
      <c r="A84" s="615" t="s">
        <v>2655</v>
      </c>
      <c r="B84" s="616" t="str">
        <f t="shared" si="1"/>
        <v/>
      </c>
      <c r="C84" s="665"/>
      <c r="D84" s="655">
        <v>6</v>
      </c>
      <c r="E84" s="236"/>
      <c r="F84" s="232" t="s">
        <v>2579</v>
      </c>
      <c r="G84" s="239" t="s">
        <v>2583</v>
      </c>
      <c r="H84" s="652"/>
      <c r="I84" s="656"/>
      <c r="J84" s="654"/>
    </row>
    <row r="85" spans="1:10" x14ac:dyDescent="0.35">
      <c r="A85" s="615" t="s">
        <v>2656</v>
      </c>
      <c r="B85" s="616" t="str">
        <f t="shared" si="1"/>
        <v/>
      </c>
      <c r="C85" s="665"/>
      <c r="D85" s="655" t="s">
        <v>75</v>
      </c>
      <c r="E85" s="236"/>
      <c r="F85" s="232" t="s">
        <v>76</v>
      </c>
      <c r="G85" s="239"/>
      <c r="H85" s="652"/>
      <c r="I85" s="656"/>
      <c r="J85" s="654"/>
    </row>
    <row r="86" spans="1:10" x14ac:dyDescent="0.35">
      <c r="A86" s="615" t="s">
        <v>2657</v>
      </c>
      <c r="B86" s="616" t="str">
        <f t="shared" si="1"/>
        <v/>
      </c>
      <c r="C86" s="665"/>
      <c r="D86" s="655">
        <v>2</v>
      </c>
      <c r="E86" s="236"/>
      <c r="F86" s="232" t="s">
        <v>2539</v>
      </c>
      <c r="G86" s="239" t="s">
        <v>2585</v>
      </c>
      <c r="H86" s="652"/>
      <c r="I86" s="656"/>
      <c r="J86" s="654"/>
    </row>
    <row r="87" spans="1:10" x14ac:dyDescent="0.35">
      <c r="A87" s="615" t="s">
        <v>2658</v>
      </c>
      <c r="B87" s="616" t="str">
        <f t="shared" si="1"/>
        <v/>
      </c>
      <c r="C87" s="665"/>
      <c r="D87" s="651">
        <v>2</v>
      </c>
      <c r="E87" s="236"/>
      <c r="F87" s="232" t="s">
        <v>2539</v>
      </c>
      <c r="G87" s="239" t="s">
        <v>2585</v>
      </c>
      <c r="H87" s="652"/>
      <c r="I87" s="656"/>
      <c r="J87" s="654"/>
    </row>
    <row r="88" spans="1:10" x14ac:dyDescent="0.35">
      <c r="A88" s="615" t="s">
        <v>2659</v>
      </c>
      <c r="B88" s="616" t="str">
        <f t="shared" si="1"/>
        <v/>
      </c>
      <c r="C88" s="665"/>
      <c r="D88" s="651">
        <v>2</v>
      </c>
      <c r="E88" s="236"/>
      <c r="F88" s="232" t="s">
        <v>2539</v>
      </c>
      <c r="G88" s="239" t="s">
        <v>2585</v>
      </c>
      <c r="H88" s="652"/>
      <c r="I88" s="656"/>
      <c r="J88" s="654"/>
    </row>
    <row r="89" spans="1:10" x14ac:dyDescent="0.35">
      <c r="A89" s="615" t="s">
        <v>2660</v>
      </c>
      <c r="B89" s="616" t="str">
        <f t="shared" si="1"/>
        <v/>
      </c>
      <c r="C89" s="665"/>
      <c r="D89" s="651">
        <v>2</v>
      </c>
      <c r="E89" s="236"/>
      <c r="F89" s="232" t="s">
        <v>2539</v>
      </c>
      <c r="G89" s="239" t="s">
        <v>2585</v>
      </c>
      <c r="H89" s="652"/>
      <c r="I89" s="656"/>
      <c r="J89" s="654"/>
    </row>
    <row r="90" spans="1:10" x14ac:dyDescent="0.35">
      <c r="A90" s="615" t="s">
        <v>2661</v>
      </c>
      <c r="B90" s="616" t="str">
        <f t="shared" si="1"/>
        <v/>
      </c>
      <c r="C90" s="665"/>
      <c r="D90" s="651">
        <v>2</v>
      </c>
      <c r="E90" s="236"/>
      <c r="F90" s="232" t="s">
        <v>2539</v>
      </c>
      <c r="G90" s="239" t="s">
        <v>2585</v>
      </c>
      <c r="H90" s="652"/>
      <c r="I90" s="656"/>
      <c r="J90" s="654"/>
    </row>
    <row r="91" spans="1:10" x14ac:dyDescent="0.35">
      <c r="A91" s="615" t="s">
        <v>2662</v>
      </c>
      <c r="B91" s="616" t="str">
        <f t="shared" si="1"/>
        <v/>
      </c>
      <c r="C91" s="665"/>
      <c r="D91" s="651">
        <v>2</v>
      </c>
      <c r="E91" s="236"/>
      <c r="F91" s="232" t="s">
        <v>2539</v>
      </c>
      <c r="G91" s="239" t="s">
        <v>2585</v>
      </c>
      <c r="H91" s="652"/>
      <c r="I91" s="656"/>
      <c r="J91" s="654"/>
    </row>
    <row r="92" spans="1:10" ht="48" x14ac:dyDescent="0.35">
      <c r="A92" s="615" t="s">
        <v>2663</v>
      </c>
      <c r="B92" s="616" t="str">
        <f t="shared" si="1"/>
        <v/>
      </c>
      <c r="C92" s="665"/>
      <c r="D92" s="655" t="s">
        <v>75</v>
      </c>
      <c r="E92" s="236"/>
      <c r="F92" s="232" t="s">
        <v>76</v>
      </c>
      <c r="G92" s="657" t="s">
        <v>2591</v>
      </c>
      <c r="H92" s="652"/>
      <c r="I92" s="656"/>
      <c r="J92" s="654"/>
    </row>
    <row r="93" spans="1:10" x14ac:dyDescent="0.35">
      <c r="A93" s="615" t="s">
        <v>2664</v>
      </c>
      <c r="B93" s="616" t="str">
        <f t="shared" si="1"/>
        <v/>
      </c>
      <c r="C93" s="665"/>
      <c r="D93" s="655">
        <v>2</v>
      </c>
      <c r="E93" s="236"/>
      <c r="F93" s="232" t="s">
        <v>2539</v>
      </c>
      <c r="G93" s="239"/>
      <c r="H93" s="652"/>
      <c r="I93" s="656"/>
      <c r="J93" s="654"/>
    </row>
    <row r="94" spans="1:10" x14ac:dyDescent="0.35">
      <c r="A94" s="615" t="s">
        <v>2665</v>
      </c>
      <c r="B94" s="616" t="str">
        <f t="shared" si="1"/>
        <v/>
      </c>
      <c r="C94" s="650"/>
      <c r="D94" s="655">
        <v>0</v>
      </c>
      <c r="E94" s="236"/>
      <c r="F94" s="232" t="s">
        <v>2538</v>
      </c>
      <c r="G94" s="239"/>
      <c r="H94" s="652"/>
      <c r="I94" s="653"/>
      <c r="J94" s="654"/>
    </row>
    <row r="95" spans="1:10" x14ac:dyDescent="0.35">
      <c r="A95" s="615" t="s">
        <v>2666</v>
      </c>
      <c r="B95" s="616" t="str">
        <f t="shared" si="1"/>
        <v/>
      </c>
      <c r="C95" s="650"/>
      <c r="D95" s="655">
        <v>0</v>
      </c>
      <c r="E95" s="236"/>
      <c r="F95" s="232" t="s">
        <v>2538</v>
      </c>
      <c r="G95" s="239"/>
      <c r="H95" s="652"/>
      <c r="I95" s="653"/>
      <c r="J95" s="654"/>
    </row>
    <row r="96" spans="1:10" x14ac:dyDescent="0.35">
      <c r="A96" s="615" t="s">
        <v>2667</v>
      </c>
      <c r="B96" s="616" t="str">
        <f t="shared" si="1"/>
        <v/>
      </c>
      <c r="C96" s="650"/>
      <c r="D96" s="655">
        <v>0</v>
      </c>
      <c r="E96" s="236"/>
      <c r="F96" s="232" t="s">
        <v>2538</v>
      </c>
      <c r="G96" s="239"/>
      <c r="H96" s="652"/>
      <c r="I96" s="653"/>
      <c r="J96" s="654"/>
    </row>
    <row r="97" spans="1:10" x14ac:dyDescent="0.35">
      <c r="A97" s="615" t="s">
        <v>2668</v>
      </c>
      <c r="B97" s="616" t="str">
        <f t="shared" si="1"/>
        <v/>
      </c>
      <c r="C97" s="650"/>
      <c r="D97" s="651">
        <v>2</v>
      </c>
      <c r="E97" s="236"/>
      <c r="F97" s="232" t="s">
        <v>2572</v>
      </c>
      <c r="G97" s="239"/>
      <c r="H97" s="652"/>
      <c r="I97" s="653"/>
      <c r="J97" s="654"/>
    </row>
    <row r="98" spans="1:10" x14ac:dyDescent="0.35">
      <c r="A98" s="615" t="s">
        <v>2669</v>
      </c>
      <c r="B98" s="616" t="str">
        <f t="shared" si="1"/>
        <v/>
      </c>
      <c r="C98" s="665"/>
      <c r="D98" s="651">
        <v>2</v>
      </c>
      <c r="E98" s="236"/>
      <c r="F98" s="232" t="s">
        <v>2572</v>
      </c>
      <c r="G98" s="239"/>
      <c r="H98" s="652"/>
      <c r="I98" s="667"/>
      <c r="J98" s="654"/>
    </row>
    <row r="99" spans="1:10" x14ac:dyDescent="0.35">
      <c r="A99" s="615" t="s">
        <v>2670</v>
      </c>
      <c r="B99" s="616" t="str">
        <f t="shared" si="1"/>
        <v/>
      </c>
      <c r="C99" s="665"/>
      <c r="D99" s="651">
        <v>2</v>
      </c>
      <c r="E99" s="236"/>
      <c r="F99" s="232" t="s">
        <v>2572</v>
      </c>
      <c r="G99" s="239"/>
      <c r="H99" s="652"/>
      <c r="I99" s="667"/>
      <c r="J99" s="654"/>
    </row>
    <row r="100" spans="1:10" x14ac:dyDescent="0.35">
      <c r="A100" s="615" t="s">
        <v>2671</v>
      </c>
      <c r="B100" s="616" t="str">
        <f t="shared" si="1"/>
        <v/>
      </c>
      <c r="C100" s="665"/>
      <c r="D100" s="651">
        <v>2</v>
      </c>
      <c r="E100" s="236"/>
      <c r="F100" s="232" t="s">
        <v>2572</v>
      </c>
      <c r="G100" s="239"/>
      <c r="H100" s="652"/>
      <c r="I100" s="656"/>
      <c r="J100" s="654"/>
    </row>
    <row r="101" spans="1:10" x14ac:dyDescent="0.35">
      <c r="A101" s="615" t="s">
        <v>2672</v>
      </c>
      <c r="B101" s="616" t="str">
        <f t="shared" si="1"/>
        <v/>
      </c>
      <c r="C101" s="665"/>
      <c r="D101" s="651">
        <v>2</v>
      </c>
      <c r="E101" s="236"/>
      <c r="F101" s="232" t="s">
        <v>2572</v>
      </c>
      <c r="G101" s="239"/>
      <c r="H101" s="652"/>
      <c r="I101" s="656"/>
      <c r="J101" s="654"/>
    </row>
    <row r="102" spans="1:10" x14ac:dyDescent="0.35">
      <c r="A102" s="615" t="s">
        <v>2673</v>
      </c>
      <c r="B102" s="616" t="str">
        <f t="shared" si="1"/>
        <v/>
      </c>
      <c r="C102" s="665"/>
      <c r="D102" s="655">
        <v>6</v>
      </c>
      <c r="E102" s="236"/>
      <c r="F102" s="232" t="s">
        <v>2579</v>
      </c>
      <c r="G102" s="239" t="s">
        <v>2583</v>
      </c>
      <c r="H102" s="652"/>
      <c r="I102" s="656"/>
      <c r="J102" s="654"/>
    </row>
    <row r="103" spans="1:10" x14ac:dyDescent="0.35">
      <c r="A103" s="615" t="s">
        <v>2674</v>
      </c>
      <c r="B103" s="616" t="str">
        <f t="shared" si="1"/>
        <v/>
      </c>
      <c r="C103" s="665"/>
      <c r="D103" s="655" t="s">
        <v>75</v>
      </c>
      <c r="E103" s="236"/>
      <c r="F103" s="232" t="s">
        <v>76</v>
      </c>
      <c r="G103" s="239"/>
      <c r="H103" s="652"/>
      <c r="I103" s="656"/>
      <c r="J103" s="654"/>
    </row>
    <row r="104" spans="1:10" x14ac:dyDescent="0.35">
      <c r="A104" s="615" t="s">
        <v>2675</v>
      </c>
      <c r="B104" s="616" t="str">
        <f t="shared" si="1"/>
        <v/>
      </c>
      <c r="C104" s="665"/>
      <c r="D104" s="655">
        <v>2</v>
      </c>
      <c r="E104" s="236"/>
      <c r="F104" s="232" t="s">
        <v>2539</v>
      </c>
      <c r="G104" s="239" t="s">
        <v>2585</v>
      </c>
      <c r="H104" s="652"/>
      <c r="I104" s="656"/>
      <c r="J104" s="654"/>
    </row>
    <row r="105" spans="1:10" x14ac:dyDescent="0.35">
      <c r="A105" s="615" t="s">
        <v>2676</v>
      </c>
      <c r="B105" s="616" t="str">
        <f t="shared" si="1"/>
        <v/>
      </c>
      <c r="C105" s="665"/>
      <c r="D105" s="651">
        <v>2</v>
      </c>
      <c r="E105" s="236"/>
      <c r="F105" s="232" t="s">
        <v>2539</v>
      </c>
      <c r="G105" s="239" t="s">
        <v>2585</v>
      </c>
      <c r="H105" s="652"/>
      <c r="I105" s="656"/>
      <c r="J105" s="654"/>
    </row>
    <row r="106" spans="1:10" x14ac:dyDescent="0.35">
      <c r="A106" s="615" t="s">
        <v>2677</v>
      </c>
      <c r="B106" s="616" t="str">
        <f t="shared" si="1"/>
        <v/>
      </c>
      <c r="C106" s="665"/>
      <c r="D106" s="651">
        <v>2</v>
      </c>
      <c r="E106" s="236"/>
      <c r="F106" s="232" t="s">
        <v>2539</v>
      </c>
      <c r="G106" s="239" t="s">
        <v>2585</v>
      </c>
      <c r="H106" s="652"/>
      <c r="I106" s="656"/>
      <c r="J106" s="654"/>
    </row>
    <row r="107" spans="1:10" x14ac:dyDescent="0.35">
      <c r="A107" s="615" t="s">
        <v>2678</v>
      </c>
      <c r="B107" s="616" t="str">
        <f t="shared" si="1"/>
        <v/>
      </c>
      <c r="C107" s="665"/>
      <c r="D107" s="651">
        <v>2</v>
      </c>
      <c r="E107" s="236"/>
      <c r="F107" s="232" t="s">
        <v>2539</v>
      </c>
      <c r="G107" s="239" t="s">
        <v>2585</v>
      </c>
      <c r="H107" s="652"/>
      <c r="I107" s="656"/>
      <c r="J107" s="654"/>
    </row>
    <row r="108" spans="1:10" x14ac:dyDescent="0.35">
      <c r="A108" s="615" t="s">
        <v>2679</v>
      </c>
      <c r="B108" s="616" t="str">
        <f t="shared" si="1"/>
        <v/>
      </c>
      <c r="C108" s="665"/>
      <c r="D108" s="651">
        <v>2</v>
      </c>
      <c r="E108" s="236"/>
      <c r="F108" s="232" t="s">
        <v>2539</v>
      </c>
      <c r="G108" s="239" t="s">
        <v>2585</v>
      </c>
      <c r="H108" s="652"/>
      <c r="I108" s="656"/>
      <c r="J108" s="654"/>
    </row>
    <row r="109" spans="1:10" x14ac:dyDescent="0.35">
      <c r="A109" s="615" t="s">
        <v>2680</v>
      </c>
      <c r="B109" s="616" t="str">
        <f t="shared" si="1"/>
        <v/>
      </c>
      <c r="C109" s="665"/>
      <c r="D109" s="651">
        <v>2</v>
      </c>
      <c r="E109" s="236"/>
      <c r="F109" s="232" t="s">
        <v>2539</v>
      </c>
      <c r="G109" s="239" t="s">
        <v>2585</v>
      </c>
      <c r="H109" s="652"/>
      <c r="I109" s="656"/>
      <c r="J109" s="654"/>
    </row>
    <row r="110" spans="1:10" ht="48" x14ac:dyDescent="0.35">
      <c r="A110" s="615" t="s">
        <v>2681</v>
      </c>
      <c r="B110" s="616" t="str">
        <f t="shared" si="1"/>
        <v/>
      </c>
      <c r="C110" s="665"/>
      <c r="D110" s="655" t="s">
        <v>75</v>
      </c>
      <c r="E110" s="236"/>
      <c r="F110" s="232" t="s">
        <v>76</v>
      </c>
      <c r="G110" s="657" t="s">
        <v>2591</v>
      </c>
      <c r="H110" s="652"/>
      <c r="I110" s="656"/>
      <c r="J110" s="654"/>
    </row>
    <row r="111" spans="1:10" x14ac:dyDescent="0.35">
      <c r="A111" s="615" t="s">
        <v>2682</v>
      </c>
      <c r="B111" s="616" t="str">
        <f t="shared" si="1"/>
        <v/>
      </c>
      <c r="C111" s="665"/>
      <c r="D111" s="655">
        <v>2</v>
      </c>
      <c r="E111" s="236"/>
      <c r="F111" s="232" t="s">
        <v>2539</v>
      </c>
      <c r="G111" s="239"/>
      <c r="H111" s="652"/>
      <c r="I111" s="656"/>
      <c r="J111" s="654"/>
    </row>
    <row r="112" spans="1:10" x14ac:dyDescent="0.35">
      <c r="A112" s="615" t="s">
        <v>2683</v>
      </c>
      <c r="B112" s="616" t="str">
        <f t="shared" si="1"/>
        <v/>
      </c>
      <c r="C112" s="650"/>
      <c r="D112" s="655">
        <v>0</v>
      </c>
      <c r="E112" s="236"/>
      <c r="F112" s="232" t="s">
        <v>2538</v>
      </c>
      <c r="G112" s="239"/>
      <c r="H112" s="652"/>
      <c r="I112" s="653"/>
      <c r="J112" s="654"/>
    </row>
    <row r="113" spans="1:10" x14ac:dyDescent="0.35">
      <c r="A113" s="615" t="s">
        <v>2684</v>
      </c>
      <c r="B113" s="616" t="str">
        <f t="shared" si="1"/>
        <v/>
      </c>
      <c r="C113" s="650"/>
      <c r="D113" s="655">
        <v>0</v>
      </c>
      <c r="E113" s="236"/>
      <c r="F113" s="232" t="s">
        <v>2538</v>
      </c>
      <c r="G113" s="239"/>
      <c r="H113" s="652"/>
      <c r="I113" s="653"/>
      <c r="J113" s="654"/>
    </row>
    <row r="114" spans="1:10" x14ac:dyDescent="0.35">
      <c r="A114" s="615" t="s">
        <v>2685</v>
      </c>
      <c r="B114" s="616" t="str">
        <f t="shared" si="1"/>
        <v/>
      </c>
      <c r="C114" s="650"/>
      <c r="D114" s="655">
        <v>0</v>
      </c>
      <c r="E114" s="236"/>
      <c r="F114" s="232" t="s">
        <v>2538</v>
      </c>
      <c r="G114" s="239"/>
      <c r="H114" s="652"/>
      <c r="I114" s="653"/>
      <c r="J114" s="654"/>
    </row>
    <row r="115" spans="1:10" x14ac:dyDescent="0.35">
      <c r="A115" s="615" t="s">
        <v>2686</v>
      </c>
      <c r="B115" s="616" t="str">
        <f t="shared" si="1"/>
        <v/>
      </c>
      <c r="C115" s="650"/>
      <c r="D115" s="651">
        <v>2</v>
      </c>
      <c r="E115" s="236"/>
      <c r="F115" s="232" t="s">
        <v>2572</v>
      </c>
      <c r="G115" s="239"/>
      <c r="H115" s="652"/>
      <c r="I115" s="653"/>
      <c r="J115" s="654"/>
    </row>
    <row r="116" spans="1:10" x14ac:dyDescent="0.35">
      <c r="A116" s="615" t="s">
        <v>2687</v>
      </c>
      <c r="B116" s="616" t="str">
        <f t="shared" si="1"/>
        <v/>
      </c>
      <c r="C116" s="665"/>
      <c r="D116" s="651">
        <v>2</v>
      </c>
      <c r="E116" s="236"/>
      <c r="F116" s="232" t="s">
        <v>2572</v>
      </c>
      <c r="G116" s="239"/>
      <c r="H116" s="652"/>
      <c r="I116" s="667"/>
      <c r="J116" s="654"/>
    </row>
    <row r="117" spans="1:10" x14ac:dyDescent="0.35">
      <c r="A117" s="615" t="s">
        <v>2688</v>
      </c>
      <c r="B117" s="616" t="str">
        <f t="shared" si="1"/>
        <v/>
      </c>
      <c r="C117" s="665"/>
      <c r="D117" s="651">
        <v>2</v>
      </c>
      <c r="E117" s="236"/>
      <c r="F117" s="232" t="s">
        <v>2572</v>
      </c>
      <c r="G117" s="239"/>
      <c r="H117" s="652"/>
      <c r="I117" s="667"/>
      <c r="J117" s="654"/>
    </row>
    <row r="118" spans="1:10" x14ac:dyDescent="0.35">
      <c r="A118" s="615" t="s">
        <v>2689</v>
      </c>
      <c r="B118" s="616" t="str">
        <f t="shared" si="1"/>
        <v/>
      </c>
      <c r="C118" s="665"/>
      <c r="D118" s="651">
        <v>2</v>
      </c>
      <c r="E118" s="236"/>
      <c r="F118" s="232" t="s">
        <v>2572</v>
      </c>
      <c r="G118" s="239"/>
      <c r="H118" s="652"/>
      <c r="I118" s="656"/>
      <c r="J118" s="654"/>
    </row>
    <row r="119" spans="1:10" x14ac:dyDescent="0.35">
      <c r="A119" s="615" t="s">
        <v>2690</v>
      </c>
      <c r="B119" s="616" t="str">
        <f t="shared" si="1"/>
        <v/>
      </c>
      <c r="C119" s="665"/>
      <c r="D119" s="651">
        <v>2</v>
      </c>
      <c r="E119" s="236"/>
      <c r="F119" s="232" t="s">
        <v>2572</v>
      </c>
      <c r="G119" s="239"/>
      <c r="H119" s="652"/>
      <c r="I119" s="656"/>
      <c r="J119" s="654"/>
    </row>
    <row r="120" spans="1:10" x14ac:dyDescent="0.35">
      <c r="A120" s="615" t="s">
        <v>2691</v>
      </c>
      <c r="B120" s="616" t="str">
        <f t="shared" si="1"/>
        <v/>
      </c>
      <c r="C120" s="665"/>
      <c r="D120" s="655">
        <v>6</v>
      </c>
      <c r="E120" s="236"/>
      <c r="F120" s="232" t="s">
        <v>2579</v>
      </c>
      <c r="G120" s="239" t="s">
        <v>2583</v>
      </c>
      <c r="H120" s="652"/>
      <c r="I120" s="656"/>
      <c r="J120" s="654"/>
    </row>
    <row r="121" spans="1:10" x14ac:dyDescent="0.35">
      <c r="A121" s="615" t="s">
        <v>2692</v>
      </c>
      <c r="B121" s="616" t="str">
        <f t="shared" si="1"/>
        <v/>
      </c>
      <c r="C121" s="665"/>
      <c r="D121" s="655" t="s">
        <v>75</v>
      </c>
      <c r="E121" s="236"/>
      <c r="F121" s="232" t="s">
        <v>76</v>
      </c>
      <c r="G121" s="239"/>
      <c r="H121" s="652"/>
      <c r="I121" s="656"/>
      <c r="J121" s="654"/>
    </row>
    <row r="122" spans="1:10" x14ac:dyDescent="0.35">
      <c r="A122" s="615" t="s">
        <v>2693</v>
      </c>
      <c r="B122" s="616" t="str">
        <f t="shared" si="1"/>
        <v/>
      </c>
      <c r="C122" s="665"/>
      <c r="D122" s="655">
        <v>2</v>
      </c>
      <c r="E122" s="236"/>
      <c r="F122" s="232" t="s">
        <v>2539</v>
      </c>
      <c r="G122" s="239" t="s">
        <v>2585</v>
      </c>
      <c r="H122" s="652"/>
      <c r="I122" s="656"/>
      <c r="J122" s="654"/>
    </row>
    <row r="123" spans="1:10" x14ac:dyDescent="0.35">
      <c r="A123" s="615" t="s">
        <v>2694</v>
      </c>
      <c r="B123" s="616" t="str">
        <f t="shared" si="1"/>
        <v/>
      </c>
      <c r="C123" s="665"/>
      <c r="D123" s="651">
        <v>2</v>
      </c>
      <c r="E123" s="236"/>
      <c r="F123" s="232" t="s">
        <v>2539</v>
      </c>
      <c r="G123" s="239" t="s">
        <v>2585</v>
      </c>
      <c r="H123" s="652"/>
      <c r="I123" s="656"/>
      <c r="J123" s="654"/>
    </row>
    <row r="124" spans="1:10" x14ac:dyDescent="0.35">
      <c r="A124" s="615" t="s">
        <v>2695</v>
      </c>
      <c r="B124" s="616" t="str">
        <f t="shared" si="1"/>
        <v/>
      </c>
      <c r="C124" s="665"/>
      <c r="D124" s="651">
        <v>2</v>
      </c>
      <c r="E124" s="236"/>
      <c r="F124" s="232" t="s">
        <v>2539</v>
      </c>
      <c r="G124" s="239" t="s">
        <v>2585</v>
      </c>
      <c r="H124" s="652"/>
      <c r="I124" s="656"/>
      <c r="J124" s="654"/>
    </row>
    <row r="125" spans="1:10" x14ac:dyDescent="0.35">
      <c r="A125" s="615" t="s">
        <v>2696</v>
      </c>
      <c r="B125" s="616" t="str">
        <f t="shared" si="1"/>
        <v/>
      </c>
      <c r="C125" s="665"/>
      <c r="D125" s="651">
        <v>2</v>
      </c>
      <c r="E125" s="236"/>
      <c r="F125" s="232" t="s">
        <v>2539</v>
      </c>
      <c r="G125" s="239" t="s">
        <v>2585</v>
      </c>
      <c r="H125" s="652"/>
      <c r="I125" s="656"/>
      <c r="J125" s="654"/>
    </row>
    <row r="126" spans="1:10" x14ac:dyDescent="0.35">
      <c r="A126" s="615" t="s">
        <v>2697</v>
      </c>
      <c r="B126" s="616" t="str">
        <f t="shared" si="1"/>
        <v/>
      </c>
      <c r="C126" s="665"/>
      <c r="D126" s="651">
        <v>2</v>
      </c>
      <c r="E126" s="236"/>
      <c r="F126" s="232" t="s">
        <v>2539</v>
      </c>
      <c r="G126" s="239" t="s">
        <v>2585</v>
      </c>
      <c r="H126" s="652"/>
      <c r="I126" s="656"/>
      <c r="J126" s="654"/>
    </row>
    <row r="127" spans="1:10" x14ac:dyDescent="0.35">
      <c r="A127" s="615" t="s">
        <v>2698</v>
      </c>
      <c r="B127" s="616" t="str">
        <f t="shared" si="1"/>
        <v/>
      </c>
      <c r="C127" s="665"/>
      <c r="D127" s="651">
        <v>2</v>
      </c>
      <c r="E127" s="236"/>
      <c r="F127" s="232" t="s">
        <v>2539</v>
      </c>
      <c r="G127" s="239" t="s">
        <v>2585</v>
      </c>
      <c r="H127" s="652"/>
      <c r="I127" s="656"/>
      <c r="J127" s="654"/>
    </row>
    <row r="128" spans="1:10" ht="48" x14ac:dyDescent="0.35">
      <c r="A128" s="615" t="s">
        <v>2699</v>
      </c>
      <c r="B128" s="616" t="str">
        <f t="shared" si="1"/>
        <v/>
      </c>
      <c r="C128" s="665"/>
      <c r="D128" s="655" t="s">
        <v>75</v>
      </c>
      <c r="E128" s="236"/>
      <c r="F128" s="232" t="s">
        <v>76</v>
      </c>
      <c r="G128" s="657" t="s">
        <v>2591</v>
      </c>
      <c r="H128" s="652"/>
      <c r="I128" s="656"/>
      <c r="J128" s="654"/>
    </row>
    <row r="129" spans="1:10" x14ac:dyDescent="0.35">
      <c r="A129" s="615" t="s">
        <v>2700</v>
      </c>
      <c r="B129" s="616" t="str">
        <f t="shared" si="1"/>
        <v/>
      </c>
      <c r="C129" s="665"/>
      <c r="D129" s="655">
        <v>2</v>
      </c>
      <c r="E129" s="236"/>
      <c r="F129" s="232" t="s">
        <v>2539</v>
      </c>
      <c r="G129" s="239"/>
      <c r="H129" s="652"/>
      <c r="I129" s="656"/>
      <c r="J129" s="654"/>
    </row>
    <row r="130" spans="1:10" x14ac:dyDescent="0.35">
      <c r="A130" s="615" t="s">
        <v>2701</v>
      </c>
      <c r="B130" s="616" t="str">
        <f t="shared" si="1"/>
        <v/>
      </c>
      <c r="C130" s="665"/>
      <c r="D130" s="655">
        <v>0</v>
      </c>
      <c r="E130" s="236"/>
      <c r="F130" s="232" t="s">
        <v>2538</v>
      </c>
      <c r="G130" s="239"/>
      <c r="H130" s="652"/>
      <c r="I130" s="656"/>
      <c r="J130" s="654"/>
    </row>
    <row r="131" spans="1:10" x14ac:dyDescent="0.35">
      <c r="A131" s="615" t="s">
        <v>2702</v>
      </c>
      <c r="B131" s="616" t="str">
        <f t="shared" si="1"/>
        <v/>
      </c>
      <c r="C131" s="665"/>
      <c r="D131" s="655">
        <v>0</v>
      </c>
      <c r="E131" s="236"/>
      <c r="F131" s="232" t="s">
        <v>2538</v>
      </c>
      <c r="G131" s="239"/>
      <c r="H131" s="652"/>
      <c r="I131" s="656"/>
      <c r="J131" s="654"/>
    </row>
    <row r="132" spans="1:10" x14ac:dyDescent="0.35">
      <c r="A132" s="615" t="s">
        <v>2703</v>
      </c>
      <c r="B132" s="616" t="str">
        <f t="shared" ref="B132:B195" si="2">IF(C132="","",IF(D132="Datum",TEXT(DAY(C132),"00")&amp;"."&amp;TEXT(MONTH(C132),"00")&amp;"."&amp;TEXT(YEAR(C132),"0000"),IF(AND(ISNUMBER(C132),D132="x"),TEXT(C132,"@"),IF(ISNUMBER(C132),TEXT(ROUNDDOWN(C132,0),0)&amp;IF(D132=0,"","."&amp;IF(C132-ROUNDDOWN(C132,0)=0,LEFT("0000000000",D132),TEXT((C132-ROUNDDOWN(C132,0))*(1&amp; LEFT("0000000000",$D132)),LEFT("0000000000",$D132)))),C132))))</f>
        <v/>
      </c>
      <c r="C132" s="665"/>
      <c r="D132" s="655">
        <v>0</v>
      </c>
      <c r="E132" s="236"/>
      <c r="F132" s="232" t="s">
        <v>2538</v>
      </c>
      <c r="G132" s="239"/>
      <c r="H132" s="652"/>
      <c r="I132" s="656"/>
      <c r="J132" s="654"/>
    </row>
    <row r="133" spans="1:10" x14ac:dyDescent="0.35">
      <c r="A133" s="615" t="s">
        <v>2704</v>
      </c>
      <c r="B133" s="616" t="str">
        <f t="shared" si="2"/>
        <v/>
      </c>
      <c r="C133" s="665"/>
      <c r="D133" s="651">
        <v>2</v>
      </c>
      <c r="E133" s="236"/>
      <c r="F133" s="232" t="s">
        <v>2572</v>
      </c>
      <c r="G133" s="239"/>
      <c r="H133" s="652"/>
      <c r="I133" s="656"/>
      <c r="J133" s="654"/>
    </row>
    <row r="134" spans="1:10" x14ac:dyDescent="0.35">
      <c r="A134" s="615" t="s">
        <v>2705</v>
      </c>
      <c r="B134" s="616" t="str">
        <f t="shared" si="2"/>
        <v/>
      </c>
      <c r="C134" s="665"/>
      <c r="D134" s="651">
        <v>2</v>
      </c>
      <c r="E134" s="236"/>
      <c r="F134" s="232" t="s">
        <v>2572</v>
      </c>
      <c r="G134" s="239"/>
      <c r="H134" s="652"/>
      <c r="I134" s="656"/>
      <c r="J134" s="654"/>
    </row>
    <row r="135" spans="1:10" x14ac:dyDescent="0.35">
      <c r="A135" s="615" t="s">
        <v>2706</v>
      </c>
      <c r="B135" s="616" t="str">
        <f t="shared" si="2"/>
        <v/>
      </c>
      <c r="C135" s="665"/>
      <c r="D135" s="651">
        <v>2</v>
      </c>
      <c r="E135" s="236"/>
      <c r="F135" s="232" t="s">
        <v>2572</v>
      </c>
      <c r="G135" s="239"/>
      <c r="H135" s="652"/>
      <c r="I135" s="656"/>
      <c r="J135" s="654"/>
    </row>
    <row r="136" spans="1:10" x14ac:dyDescent="0.35">
      <c r="A136" s="615" t="s">
        <v>2707</v>
      </c>
      <c r="B136" s="616" t="str">
        <f t="shared" si="2"/>
        <v/>
      </c>
      <c r="C136" s="665"/>
      <c r="D136" s="651">
        <v>2</v>
      </c>
      <c r="E136" s="236"/>
      <c r="F136" s="232" t="s">
        <v>2572</v>
      </c>
      <c r="G136" s="239"/>
      <c r="H136" s="652"/>
      <c r="I136" s="656"/>
      <c r="J136" s="654"/>
    </row>
    <row r="137" spans="1:10" x14ac:dyDescent="0.35">
      <c r="A137" s="615" t="s">
        <v>2708</v>
      </c>
      <c r="B137" s="616" t="str">
        <f t="shared" si="2"/>
        <v/>
      </c>
      <c r="C137" s="665"/>
      <c r="D137" s="651">
        <v>2</v>
      </c>
      <c r="E137" s="236"/>
      <c r="F137" s="232" t="s">
        <v>2572</v>
      </c>
      <c r="G137" s="239"/>
      <c r="H137" s="652"/>
      <c r="I137" s="656"/>
      <c r="J137" s="654"/>
    </row>
    <row r="138" spans="1:10" x14ac:dyDescent="0.35">
      <c r="A138" s="615" t="s">
        <v>2709</v>
      </c>
      <c r="B138" s="616" t="str">
        <f t="shared" si="2"/>
        <v/>
      </c>
      <c r="C138" s="665"/>
      <c r="D138" s="655">
        <v>6</v>
      </c>
      <c r="E138" s="236"/>
      <c r="F138" s="232" t="s">
        <v>2579</v>
      </c>
      <c r="G138" s="239" t="s">
        <v>2583</v>
      </c>
      <c r="H138" s="652"/>
      <c r="I138" s="656"/>
      <c r="J138" s="654"/>
    </row>
    <row r="139" spans="1:10" x14ac:dyDescent="0.35">
      <c r="A139" s="615" t="s">
        <v>2710</v>
      </c>
      <c r="B139" s="616" t="str">
        <f t="shared" si="2"/>
        <v/>
      </c>
      <c r="C139" s="665"/>
      <c r="D139" s="655" t="s">
        <v>75</v>
      </c>
      <c r="E139" s="236"/>
      <c r="F139" s="232" t="s">
        <v>76</v>
      </c>
      <c r="G139" s="239"/>
      <c r="H139" s="652"/>
      <c r="I139" s="656"/>
      <c r="J139" s="654"/>
    </row>
    <row r="140" spans="1:10" x14ac:dyDescent="0.35">
      <c r="A140" s="615" t="s">
        <v>2711</v>
      </c>
      <c r="B140" s="616" t="str">
        <f t="shared" si="2"/>
        <v/>
      </c>
      <c r="C140" s="665"/>
      <c r="D140" s="655">
        <v>2</v>
      </c>
      <c r="E140" s="236"/>
      <c r="F140" s="232" t="s">
        <v>2539</v>
      </c>
      <c r="G140" s="239" t="s">
        <v>2585</v>
      </c>
      <c r="H140" s="652"/>
      <c r="I140" s="656"/>
      <c r="J140" s="654"/>
    </row>
    <row r="141" spans="1:10" x14ac:dyDescent="0.35">
      <c r="A141" s="615" t="s">
        <v>2712</v>
      </c>
      <c r="B141" s="616" t="str">
        <f t="shared" si="2"/>
        <v/>
      </c>
      <c r="C141" s="665"/>
      <c r="D141" s="651">
        <v>2</v>
      </c>
      <c r="E141" s="236"/>
      <c r="F141" s="232" t="s">
        <v>2539</v>
      </c>
      <c r="G141" s="239" t="s">
        <v>2585</v>
      </c>
      <c r="H141" s="652"/>
      <c r="I141" s="656"/>
      <c r="J141" s="654"/>
    </row>
    <row r="142" spans="1:10" x14ac:dyDescent="0.35">
      <c r="A142" s="615" t="s">
        <v>2713</v>
      </c>
      <c r="B142" s="616" t="str">
        <f t="shared" si="2"/>
        <v/>
      </c>
      <c r="C142" s="665"/>
      <c r="D142" s="651">
        <v>2</v>
      </c>
      <c r="E142" s="236"/>
      <c r="F142" s="232" t="s">
        <v>2539</v>
      </c>
      <c r="G142" s="239" t="s">
        <v>2585</v>
      </c>
      <c r="H142" s="652"/>
      <c r="I142" s="656"/>
      <c r="J142" s="654"/>
    </row>
    <row r="143" spans="1:10" x14ac:dyDescent="0.35">
      <c r="A143" s="615" t="s">
        <v>2714</v>
      </c>
      <c r="B143" s="616" t="str">
        <f t="shared" si="2"/>
        <v/>
      </c>
      <c r="C143" s="665"/>
      <c r="D143" s="651">
        <v>2</v>
      </c>
      <c r="E143" s="236"/>
      <c r="F143" s="232" t="s">
        <v>2539</v>
      </c>
      <c r="G143" s="239" t="s">
        <v>2585</v>
      </c>
      <c r="H143" s="652"/>
      <c r="I143" s="656"/>
      <c r="J143" s="654"/>
    </row>
    <row r="144" spans="1:10" x14ac:dyDescent="0.35">
      <c r="A144" s="615" t="s">
        <v>2715</v>
      </c>
      <c r="B144" s="616" t="str">
        <f t="shared" si="2"/>
        <v/>
      </c>
      <c r="C144" s="665"/>
      <c r="D144" s="651">
        <v>2</v>
      </c>
      <c r="E144" s="236"/>
      <c r="F144" s="232" t="s">
        <v>2539</v>
      </c>
      <c r="G144" s="239" t="s">
        <v>2585</v>
      </c>
      <c r="H144" s="652"/>
      <c r="I144" s="656"/>
      <c r="J144" s="654"/>
    </row>
    <row r="145" spans="1:10" x14ac:dyDescent="0.35">
      <c r="A145" s="615" t="s">
        <v>2716</v>
      </c>
      <c r="B145" s="616" t="str">
        <f t="shared" si="2"/>
        <v/>
      </c>
      <c r="C145" s="665"/>
      <c r="D145" s="651">
        <v>2</v>
      </c>
      <c r="E145" s="236"/>
      <c r="F145" s="232" t="s">
        <v>2539</v>
      </c>
      <c r="G145" s="239" t="s">
        <v>2585</v>
      </c>
      <c r="H145" s="652"/>
      <c r="I145" s="656"/>
      <c r="J145" s="654"/>
    </row>
    <row r="146" spans="1:10" ht="48" x14ac:dyDescent="0.35">
      <c r="A146" s="615" t="s">
        <v>2717</v>
      </c>
      <c r="B146" s="616" t="str">
        <f t="shared" si="2"/>
        <v/>
      </c>
      <c r="C146" s="665"/>
      <c r="D146" s="655" t="s">
        <v>75</v>
      </c>
      <c r="E146" s="236"/>
      <c r="F146" s="232" t="s">
        <v>76</v>
      </c>
      <c r="G146" s="657" t="s">
        <v>2591</v>
      </c>
      <c r="H146" s="652"/>
      <c r="I146" s="656"/>
      <c r="J146" s="654"/>
    </row>
    <row r="147" spans="1:10" x14ac:dyDescent="0.35">
      <c r="A147" s="615" t="s">
        <v>2718</v>
      </c>
      <c r="B147" s="616" t="str">
        <f t="shared" si="2"/>
        <v/>
      </c>
      <c r="C147" s="665"/>
      <c r="D147" s="655">
        <v>2</v>
      </c>
      <c r="E147" s="236"/>
      <c r="F147" s="232" t="s">
        <v>2539</v>
      </c>
      <c r="G147" s="239"/>
      <c r="H147" s="652"/>
      <c r="I147" s="656"/>
      <c r="J147" s="654"/>
    </row>
    <row r="148" spans="1:10" x14ac:dyDescent="0.35">
      <c r="A148" s="615" t="s">
        <v>2719</v>
      </c>
      <c r="B148" s="616" t="str">
        <f t="shared" si="2"/>
        <v/>
      </c>
      <c r="C148" s="665"/>
      <c r="D148" s="655">
        <v>0</v>
      </c>
      <c r="E148" s="236"/>
      <c r="F148" s="232" t="s">
        <v>2538</v>
      </c>
      <c r="G148" s="239"/>
      <c r="H148" s="652"/>
      <c r="I148" s="656"/>
      <c r="J148" s="654"/>
    </row>
    <row r="149" spans="1:10" x14ac:dyDescent="0.35">
      <c r="A149" s="615" t="s">
        <v>2720</v>
      </c>
      <c r="B149" s="616" t="str">
        <f t="shared" si="2"/>
        <v/>
      </c>
      <c r="C149" s="665"/>
      <c r="D149" s="655">
        <v>0</v>
      </c>
      <c r="E149" s="236"/>
      <c r="F149" s="232" t="s">
        <v>2538</v>
      </c>
      <c r="G149" s="239"/>
      <c r="H149" s="652"/>
      <c r="I149" s="656"/>
      <c r="J149" s="654"/>
    </row>
    <row r="150" spans="1:10" x14ac:dyDescent="0.35">
      <c r="A150" s="615" t="s">
        <v>2721</v>
      </c>
      <c r="B150" s="616" t="str">
        <f t="shared" si="2"/>
        <v/>
      </c>
      <c r="C150" s="665"/>
      <c r="D150" s="655">
        <v>0</v>
      </c>
      <c r="E150" s="236"/>
      <c r="F150" s="232" t="s">
        <v>2538</v>
      </c>
      <c r="G150" s="239"/>
      <c r="H150" s="652"/>
      <c r="I150" s="656"/>
      <c r="J150" s="654"/>
    </row>
    <row r="151" spans="1:10" x14ac:dyDescent="0.35">
      <c r="A151" s="615" t="s">
        <v>2722</v>
      </c>
      <c r="B151" s="616" t="str">
        <f t="shared" si="2"/>
        <v/>
      </c>
      <c r="C151" s="665"/>
      <c r="D151" s="651">
        <v>2</v>
      </c>
      <c r="E151" s="236"/>
      <c r="F151" s="232" t="s">
        <v>2572</v>
      </c>
      <c r="G151" s="239"/>
      <c r="H151" s="652"/>
      <c r="I151" s="656"/>
      <c r="J151" s="654"/>
    </row>
    <row r="152" spans="1:10" x14ac:dyDescent="0.35">
      <c r="A152" s="615" t="s">
        <v>2723</v>
      </c>
      <c r="B152" s="616" t="str">
        <f t="shared" si="2"/>
        <v/>
      </c>
      <c r="C152" s="665"/>
      <c r="D152" s="651">
        <v>2</v>
      </c>
      <c r="E152" s="236"/>
      <c r="F152" s="232" t="s">
        <v>2572</v>
      </c>
      <c r="G152" s="239"/>
      <c r="H152" s="652"/>
      <c r="I152" s="656"/>
      <c r="J152" s="654"/>
    </row>
    <row r="153" spans="1:10" x14ac:dyDescent="0.35">
      <c r="A153" s="615" t="s">
        <v>2724</v>
      </c>
      <c r="B153" s="616" t="str">
        <f t="shared" si="2"/>
        <v/>
      </c>
      <c r="C153" s="665"/>
      <c r="D153" s="651">
        <v>2</v>
      </c>
      <c r="E153" s="236"/>
      <c r="F153" s="232" t="s">
        <v>2572</v>
      </c>
      <c r="G153" s="239"/>
      <c r="H153" s="652"/>
      <c r="I153" s="656"/>
      <c r="J153" s="654"/>
    </row>
    <row r="154" spans="1:10" x14ac:dyDescent="0.35">
      <c r="A154" s="615" t="s">
        <v>2725</v>
      </c>
      <c r="B154" s="616" t="str">
        <f t="shared" si="2"/>
        <v/>
      </c>
      <c r="C154" s="665"/>
      <c r="D154" s="651">
        <v>2</v>
      </c>
      <c r="E154" s="236"/>
      <c r="F154" s="232" t="s">
        <v>2572</v>
      </c>
      <c r="G154" s="239"/>
      <c r="H154" s="652"/>
      <c r="I154" s="656"/>
      <c r="J154" s="654"/>
    </row>
    <row r="155" spans="1:10" x14ac:dyDescent="0.35">
      <c r="A155" s="615" t="s">
        <v>2726</v>
      </c>
      <c r="B155" s="616" t="str">
        <f t="shared" si="2"/>
        <v/>
      </c>
      <c r="C155" s="665"/>
      <c r="D155" s="651">
        <v>2</v>
      </c>
      <c r="E155" s="236"/>
      <c r="F155" s="232" t="s">
        <v>2572</v>
      </c>
      <c r="G155" s="239"/>
      <c r="H155" s="652"/>
      <c r="I155" s="656"/>
      <c r="J155" s="654"/>
    </row>
    <row r="156" spans="1:10" x14ac:dyDescent="0.35">
      <c r="A156" s="615" t="s">
        <v>2727</v>
      </c>
      <c r="B156" s="616" t="str">
        <f t="shared" si="2"/>
        <v/>
      </c>
      <c r="C156" s="665"/>
      <c r="D156" s="655">
        <v>6</v>
      </c>
      <c r="E156" s="236"/>
      <c r="F156" s="232" t="s">
        <v>2579</v>
      </c>
      <c r="G156" s="239" t="s">
        <v>2583</v>
      </c>
      <c r="H156" s="652"/>
      <c r="I156" s="656"/>
      <c r="J156" s="654"/>
    </row>
    <row r="157" spans="1:10" x14ac:dyDescent="0.35">
      <c r="A157" s="615" t="s">
        <v>2728</v>
      </c>
      <c r="B157" s="616" t="str">
        <f t="shared" si="2"/>
        <v/>
      </c>
      <c r="C157" s="665"/>
      <c r="D157" s="655" t="s">
        <v>75</v>
      </c>
      <c r="E157" s="236"/>
      <c r="F157" s="232" t="s">
        <v>76</v>
      </c>
      <c r="G157" s="239"/>
      <c r="H157" s="652"/>
      <c r="I157" s="656"/>
      <c r="J157" s="654"/>
    </row>
    <row r="158" spans="1:10" x14ac:dyDescent="0.35">
      <c r="A158" s="615" t="s">
        <v>2729</v>
      </c>
      <c r="B158" s="616" t="str">
        <f t="shared" si="2"/>
        <v/>
      </c>
      <c r="C158" s="665"/>
      <c r="D158" s="655">
        <v>2</v>
      </c>
      <c r="E158" s="236"/>
      <c r="F158" s="232" t="s">
        <v>2539</v>
      </c>
      <c r="G158" s="239" t="s">
        <v>2585</v>
      </c>
      <c r="H158" s="652"/>
      <c r="I158" s="656"/>
      <c r="J158" s="654"/>
    </row>
    <row r="159" spans="1:10" x14ac:dyDescent="0.35">
      <c r="A159" s="615" t="s">
        <v>2730</v>
      </c>
      <c r="B159" s="616" t="str">
        <f t="shared" si="2"/>
        <v/>
      </c>
      <c r="C159" s="665"/>
      <c r="D159" s="651">
        <v>2</v>
      </c>
      <c r="E159" s="236"/>
      <c r="F159" s="232" t="s">
        <v>2539</v>
      </c>
      <c r="G159" s="239" t="s">
        <v>2585</v>
      </c>
      <c r="H159" s="652"/>
      <c r="I159" s="656"/>
      <c r="J159" s="654"/>
    </row>
    <row r="160" spans="1:10" x14ac:dyDescent="0.35">
      <c r="A160" s="615" t="s">
        <v>2731</v>
      </c>
      <c r="B160" s="616" t="str">
        <f t="shared" si="2"/>
        <v/>
      </c>
      <c r="C160" s="665"/>
      <c r="D160" s="651">
        <v>2</v>
      </c>
      <c r="E160" s="236"/>
      <c r="F160" s="232" t="s">
        <v>2539</v>
      </c>
      <c r="G160" s="239" t="s">
        <v>2585</v>
      </c>
      <c r="H160" s="652"/>
      <c r="I160" s="656"/>
      <c r="J160" s="654"/>
    </row>
    <row r="161" spans="1:10" x14ac:dyDescent="0.35">
      <c r="A161" s="615" t="s">
        <v>2732</v>
      </c>
      <c r="B161" s="616" t="str">
        <f t="shared" si="2"/>
        <v/>
      </c>
      <c r="C161" s="665"/>
      <c r="D161" s="651">
        <v>2</v>
      </c>
      <c r="E161" s="236"/>
      <c r="F161" s="232" t="s">
        <v>2539</v>
      </c>
      <c r="G161" s="239" t="s">
        <v>2585</v>
      </c>
      <c r="H161" s="652"/>
      <c r="I161" s="656"/>
      <c r="J161" s="654"/>
    </row>
    <row r="162" spans="1:10" x14ac:dyDescent="0.35">
      <c r="A162" s="615" t="s">
        <v>2733</v>
      </c>
      <c r="B162" s="616" t="str">
        <f t="shared" si="2"/>
        <v/>
      </c>
      <c r="C162" s="665"/>
      <c r="D162" s="651">
        <v>2</v>
      </c>
      <c r="E162" s="236"/>
      <c r="F162" s="232" t="s">
        <v>2539</v>
      </c>
      <c r="G162" s="239" t="s">
        <v>2585</v>
      </c>
      <c r="H162" s="652"/>
      <c r="I162" s="656"/>
      <c r="J162" s="654"/>
    </row>
    <row r="163" spans="1:10" x14ac:dyDescent="0.35">
      <c r="A163" s="615" t="s">
        <v>2734</v>
      </c>
      <c r="B163" s="616" t="str">
        <f t="shared" si="2"/>
        <v/>
      </c>
      <c r="C163" s="665"/>
      <c r="D163" s="651">
        <v>2</v>
      </c>
      <c r="E163" s="236"/>
      <c r="F163" s="232" t="s">
        <v>2539</v>
      </c>
      <c r="G163" s="239" t="s">
        <v>2585</v>
      </c>
      <c r="H163" s="652"/>
      <c r="I163" s="656"/>
      <c r="J163" s="654"/>
    </row>
    <row r="164" spans="1:10" ht="48" x14ac:dyDescent="0.35">
      <c r="A164" s="615" t="s">
        <v>2735</v>
      </c>
      <c r="B164" s="616" t="str">
        <f t="shared" si="2"/>
        <v/>
      </c>
      <c r="C164" s="665"/>
      <c r="D164" s="655" t="s">
        <v>75</v>
      </c>
      <c r="E164" s="236"/>
      <c r="F164" s="232" t="s">
        <v>76</v>
      </c>
      <c r="G164" s="657" t="s">
        <v>2591</v>
      </c>
      <c r="H164" s="652"/>
      <c r="I164" s="656"/>
      <c r="J164" s="654"/>
    </row>
    <row r="165" spans="1:10" x14ac:dyDescent="0.35">
      <c r="A165" s="615" t="s">
        <v>2736</v>
      </c>
      <c r="B165" s="616" t="str">
        <f t="shared" si="2"/>
        <v/>
      </c>
      <c r="C165" s="665"/>
      <c r="D165" s="655">
        <v>2</v>
      </c>
      <c r="E165" s="236"/>
      <c r="F165" s="232" t="s">
        <v>2539</v>
      </c>
      <c r="G165" s="239"/>
      <c r="H165" s="652"/>
      <c r="I165" s="656"/>
      <c r="J165" s="654"/>
    </row>
    <row r="166" spans="1:10" x14ac:dyDescent="0.35">
      <c r="A166" s="615" t="s">
        <v>2737</v>
      </c>
      <c r="B166" s="616" t="str">
        <f t="shared" si="2"/>
        <v/>
      </c>
      <c r="C166" s="665"/>
      <c r="D166" s="655">
        <v>0</v>
      </c>
      <c r="E166" s="236"/>
      <c r="F166" s="232" t="s">
        <v>2538</v>
      </c>
      <c r="G166" s="239"/>
      <c r="H166" s="652"/>
      <c r="I166" s="656"/>
      <c r="J166" s="654"/>
    </row>
    <row r="167" spans="1:10" x14ac:dyDescent="0.35">
      <c r="A167" s="615" t="s">
        <v>2738</v>
      </c>
      <c r="B167" s="616" t="str">
        <f t="shared" si="2"/>
        <v/>
      </c>
      <c r="C167" s="665"/>
      <c r="D167" s="655">
        <v>0</v>
      </c>
      <c r="E167" s="236"/>
      <c r="F167" s="232" t="s">
        <v>2538</v>
      </c>
      <c r="G167" s="239"/>
      <c r="H167" s="652"/>
      <c r="I167" s="656"/>
      <c r="J167" s="654"/>
    </row>
    <row r="168" spans="1:10" x14ac:dyDescent="0.35">
      <c r="A168" s="615" t="s">
        <v>2739</v>
      </c>
      <c r="B168" s="616" t="str">
        <f t="shared" si="2"/>
        <v/>
      </c>
      <c r="C168" s="665"/>
      <c r="D168" s="655">
        <v>0</v>
      </c>
      <c r="E168" s="236"/>
      <c r="F168" s="232" t="s">
        <v>2538</v>
      </c>
      <c r="G168" s="239"/>
      <c r="H168" s="652"/>
      <c r="I168" s="656"/>
      <c r="J168" s="654"/>
    </row>
    <row r="169" spans="1:10" x14ac:dyDescent="0.35">
      <c r="A169" s="615" t="s">
        <v>2740</v>
      </c>
      <c r="B169" s="616" t="str">
        <f t="shared" si="2"/>
        <v/>
      </c>
      <c r="C169" s="665"/>
      <c r="D169" s="651">
        <v>2</v>
      </c>
      <c r="E169" s="236"/>
      <c r="F169" s="232" t="s">
        <v>2572</v>
      </c>
      <c r="G169" s="239"/>
      <c r="H169" s="652"/>
      <c r="I169" s="656"/>
      <c r="J169" s="654"/>
    </row>
    <row r="170" spans="1:10" x14ac:dyDescent="0.35">
      <c r="A170" s="615" t="s">
        <v>2741</v>
      </c>
      <c r="B170" s="616" t="str">
        <f t="shared" si="2"/>
        <v/>
      </c>
      <c r="C170" s="665"/>
      <c r="D170" s="651">
        <v>2</v>
      </c>
      <c r="E170" s="236"/>
      <c r="F170" s="232" t="s">
        <v>2572</v>
      </c>
      <c r="G170" s="239"/>
      <c r="H170" s="652"/>
      <c r="I170" s="656"/>
      <c r="J170" s="654"/>
    </row>
    <row r="171" spans="1:10" x14ac:dyDescent="0.35">
      <c r="A171" s="615" t="s">
        <v>2742</v>
      </c>
      <c r="B171" s="616" t="str">
        <f t="shared" si="2"/>
        <v/>
      </c>
      <c r="C171" s="665"/>
      <c r="D171" s="651">
        <v>2</v>
      </c>
      <c r="E171" s="236"/>
      <c r="F171" s="232" t="s">
        <v>2572</v>
      </c>
      <c r="G171" s="239"/>
      <c r="H171" s="652"/>
      <c r="I171" s="656"/>
      <c r="J171" s="654"/>
    </row>
    <row r="172" spans="1:10" x14ac:dyDescent="0.35">
      <c r="A172" s="615" t="s">
        <v>2743</v>
      </c>
      <c r="B172" s="616" t="str">
        <f t="shared" si="2"/>
        <v/>
      </c>
      <c r="C172" s="665"/>
      <c r="D172" s="651">
        <v>2</v>
      </c>
      <c r="E172" s="236"/>
      <c r="F172" s="232" t="s">
        <v>2572</v>
      </c>
      <c r="G172" s="239"/>
      <c r="H172" s="652"/>
      <c r="I172" s="656"/>
      <c r="J172" s="654"/>
    </row>
    <row r="173" spans="1:10" x14ac:dyDescent="0.35">
      <c r="A173" s="615" t="s">
        <v>2744</v>
      </c>
      <c r="B173" s="616" t="str">
        <f t="shared" si="2"/>
        <v/>
      </c>
      <c r="C173" s="665"/>
      <c r="D173" s="651">
        <v>2</v>
      </c>
      <c r="E173" s="236"/>
      <c r="F173" s="232" t="s">
        <v>2572</v>
      </c>
      <c r="G173" s="239"/>
      <c r="H173" s="652"/>
      <c r="I173" s="656"/>
      <c r="J173" s="654"/>
    </row>
    <row r="174" spans="1:10" x14ac:dyDescent="0.35">
      <c r="A174" s="615" t="s">
        <v>2745</v>
      </c>
      <c r="B174" s="616" t="str">
        <f t="shared" si="2"/>
        <v/>
      </c>
      <c r="C174" s="665"/>
      <c r="D174" s="655">
        <v>6</v>
      </c>
      <c r="E174" s="236"/>
      <c r="F174" s="232" t="s">
        <v>2579</v>
      </c>
      <c r="G174" s="239" t="s">
        <v>2583</v>
      </c>
      <c r="H174" s="652"/>
      <c r="I174" s="656"/>
      <c r="J174" s="654"/>
    </row>
    <row r="175" spans="1:10" x14ac:dyDescent="0.35">
      <c r="A175" s="615" t="s">
        <v>2746</v>
      </c>
      <c r="B175" s="616" t="str">
        <f t="shared" si="2"/>
        <v/>
      </c>
      <c r="C175" s="665"/>
      <c r="D175" s="655" t="s">
        <v>75</v>
      </c>
      <c r="E175" s="236"/>
      <c r="F175" s="232" t="s">
        <v>76</v>
      </c>
      <c r="G175" s="239"/>
      <c r="H175" s="652"/>
      <c r="I175" s="656"/>
      <c r="J175" s="654"/>
    </row>
    <row r="176" spans="1:10" x14ac:dyDescent="0.35">
      <c r="A176" s="615" t="s">
        <v>2747</v>
      </c>
      <c r="B176" s="616" t="str">
        <f t="shared" si="2"/>
        <v/>
      </c>
      <c r="C176" s="665"/>
      <c r="D176" s="655">
        <v>2</v>
      </c>
      <c r="E176" s="236"/>
      <c r="F176" s="232" t="s">
        <v>2539</v>
      </c>
      <c r="G176" s="239" t="s">
        <v>2585</v>
      </c>
      <c r="H176" s="652"/>
      <c r="I176" s="656"/>
      <c r="J176" s="654"/>
    </row>
    <row r="177" spans="1:10" x14ac:dyDescent="0.35">
      <c r="A177" s="615" t="s">
        <v>2748</v>
      </c>
      <c r="B177" s="616" t="str">
        <f t="shared" si="2"/>
        <v/>
      </c>
      <c r="C177" s="665"/>
      <c r="D177" s="651">
        <v>2</v>
      </c>
      <c r="E177" s="236"/>
      <c r="F177" s="232" t="s">
        <v>2539</v>
      </c>
      <c r="G177" s="239" t="s">
        <v>2585</v>
      </c>
      <c r="H177" s="652"/>
      <c r="I177" s="656"/>
      <c r="J177" s="654"/>
    </row>
    <row r="178" spans="1:10" x14ac:dyDescent="0.35">
      <c r="A178" s="615" t="s">
        <v>2749</v>
      </c>
      <c r="B178" s="616" t="str">
        <f t="shared" si="2"/>
        <v/>
      </c>
      <c r="C178" s="665"/>
      <c r="D178" s="651">
        <v>2</v>
      </c>
      <c r="E178" s="236"/>
      <c r="F178" s="232" t="s">
        <v>2539</v>
      </c>
      <c r="G178" s="239" t="s">
        <v>2585</v>
      </c>
      <c r="H178" s="652"/>
      <c r="I178" s="656"/>
      <c r="J178" s="654"/>
    </row>
    <row r="179" spans="1:10" x14ac:dyDescent="0.35">
      <c r="A179" s="615" t="s">
        <v>2750</v>
      </c>
      <c r="B179" s="616" t="str">
        <f t="shared" si="2"/>
        <v/>
      </c>
      <c r="C179" s="665"/>
      <c r="D179" s="651">
        <v>2</v>
      </c>
      <c r="E179" s="236"/>
      <c r="F179" s="232" t="s">
        <v>2539</v>
      </c>
      <c r="G179" s="239" t="s">
        <v>2585</v>
      </c>
      <c r="H179" s="652"/>
      <c r="I179" s="656"/>
      <c r="J179" s="654"/>
    </row>
    <row r="180" spans="1:10" x14ac:dyDescent="0.35">
      <c r="A180" s="615" t="s">
        <v>2751</v>
      </c>
      <c r="B180" s="616" t="str">
        <f t="shared" si="2"/>
        <v/>
      </c>
      <c r="C180" s="665"/>
      <c r="D180" s="651">
        <v>2</v>
      </c>
      <c r="E180" s="236"/>
      <c r="F180" s="232" t="s">
        <v>2539</v>
      </c>
      <c r="G180" s="239" t="s">
        <v>2585</v>
      </c>
      <c r="H180" s="652"/>
      <c r="I180" s="656"/>
      <c r="J180" s="654"/>
    </row>
    <row r="181" spans="1:10" x14ac:dyDescent="0.35">
      <c r="A181" s="615" t="s">
        <v>2752</v>
      </c>
      <c r="B181" s="616" t="str">
        <f t="shared" si="2"/>
        <v/>
      </c>
      <c r="C181" s="665"/>
      <c r="D181" s="651">
        <v>2</v>
      </c>
      <c r="E181" s="236"/>
      <c r="F181" s="232" t="s">
        <v>2539</v>
      </c>
      <c r="G181" s="239" t="s">
        <v>2585</v>
      </c>
      <c r="H181" s="652"/>
      <c r="I181" s="656"/>
      <c r="J181" s="654"/>
    </row>
    <row r="182" spans="1:10" ht="48" x14ac:dyDescent="0.35">
      <c r="A182" s="615" t="s">
        <v>2753</v>
      </c>
      <c r="B182" s="616" t="str">
        <f t="shared" si="2"/>
        <v/>
      </c>
      <c r="C182" s="665"/>
      <c r="D182" s="655" t="s">
        <v>75</v>
      </c>
      <c r="E182" s="236"/>
      <c r="F182" s="232" t="s">
        <v>76</v>
      </c>
      <c r="G182" s="657" t="s">
        <v>2591</v>
      </c>
      <c r="H182" s="652"/>
      <c r="I182" s="656"/>
      <c r="J182" s="654"/>
    </row>
    <row r="183" spans="1:10" x14ac:dyDescent="0.35">
      <c r="A183" s="615" t="s">
        <v>2754</v>
      </c>
      <c r="B183" s="616" t="str">
        <f t="shared" si="2"/>
        <v/>
      </c>
      <c r="C183" s="665"/>
      <c r="D183" s="655">
        <v>2</v>
      </c>
      <c r="E183" s="236"/>
      <c r="F183" s="232" t="s">
        <v>2539</v>
      </c>
      <c r="G183" s="239"/>
      <c r="H183" s="652"/>
      <c r="I183" s="656"/>
      <c r="J183" s="654"/>
    </row>
    <row r="184" spans="1:10" x14ac:dyDescent="0.35">
      <c r="A184" s="615" t="s">
        <v>2755</v>
      </c>
      <c r="B184" s="616" t="str">
        <f t="shared" si="2"/>
        <v/>
      </c>
      <c r="C184" s="665"/>
      <c r="D184" s="655">
        <v>0</v>
      </c>
      <c r="E184" s="236"/>
      <c r="F184" s="232" t="s">
        <v>2538</v>
      </c>
      <c r="G184" s="239"/>
      <c r="H184" s="652"/>
      <c r="I184" s="656"/>
      <c r="J184" s="654"/>
    </row>
    <row r="185" spans="1:10" x14ac:dyDescent="0.35">
      <c r="A185" s="615" t="s">
        <v>2756</v>
      </c>
      <c r="B185" s="616" t="str">
        <f t="shared" si="2"/>
        <v/>
      </c>
      <c r="C185" s="665"/>
      <c r="D185" s="655">
        <v>0</v>
      </c>
      <c r="E185" s="236"/>
      <c r="F185" s="232" t="s">
        <v>2538</v>
      </c>
      <c r="G185" s="239"/>
      <c r="H185" s="652"/>
      <c r="I185" s="656"/>
      <c r="J185" s="654"/>
    </row>
    <row r="186" spans="1:10" x14ac:dyDescent="0.35">
      <c r="A186" s="615" t="s">
        <v>2757</v>
      </c>
      <c r="B186" s="616" t="str">
        <f t="shared" si="2"/>
        <v/>
      </c>
      <c r="C186" s="665"/>
      <c r="D186" s="655">
        <v>0</v>
      </c>
      <c r="E186" s="236"/>
      <c r="F186" s="232" t="s">
        <v>2538</v>
      </c>
      <c r="G186" s="239"/>
      <c r="H186" s="652"/>
      <c r="I186" s="656"/>
      <c r="J186" s="654"/>
    </row>
    <row r="187" spans="1:10" x14ac:dyDescent="0.35">
      <c r="A187" s="615" t="s">
        <v>2758</v>
      </c>
      <c r="B187" s="616" t="str">
        <f t="shared" si="2"/>
        <v/>
      </c>
      <c r="C187" s="665"/>
      <c r="D187" s="651">
        <v>2</v>
      </c>
      <c r="E187" s="236"/>
      <c r="F187" s="232" t="s">
        <v>2572</v>
      </c>
      <c r="G187" s="239"/>
      <c r="H187" s="652"/>
      <c r="I187" s="656"/>
      <c r="J187" s="654"/>
    </row>
    <row r="188" spans="1:10" x14ac:dyDescent="0.35">
      <c r="A188" s="615" t="s">
        <v>2759</v>
      </c>
      <c r="B188" s="616" t="str">
        <f t="shared" si="2"/>
        <v/>
      </c>
      <c r="C188" s="665"/>
      <c r="D188" s="651">
        <v>2</v>
      </c>
      <c r="E188" s="236"/>
      <c r="F188" s="232" t="s">
        <v>2572</v>
      </c>
      <c r="G188" s="239"/>
      <c r="H188" s="652"/>
      <c r="I188" s="656"/>
      <c r="J188" s="654"/>
    </row>
    <row r="189" spans="1:10" x14ac:dyDescent="0.35">
      <c r="A189" s="615" t="s">
        <v>2760</v>
      </c>
      <c r="B189" s="616" t="str">
        <f t="shared" si="2"/>
        <v/>
      </c>
      <c r="C189" s="665"/>
      <c r="D189" s="651">
        <v>2</v>
      </c>
      <c r="E189" s="236"/>
      <c r="F189" s="232" t="s">
        <v>2572</v>
      </c>
      <c r="G189" s="239"/>
      <c r="H189" s="652"/>
      <c r="I189" s="656"/>
      <c r="J189" s="654"/>
    </row>
    <row r="190" spans="1:10" x14ac:dyDescent="0.35">
      <c r="A190" s="615" t="s">
        <v>2761</v>
      </c>
      <c r="B190" s="616" t="str">
        <f t="shared" si="2"/>
        <v/>
      </c>
      <c r="C190" s="665"/>
      <c r="D190" s="651">
        <v>2</v>
      </c>
      <c r="E190" s="236"/>
      <c r="F190" s="232" t="s">
        <v>2572</v>
      </c>
      <c r="G190" s="239"/>
      <c r="H190" s="652"/>
      <c r="I190" s="656"/>
      <c r="J190" s="654"/>
    </row>
    <row r="191" spans="1:10" x14ac:dyDescent="0.35">
      <c r="A191" s="615" t="s">
        <v>2762</v>
      </c>
      <c r="B191" s="616" t="str">
        <f t="shared" si="2"/>
        <v/>
      </c>
      <c r="C191" s="665"/>
      <c r="D191" s="651">
        <v>2</v>
      </c>
      <c r="E191" s="236"/>
      <c r="F191" s="232" t="s">
        <v>2572</v>
      </c>
      <c r="G191" s="239"/>
      <c r="H191" s="652"/>
      <c r="I191" s="656"/>
      <c r="J191" s="654"/>
    </row>
    <row r="192" spans="1:10" x14ac:dyDescent="0.35">
      <c r="A192" s="615" t="s">
        <v>2763</v>
      </c>
      <c r="B192" s="616" t="str">
        <f t="shared" si="2"/>
        <v/>
      </c>
      <c r="C192" s="665"/>
      <c r="D192" s="655">
        <v>6</v>
      </c>
      <c r="E192" s="236"/>
      <c r="F192" s="232" t="s">
        <v>2579</v>
      </c>
      <c r="G192" s="239" t="s">
        <v>2583</v>
      </c>
      <c r="H192" s="652"/>
      <c r="I192" s="656"/>
      <c r="J192" s="654"/>
    </row>
    <row r="193" spans="1:10" x14ac:dyDescent="0.35">
      <c r="A193" s="615" t="s">
        <v>2764</v>
      </c>
      <c r="B193" s="616" t="str">
        <f t="shared" si="2"/>
        <v/>
      </c>
      <c r="C193" s="665"/>
      <c r="D193" s="655" t="s">
        <v>75</v>
      </c>
      <c r="E193" s="236"/>
      <c r="F193" s="232" t="s">
        <v>76</v>
      </c>
      <c r="G193" s="239"/>
      <c r="H193" s="652"/>
      <c r="I193" s="656"/>
      <c r="J193" s="654"/>
    </row>
    <row r="194" spans="1:10" x14ac:dyDescent="0.35">
      <c r="A194" s="615" t="s">
        <v>2765</v>
      </c>
      <c r="B194" s="616" t="str">
        <f t="shared" si="2"/>
        <v/>
      </c>
      <c r="C194" s="665"/>
      <c r="D194" s="655">
        <v>2</v>
      </c>
      <c r="E194" s="236"/>
      <c r="F194" s="232" t="s">
        <v>2539</v>
      </c>
      <c r="G194" s="239" t="s">
        <v>2585</v>
      </c>
      <c r="H194" s="652"/>
      <c r="I194" s="656"/>
      <c r="J194" s="654"/>
    </row>
    <row r="195" spans="1:10" x14ac:dyDescent="0.35">
      <c r="A195" s="615" t="s">
        <v>2766</v>
      </c>
      <c r="B195" s="616" t="str">
        <f t="shared" si="2"/>
        <v/>
      </c>
      <c r="C195" s="665"/>
      <c r="D195" s="651">
        <v>2</v>
      </c>
      <c r="E195" s="236"/>
      <c r="F195" s="232" t="s">
        <v>2539</v>
      </c>
      <c r="G195" s="239" t="s">
        <v>2585</v>
      </c>
      <c r="H195" s="652"/>
      <c r="I195" s="656"/>
      <c r="J195" s="654"/>
    </row>
    <row r="196" spans="1:10" x14ac:dyDescent="0.35">
      <c r="A196" s="615" t="s">
        <v>2767</v>
      </c>
      <c r="B196" s="616" t="str">
        <f t="shared" ref="B196:B259" si="3">IF(C196="","",IF(D196="Datum",TEXT(DAY(C196),"00")&amp;"."&amp;TEXT(MONTH(C196),"00")&amp;"."&amp;TEXT(YEAR(C196),"0000"),IF(AND(ISNUMBER(C196),D196="x"),TEXT(C196,"@"),IF(ISNUMBER(C196),TEXT(ROUNDDOWN(C196,0),0)&amp;IF(D196=0,"","."&amp;IF(C196-ROUNDDOWN(C196,0)=0,LEFT("0000000000",D196),TEXT((C196-ROUNDDOWN(C196,0))*(1&amp; LEFT("0000000000",$D196)),LEFT("0000000000",$D196)))),C196))))</f>
        <v/>
      </c>
      <c r="C196" s="665"/>
      <c r="D196" s="651">
        <v>2</v>
      </c>
      <c r="E196" s="236"/>
      <c r="F196" s="232" t="s">
        <v>2539</v>
      </c>
      <c r="G196" s="239" t="s">
        <v>2585</v>
      </c>
      <c r="H196" s="652"/>
      <c r="I196" s="656"/>
      <c r="J196" s="654"/>
    </row>
    <row r="197" spans="1:10" x14ac:dyDescent="0.35">
      <c r="A197" s="615" t="s">
        <v>2768</v>
      </c>
      <c r="B197" s="616" t="str">
        <f t="shared" si="3"/>
        <v/>
      </c>
      <c r="C197" s="665"/>
      <c r="D197" s="651">
        <v>2</v>
      </c>
      <c r="E197" s="236"/>
      <c r="F197" s="232" t="s">
        <v>2539</v>
      </c>
      <c r="G197" s="239" t="s">
        <v>2585</v>
      </c>
      <c r="H197" s="652"/>
      <c r="I197" s="656"/>
      <c r="J197" s="654"/>
    </row>
    <row r="198" spans="1:10" x14ac:dyDescent="0.35">
      <c r="A198" s="615" t="s">
        <v>2769</v>
      </c>
      <c r="B198" s="616" t="str">
        <f t="shared" si="3"/>
        <v/>
      </c>
      <c r="C198" s="665"/>
      <c r="D198" s="651">
        <v>2</v>
      </c>
      <c r="E198" s="236"/>
      <c r="F198" s="232" t="s">
        <v>2539</v>
      </c>
      <c r="G198" s="239" t="s">
        <v>2585</v>
      </c>
      <c r="H198" s="652"/>
      <c r="I198" s="656"/>
      <c r="J198" s="654"/>
    </row>
    <row r="199" spans="1:10" x14ac:dyDescent="0.35">
      <c r="A199" s="615" t="s">
        <v>2770</v>
      </c>
      <c r="B199" s="616" t="str">
        <f t="shared" si="3"/>
        <v/>
      </c>
      <c r="C199" s="665"/>
      <c r="D199" s="651">
        <v>2</v>
      </c>
      <c r="E199" s="236"/>
      <c r="F199" s="232" t="s">
        <v>2539</v>
      </c>
      <c r="G199" s="239" t="s">
        <v>2585</v>
      </c>
      <c r="H199" s="652"/>
      <c r="I199" s="656"/>
      <c r="J199" s="654"/>
    </row>
    <row r="200" spans="1:10" ht="48" x14ac:dyDescent="0.35">
      <c r="A200" s="615" t="s">
        <v>2771</v>
      </c>
      <c r="B200" s="616" t="str">
        <f t="shared" si="3"/>
        <v/>
      </c>
      <c r="C200" s="665"/>
      <c r="D200" s="655" t="s">
        <v>75</v>
      </c>
      <c r="E200" s="236"/>
      <c r="F200" s="232" t="s">
        <v>76</v>
      </c>
      <c r="G200" s="657" t="s">
        <v>2591</v>
      </c>
      <c r="H200" s="652"/>
      <c r="I200" s="656"/>
      <c r="J200" s="654"/>
    </row>
    <row r="201" spans="1:10" x14ac:dyDescent="0.35">
      <c r="A201" s="615" t="s">
        <v>2772</v>
      </c>
      <c r="B201" s="616" t="str">
        <f t="shared" si="3"/>
        <v/>
      </c>
      <c r="C201" s="665"/>
      <c r="D201" s="655">
        <v>2</v>
      </c>
      <c r="E201" s="236"/>
      <c r="F201" s="232" t="s">
        <v>2539</v>
      </c>
      <c r="G201" s="239"/>
      <c r="H201" s="652"/>
      <c r="I201" s="656"/>
      <c r="J201" s="654"/>
    </row>
    <row r="202" spans="1:10" x14ac:dyDescent="0.35">
      <c r="A202" s="615" t="s">
        <v>2773</v>
      </c>
      <c r="B202" s="616"/>
      <c r="C202" s="650"/>
      <c r="D202" s="655">
        <v>0</v>
      </c>
      <c r="E202" s="236"/>
      <c r="F202" s="232" t="s">
        <v>2538</v>
      </c>
      <c r="G202" s="239"/>
      <c r="H202" s="652"/>
      <c r="I202" s="653"/>
      <c r="J202" s="654"/>
    </row>
    <row r="203" spans="1:10" x14ac:dyDescent="0.35">
      <c r="A203" s="615" t="s">
        <v>2774</v>
      </c>
      <c r="B203" s="616"/>
      <c r="C203" s="650"/>
      <c r="D203" s="655">
        <v>0</v>
      </c>
      <c r="E203" s="236"/>
      <c r="F203" s="232" t="s">
        <v>2538</v>
      </c>
      <c r="G203" s="239"/>
      <c r="H203" s="652"/>
      <c r="I203" s="653"/>
      <c r="J203" s="654"/>
    </row>
    <row r="204" spans="1:10" x14ac:dyDescent="0.35">
      <c r="A204" s="615" t="s">
        <v>2775</v>
      </c>
      <c r="B204" s="616"/>
      <c r="C204" s="650"/>
      <c r="D204" s="655">
        <v>0</v>
      </c>
      <c r="E204" s="236"/>
      <c r="F204" s="232" t="s">
        <v>2538</v>
      </c>
      <c r="G204" s="239"/>
      <c r="H204" s="652"/>
      <c r="I204" s="653"/>
      <c r="J204" s="654"/>
    </row>
    <row r="205" spans="1:10" x14ac:dyDescent="0.35">
      <c r="A205" s="615" t="s">
        <v>2776</v>
      </c>
      <c r="B205" s="616"/>
      <c r="C205" s="665"/>
      <c r="D205" s="655">
        <v>0</v>
      </c>
      <c r="E205" s="236"/>
      <c r="F205" s="232" t="s">
        <v>2538</v>
      </c>
      <c r="G205" s="239"/>
      <c r="H205" s="652"/>
      <c r="I205" s="656"/>
      <c r="J205" s="654"/>
    </row>
    <row r="206" spans="1:10" x14ac:dyDescent="0.35">
      <c r="A206" s="615" t="s">
        <v>2777</v>
      </c>
      <c r="B206" s="616"/>
      <c r="C206" s="665"/>
      <c r="D206" s="655">
        <v>0</v>
      </c>
      <c r="E206" s="236"/>
      <c r="F206" s="232" t="s">
        <v>2538</v>
      </c>
      <c r="G206" s="239"/>
      <c r="H206" s="652"/>
      <c r="I206" s="656"/>
      <c r="J206" s="654"/>
    </row>
    <row r="207" spans="1:10" x14ac:dyDescent="0.35">
      <c r="A207" s="615" t="s">
        <v>2778</v>
      </c>
      <c r="B207" s="616"/>
      <c r="C207" s="650"/>
      <c r="D207" s="651">
        <v>2</v>
      </c>
      <c r="E207" s="236"/>
      <c r="F207" s="232" t="s">
        <v>2572</v>
      </c>
      <c r="G207" s="239"/>
      <c r="H207" s="652"/>
      <c r="I207" s="653"/>
      <c r="J207" s="654"/>
    </row>
    <row r="208" spans="1:10" x14ac:dyDescent="0.35">
      <c r="A208" s="615" t="s">
        <v>2779</v>
      </c>
      <c r="B208" s="616"/>
      <c r="C208" s="665"/>
      <c r="D208" s="651">
        <v>2</v>
      </c>
      <c r="E208" s="236"/>
      <c r="F208" s="232" t="s">
        <v>2572</v>
      </c>
      <c r="G208" s="239"/>
      <c r="H208" s="652"/>
      <c r="I208" s="656"/>
      <c r="J208" s="654"/>
    </row>
    <row r="209" spans="1:10" ht="36" x14ac:dyDescent="0.35">
      <c r="A209" s="615" t="s">
        <v>2780</v>
      </c>
      <c r="B209" s="616"/>
      <c r="C209" s="665"/>
      <c r="D209" s="651">
        <v>2</v>
      </c>
      <c r="E209" s="236"/>
      <c r="F209" s="232" t="s">
        <v>2572</v>
      </c>
      <c r="G209" s="666" t="s">
        <v>2575</v>
      </c>
      <c r="H209" s="652"/>
      <c r="I209" s="656"/>
      <c r="J209" s="654"/>
    </row>
    <row r="210" spans="1:10" x14ac:dyDescent="0.35">
      <c r="A210" s="615" t="s">
        <v>2781</v>
      </c>
      <c r="B210" s="616"/>
      <c r="C210" s="665"/>
      <c r="D210" s="655">
        <v>2</v>
      </c>
      <c r="E210" s="236"/>
      <c r="F210" s="232" t="s">
        <v>2572</v>
      </c>
      <c r="G210" s="239"/>
      <c r="H210" s="652"/>
      <c r="I210" s="656"/>
      <c r="J210" s="654"/>
    </row>
    <row r="211" spans="1:10" x14ac:dyDescent="0.35">
      <c r="A211" s="615" t="s">
        <v>2782</v>
      </c>
      <c r="B211" s="616"/>
      <c r="C211" s="665"/>
      <c r="D211" s="655">
        <v>2</v>
      </c>
      <c r="E211" s="236"/>
      <c r="F211" s="232" t="s">
        <v>2572</v>
      </c>
      <c r="G211" s="239"/>
      <c r="H211" s="652"/>
      <c r="I211" s="656"/>
      <c r="J211" s="654"/>
    </row>
    <row r="212" spans="1:10" x14ac:dyDescent="0.35">
      <c r="A212" s="615" t="s">
        <v>2783</v>
      </c>
      <c r="B212" s="616"/>
      <c r="C212" s="665"/>
      <c r="D212" s="655">
        <v>6</v>
      </c>
      <c r="E212" s="236"/>
      <c r="F212" s="232" t="s">
        <v>2579</v>
      </c>
      <c r="G212" s="239" t="s">
        <v>2583</v>
      </c>
      <c r="H212" s="652"/>
      <c r="I212" s="656"/>
      <c r="J212" s="654"/>
    </row>
    <row r="213" spans="1:10" x14ac:dyDescent="0.35">
      <c r="A213" s="615" t="s">
        <v>2784</v>
      </c>
      <c r="B213" s="616"/>
      <c r="C213" s="665"/>
      <c r="D213" s="655" t="s">
        <v>75</v>
      </c>
      <c r="E213" s="236"/>
      <c r="F213" s="232" t="s">
        <v>76</v>
      </c>
      <c r="G213" s="239"/>
      <c r="H213" s="652"/>
      <c r="I213" s="656"/>
      <c r="J213" s="654"/>
    </row>
    <row r="214" spans="1:10" x14ac:dyDescent="0.35">
      <c r="A214" s="615" t="s">
        <v>2785</v>
      </c>
      <c r="B214" s="616"/>
      <c r="C214" s="650"/>
      <c r="D214" s="655">
        <v>2</v>
      </c>
      <c r="E214" s="236"/>
      <c r="F214" s="232" t="s">
        <v>2539</v>
      </c>
      <c r="G214" s="239" t="s">
        <v>2585</v>
      </c>
      <c r="H214" s="652"/>
      <c r="I214" s="653"/>
      <c r="J214" s="654"/>
    </row>
    <row r="215" spans="1:10" x14ac:dyDescent="0.35">
      <c r="A215" s="615" t="s">
        <v>2786</v>
      </c>
      <c r="B215" s="616"/>
      <c r="C215" s="650"/>
      <c r="D215" s="655">
        <v>2</v>
      </c>
      <c r="E215" s="236"/>
      <c r="F215" s="232" t="s">
        <v>2539</v>
      </c>
      <c r="G215" s="239" t="s">
        <v>2585</v>
      </c>
      <c r="H215" s="652"/>
      <c r="I215" s="653"/>
      <c r="J215" s="654"/>
    </row>
    <row r="216" spans="1:10" x14ac:dyDescent="0.35">
      <c r="A216" s="615" t="s">
        <v>2787</v>
      </c>
      <c r="B216" s="616"/>
      <c r="C216" s="665"/>
      <c r="D216" s="655">
        <v>2</v>
      </c>
      <c r="E216" s="236"/>
      <c r="F216" s="232" t="s">
        <v>2539</v>
      </c>
      <c r="G216" s="239" t="s">
        <v>2585</v>
      </c>
      <c r="H216" s="652"/>
      <c r="I216" s="656"/>
      <c r="J216" s="654"/>
    </row>
    <row r="217" spans="1:10" x14ac:dyDescent="0.35">
      <c r="A217" s="615" t="s">
        <v>2788</v>
      </c>
      <c r="B217" s="616"/>
      <c r="C217" s="665"/>
      <c r="D217" s="655">
        <v>2</v>
      </c>
      <c r="E217" s="236"/>
      <c r="F217" s="232" t="s">
        <v>2539</v>
      </c>
      <c r="G217" s="239" t="s">
        <v>2585</v>
      </c>
      <c r="H217" s="652"/>
      <c r="I217" s="656"/>
      <c r="J217" s="654"/>
    </row>
    <row r="218" spans="1:10" x14ac:dyDescent="0.35">
      <c r="A218" s="615" t="s">
        <v>2789</v>
      </c>
      <c r="B218" s="616"/>
      <c r="C218" s="665"/>
      <c r="D218" s="655">
        <v>2</v>
      </c>
      <c r="E218" s="236"/>
      <c r="F218" s="232" t="s">
        <v>2539</v>
      </c>
      <c r="G218" s="239" t="s">
        <v>2585</v>
      </c>
      <c r="H218" s="652"/>
      <c r="I218" s="656"/>
      <c r="J218" s="654"/>
    </row>
    <row r="219" spans="1:10" x14ac:dyDescent="0.35">
      <c r="A219" s="615" t="s">
        <v>2790</v>
      </c>
      <c r="B219" s="616"/>
      <c r="C219" s="650"/>
      <c r="D219" s="655">
        <v>2</v>
      </c>
      <c r="E219" s="236"/>
      <c r="F219" s="232" t="s">
        <v>2539</v>
      </c>
      <c r="G219" s="239" t="s">
        <v>2585</v>
      </c>
      <c r="H219" s="652"/>
      <c r="I219" s="653"/>
      <c r="J219" s="654"/>
    </row>
    <row r="220" spans="1:10" ht="48" x14ac:dyDescent="0.35">
      <c r="A220" s="615" t="s">
        <v>2791</v>
      </c>
      <c r="B220" s="616"/>
      <c r="C220" s="650"/>
      <c r="D220" s="655" t="s">
        <v>75</v>
      </c>
      <c r="E220" s="236"/>
      <c r="F220" s="232" t="s">
        <v>76</v>
      </c>
      <c r="G220" s="657" t="s">
        <v>2591</v>
      </c>
      <c r="H220" s="652"/>
      <c r="I220" s="653"/>
      <c r="J220" s="654"/>
    </row>
    <row r="221" spans="1:10" x14ac:dyDescent="0.35">
      <c r="A221" s="615" t="s">
        <v>2792</v>
      </c>
      <c r="B221" s="616"/>
      <c r="C221" s="665"/>
      <c r="D221" s="655">
        <v>2</v>
      </c>
      <c r="E221" s="236"/>
      <c r="F221" s="232" t="s">
        <v>2539</v>
      </c>
      <c r="G221" s="239"/>
      <c r="H221" s="652"/>
      <c r="I221" s="656"/>
      <c r="J221" s="654"/>
    </row>
    <row r="222" spans="1:10" x14ac:dyDescent="0.35">
      <c r="A222" s="615" t="s">
        <v>2793</v>
      </c>
      <c r="B222" s="616" t="str">
        <f t="shared" si="3"/>
        <v/>
      </c>
      <c r="C222" s="665"/>
      <c r="D222" s="655">
        <v>0</v>
      </c>
      <c r="E222" s="236"/>
      <c r="F222" s="232" t="s">
        <v>2538</v>
      </c>
      <c r="G222" s="239"/>
      <c r="H222" s="652"/>
      <c r="I222" s="656"/>
      <c r="J222" s="654"/>
    </row>
    <row r="223" spans="1:10" x14ac:dyDescent="0.35">
      <c r="A223" s="615" t="s">
        <v>2794</v>
      </c>
      <c r="B223" s="616" t="str">
        <f t="shared" si="3"/>
        <v/>
      </c>
      <c r="C223" s="665"/>
      <c r="D223" s="655">
        <v>0</v>
      </c>
      <c r="E223" s="236"/>
      <c r="F223" s="232" t="s">
        <v>2538</v>
      </c>
      <c r="G223" s="239"/>
      <c r="H223" s="652"/>
      <c r="I223" s="656"/>
      <c r="J223" s="654"/>
    </row>
    <row r="224" spans="1:10" x14ac:dyDescent="0.35">
      <c r="A224" s="615" t="s">
        <v>2795</v>
      </c>
      <c r="B224" s="616" t="str">
        <f t="shared" si="3"/>
        <v/>
      </c>
      <c r="C224" s="665"/>
      <c r="D224" s="655">
        <v>0</v>
      </c>
      <c r="E224" s="236"/>
      <c r="F224" s="232" t="s">
        <v>2538</v>
      </c>
      <c r="G224" s="239"/>
      <c r="H224" s="652"/>
      <c r="I224" s="656"/>
      <c r="J224" s="654"/>
    </row>
    <row r="225" spans="1:10" x14ac:dyDescent="0.35">
      <c r="A225" s="615" t="s">
        <v>2796</v>
      </c>
      <c r="B225" s="616" t="str">
        <f t="shared" si="3"/>
        <v/>
      </c>
      <c r="C225" s="665"/>
      <c r="D225" s="651">
        <v>2</v>
      </c>
      <c r="E225" s="236"/>
      <c r="F225" s="232" t="s">
        <v>2572</v>
      </c>
      <c r="G225" s="239"/>
      <c r="H225" s="652"/>
      <c r="I225" s="656"/>
      <c r="J225" s="654"/>
    </row>
    <row r="226" spans="1:10" x14ac:dyDescent="0.35">
      <c r="A226" s="615" t="s">
        <v>2797</v>
      </c>
      <c r="B226" s="616" t="str">
        <f t="shared" si="3"/>
        <v/>
      </c>
      <c r="C226" s="665"/>
      <c r="D226" s="651">
        <v>2</v>
      </c>
      <c r="E226" s="236"/>
      <c r="F226" s="232" t="s">
        <v>2572</v>
      </c>
      <c r="G226" s="239"/>
      <c r="H226" s="652"/>
      <c r="I226" s="656"/>
      <c r="J226" s="654"/>
    </row>
    <row r="227" spans="1:10" x14ac:dyDescent="0.35">
      <c r="A227" s="615" t="s">
        <v>2798</v>
      </c>
      <c r="B227" s="616" t="str">
        <f t="shared" si="3"/>
        <v/>
      </c>
      <c r="C227" s="665"/>
      <c r="D227" s="651">
        <v>2</v>
      </c>
      <c r="E227" s="236"/>
      <c r="F227" s="232" t="s">
        <v>2572</v>
      </c>
      <c r="G227" s="239"/>
      <c r="H227" s="652"/>
      <c r="I227" s="656"/>
      <c r="J227" s="654"/>
    </row>
    <row r="228" spans="1:10" x14ac:dyDescent="0.35">
      <c r="A228" s="615" t="s">
        <v>2799</v>
      </c>
      <c r="B228" s="616" t="str">
        <f t="shared" si="3"/>
        <v/>
      </c>
      <c r="C228" s="665"/>
      <c r="D228" s="651">
        <v>2</v>
      </c>
      <c r="E228" s="236"/>
      <c r="F228" s="232" t="s">
        <v>2572</v>
      </c>
      <c r="G228" s="239"/>
      <c r="H228" s="652"/>
      <c r="I228" s="656"/>
      <c r="J228" s="654"/>
    </row>
    <row r="229" spans="1:10" x14ac:dyDescent="0.35">
      <c r="A229" s="615" t="s">
        <v>2800</v>
      </c>
      <c r="B229" s="616" t="str">
        <f t="shared" si="3"/>
        <v/>
      </c>
      <c r="C229" s="665"/>
      <c r="D229" s="651">
        <v>2</v>
      </c>
      <c r="E229" s="236"/>
      <c r="F229" s="232" t="s">
        <v>2572</v>
      </c>
      <c r="G229" s="239"/>
      <c r="H229" s="652"/>
      <c r="I229" s="656"/>
      <c r="J229" s="654"/>
    </row>
    <row r="230" spans="1:10" x14ac:dyDescent="0.35">
      <c r="A230" s="615" t="s">
        <v>2801</v>
      </c>
      <c r="B230" s="616" t="str">
        <f t="shared" si="3"/>
        <v/>
      </c>
      <c r="C230" s="665"/>
      <c r="D230" s="655">
        <v>6</v>
      </c>
      <c r="E230" s="236"/>
      <c r="F230" s="232" t="s">
        <v>2579</v>
      </c>
      <c r="G230" s="239" t="s">
        <v>2583</v>
      </c>
      <c r="H230" s="652"/>
      <c r="I230" s="656"/>
      <c r="J230" s="654"/>
    </row>
    <row r="231" spans="1:10" x14ac:dyDescent="0.35">
      <c r="A231" s="615" t="s">
        <v>2802</v>
      </c>
      <c r="B231" s="616" t="str">
        <f t="shared" si="3"/>
        <v/>
      </c>
      <c r="C231" s="665"/>
      <c r="D231" s="655" t="s">
        <v>75</v>
      </c>
      <c r="E231" s="236"/>
      <c r="F231" s="232" t="s">
        <v>76</v>
      </c>
      <c r="G231" s="239"/>
      <c r="H231" s="652"/>
      <c r="I231" s="656"/>
      <c r="J231" s="654"/>
    </row>
    <row r="232" spans="1:10" x14ac:dyDescent="0.35">
      <c r="A232" s="615" t="s">
        <v>2803</v>
      </c>
      <c r="B232" s="616" t="str">
        <f t="shared" si="3"/>
        <v/>
      </c>
      <c r="C232" s="665"/>
      <c r="D232" s="655">
        <v>2</v>
      </c>
      <c r="E232" s="236"/>
      <c r="F232" s="232" t="s">
        <v>2539</v>
      </c>
      <c r="G232" s="239" t="s">
        <v>2585</v>
      </c>
      <c r="H232" s="652"/>
      <c r="I232" s="656"/>
      <c r="J232" s="654"/>
    </row>
    <row r="233" spans="1:10" x14ac:dyDescent="0.35">
      <c r="A233" s="615" t="s">
        <v>2804</v>
      </c>
      <c r="B233" s="616" t="str">
        <f t="shared" si="3"/>
        <v/>
      </c>
      <c r="C233" s="665"/>
      <c r="D233" s="655">
        <v>2</v>
      </c>
      <c r="E233" s="236"/>
      <c r="F233" s="232" t="s">
        <v>2539</v>
      </c>
      <c r="G233" s="239" t="s">
        <v>2585</v>
      </c>
      <c r="H233" s="652"/>
      <c r="I233" s="656"/>
      <c r="J233" s="654"/>
    </row>
    <row r="234" spans="1:10" x14ac:dyDescent="0.35">
      <c r="A234" s="615" t="s">
        <v>2805</v>
      </c>
      <c r="B234" s="616" t="str">
        <f t="shared" si="3"/>
        <v/>
      </c>
      <c r="C234" s="665"/>
      <c r="D234" s="655">
        <v>2</v>
      </c>
      <c r="E234" s="236"/>
      <c r="F234" s="232" t="s">
        <v>2539</v>
      </c>
      <c r="G234" s="239" t="s">
        <v>2585</v>
      </c>
      <c r="H234" s="652"/>
      <c r="I234" s="656"/>
      <c r="J234" s="654"/>
    </row>
    <row r="235" spans="1:10" x14ac:dyDescent="0.35">
      <c r="A235" s="615" t="s">
        <v>2806</v>
      </c>
      <c r="B235" s="616" t="str">
        <f t="shared" si="3"/>
        <v/>
      </c>
      <c r="C235" s="665"/>
      <c r="D235" s="655">
        <v>2</v>
      </c>
      <c r="E235" s="236"/>
      <c r="F235" s="232" t="s">
        <v>2539</v>
      </c>
      <c r="G235" s="239" t="s">
        <v>2585</v>
      </c>
      <c r="H235" s="652"/>
      <c r="I235" s="656"/>
      <c r="J235" s="654"/>
    </row>
    <row r="236" spans="1:10" x14ac:dyDescent="0.35">
      <c r="A236" s="615" t="s">
        <v>2807</v>
      </c>
      <c r="B236" s="616" t="str">
        <f t="shared" si="3"/>
        <v/>
      </c>
      <c r="C236" s="665"/>
      <c r="D236" s="655">
        <v>2</v>
      </c>
      <c r="E236" s="236"/>
      <c r="F236" s="232" t="s">
        <v>2539</v>
      </c>
      <c r="G236" s="239" t="s">
        <v>2585</v>
      </c>
      <c r="H236" s="652"/>
      <c r="I236" s="656"/>
      <c r="J236" s="654"/>
    </row>
    <row r="237" spans="1:10" x14ac:dyDescent="0.35">
      <c r="A237" s="615" t="s">
        <v>2808</v>
      </c>
      <c r="B237" s="616" t="str">
        <f t="shared" si="3"/>
        <v/>
      </c>
      <c r="C237" s="665"/>
      <c r="D237" s="655">
        <v>2</v>
      </c>
      <c r="E237" s="236"/>
      <c r="F237" s="232" t="s">
        <v>2539</v>
      </c>
      <c r="G237" s="239" t="s">
        <v>2585</v>
      </c>
      <c r="H237" s="652"/>
      <c r="I237" s="656"/>
      <c r="J237" s="654"/>
    </row>
    <row r="238" spans="1:10" ht="48" x14ac:dyDescent="0.35">
      <c r="A238" s="615" t="s">
        <v>2809</v>
      </c>
      <c r="B238" s="616" t="str">
        <f t="shared" si="3"/>
        <v/>
      </c>
      <c r="C238" s="665"/>
      <c r="D238" s="655" t="s">
        <v>75</v>
      </c>
      <c r="E238" s="236"/>
      <c r="F238" s="232" t="s">
        <v>76</v>
      </c>
      <c r="G238" s="657" t="s">
        <v>2591</v>
      </c>
      <c r="H238" s="652"/>
      <c r="I238" s="656"/>
      <c r="J238" s="654"/>
    </row>
    <row r="239" spans="1:10" x14ac:dyDescent="0.35">
      <c r="A239" s="615" t="s">
        <v>2810</v>
      </c>
      <c r="B239" s="616" t="str">
        <f t="shared" si="3"/>
        <v/>
      </c>
      <c r="C239" s="665"/>
      <c r="D239" s="655">
        <v>2</v>
      </c>
      <c r="E239" s="236"/>
      <c r="F239" s="232" t="s">
        <v>2539</v>
      </c>
      <c r="G239" s="239"/>
      <c r="H239" s="652"/>
      <c r="I239" s="656"/>
      <c r="J239" s="654"/>
    </row>
    <row r="240" spans="1:10" x14ac:dyDescent="0.35">
      <c r="A240" s="615" t="s">
        <v>2811</v>
      </c>
      <c r="B240" s="616" t="str">
        <f t="shared" si="3"/>
        <v/>
      </c>
      <c r="C240" s="665"/>
      <c r="D240" s="655">
        <v>0</v>
      </c>
      <c r="E240" s="236"/>
      <c r="F240" s="232" t="s">
        <v>2538</v>
      </c>
      <c r="G240" s="239"/>
      <c r="H240" s="652"/>
      <c r="I240" s="656"/>
      <c r="J240" s="654"/>
    </row>
    <row r="241" spans="1:10" x14ac:dyDescent="0.35">
      <c r="A241" s="615" t="s">
        <v>2812</v>
      </c>
      <c r="B241" s="616" t="str">
        <f t="shared" si="3"/>
        <v/>
      </c>
      <c r="C241" s="665"/>
      <c r="D241" s="655">
        <v>0</v>
      </c>
      <c r="E241" s="236"/>
      <c r="F241" s="232" t="s">
        <v>2538</v>
      </c>
      <c r="G241" s="239"/>
      <c r="H241" s="652"/>
      <c r="I241" s="656"/>
      <c r="J241" s="654"/>
    </row>
    <row r="242" spans="1:10" x14ac:dyDescent="0.35">
      <c r="A242" s="615" t="s">
        <v>2813</v>
      </c>
      <c r="B242" s="616" t="str">
        <f t="shared" si="3"/>
        <v/>
      </c>
      <c r="C242" s="665"/>
      <c r="D242" s="655">
        <v>0</v>
      </c>
      <c r="E242" s="236"/>
      <c r="F242" s="232" t="s">
        <v>2538</v>
      </c>
      <c r="G242" s="239"/>
      <c r="H242" s="652"/>
      <c r="I242" s="656"/>
      <c r="J242" s="654"/>
    </row>
    <row r="243" spans="1:10" x14ac:dyDescent="0.35">
      <c r="A243" s="615" t="s">
        <v>2814</v>
      </c>
      <c r="B243" s="616" t="str">
        <f t="shared" si="3"/>
        <v/>
      </c>
      <c r="C243" s="665"/>
      <c r="D243" s="651">
        <v>2</v>
      </c>
      <c r="E243" s="236"/>
      <c r="F243" s="232" t="s">
        <v>2572</v>
      </c>
      <c r="G243" s="239"/>
      <c r="H243" s="652"/>
      <c r="I243" s="656"/>
      <c r="J243" s="654"/>
    </row>
    <row r="244" spans="1:10" x14ac:dyDescent="0.35">
      <c r="A244" s="615" t="s">
        <v>2815</v>
      </c>
      <c r="B244" s="616" t="str">
        <f t="shared" si="3"/>
        <v/>
      </c>
      <c r="C244" s="665"/>
      <c r="D244" s="651">
        <v>2</v>
      </c>
      <c r="E244" s="236"/>
      <c r="F244" s="232" t="s">
        <v>2572</v>
      </c>
      <c r="G244" s="239"/>
      <c r="H244" s="652"/>
      <c r="I244" s="656"/>
      <c r="J244" s="654"/>
    </row>
    <row r="245" spans="1:10" x14ac:dyDescent="0.35">
      <c r="A245" s="615" t="s">
        <v>2816</v>
      </c>
      <c r="B245" s="616" t="str">
        <f t="shared" si="3"/>
        <v/>
      </c>
      <c r="C245" s="665"/>
      <c r="D245" s="651">
        <v>2</v>
      </c>
      <c r="E245" s="236"/>
      <c r="F245" s="232" t="s">
        <v>2572</v>
      </c>
      <c r="G245" s="239"/>
      <c r="H245" s="652"/>
      <c r="I245" s="656"/>
      <c r="J245" s="654"/>
    </row>
    <row r="246" spans="1:10" x14ac:dyDescent="0.35">
      <c r="A246" s="615" t="s">
        <v>2817</v>
      </c>
      <c r="B246" s="616" t="str">
        <f t="shared" si="3"/>
        <v/>
      </c>
      <c r="C246" s="665"/>
      <c r="D246" s="651">
        <v>2</v>
      </c>
      <c r="E246" s="236"/>
      <c r="F246" s="232" t="s">
        <v>2572</v>
      </c>
      <c r="G246" s="239"/>
      <c r="H246" s="652"/>
      <c r="I246" s="656"/>
      <c r="J246" s="654"/>
    </row>
    <row r="247" spans="1:10" x14ac:dyDescent="0.35">
      <c r="A247" s="615" t="s">
        <v>2818</v>
      </c>
      <c r="B247" s="616" t="str">
        <f t="shared" si="3"/>
        <v/>
      </c>
      <c r="C247" s="665"/>
      <c r="D247" s="651">
        <v>2</v>
      </c>
      <c r="E247" s="236"/>
      <c r="F247" s="232" t="s">
        <v>2572</v>
      </c>
      <c r="G247" s="239"/>
      <c r="H247" s="652"/>
      <c r="I247" s="656"/>
      <c r="J247" s="654"/>
    </row>
    <row r="248" spans="1:10" x14ac:dyDescent="0.35">
      <c r="A248" s="615" t="s">
        <v>2819</v>
      </c>
      <c r="B248" s="616" t="str">
        <f t="shared" si="3"/>
        <v/>
      </c>
      <c r="C248" s="665"/>
      <c r="D248" s="655">
        <v>6</v>
      </c>
      <c r="E248" s="236"/>
      <c r="F248" s="232" t="s">
        <v>2579</v>
      </c>
      <c r="G248" s="239" t="s">
        <v>2583</v>
      </c>
      <c r="H248" s="652"/>
      <c r="I248" s="656"/>
      <c r="J248" s="654"/>
    </row>
    <row r="249" spans="1:10" x14ac:dyDescent="0.35">
      <c r="A249" s="615" t="s">
        <v>2820</v>
      </c>
      <c r="B249" s="616" t="str">
        <f t="shared" si="3"/>
        <v/>
      </c>
      <c r="C249" s="665"/>
      <c r="D249" s="655" t="s">
        <v>75</v>
      </c>
      <c r="E249" s="236"/>
      <c r="F249" s="232" t="s">
        <v>76</v>
      </c>
      <c r="G249" s="239"/>
      <c r="H249" s="652"/>
      <c r="I249" s="656"/>
      <c r="J249" s="654"/>
    </row>
    <row r="250" spans="1:10" x14ac:dyDescent="0.35">
      <c r="A250" s="615" t="s">
        <v>2821</v>
      </c>
      <c r="B250" s="616" t="str">
        <f t="shared" si="3"/>
        <v/>
      </c>
      <c r="C250" s="665"/>
      <c r="D250" s="655">
        <v>2</v>
      </c>
      <c r="E250" s="236"/>
      <c r="F250" s="232" t="s">
        <v>2539</v>
      </c>
      <c r="G250" s="239" t="s">
        <v>2585</v>
      </c>
      <c r="H250" s="652"/>
      <c r="I250" s="656"/>
      <c r="J250" s="654"/>
    </row>
    <row r="251" spans="1:10" x14ac:dyDescent="0.35">
      <c r="A251" s="615" t="s">
        <v>2822</v>
      </c>
      <c r="B251" s="616" t="str">
        <f t="shared" si="3"/>
        <v/>
      </c>
      <c r="C251" s="665"/>
      <c r="D251" s="655">
        <v>2</v>
      </c>
      <c r="E251" s="236"/>
      <c r="F251" s="232" t="s">
        <v>2539</v>
      </c>
      <c r="G251" s="239" t="s">
        <v>2585</v>
      </c>
      <c r="H251" s="652"/>
      <c r="I251" s="656"/>
      <c r="J251" s="654"/>
    </row>
    <row r="252" spans="1:10" x14ac:dyDescent="0.35">
      <c r="A252" s="615" t="s">
        <v>2823</v>
      </c>
      <c r="B252" s="616" t="str">
        <f t="shared" si="3"/>
        <v/>
      </c>
      <c r="C252" s="665"/>
      <c r="D252" s="655">
        <v>2</v>
      </c>
      <c r="E252" s="236"/>
      <c r="F252" s="232" t="s">
        <v>2539</v>
      </c>
      <c r="G252" s="239" t="s">
        <v>2585</v>
      </c>
      <c r="H252" s="652"/>
      <c r="I252" s="656"/>
      <c r="J252" s="654"/>
    </row>
    <row r="253" spans="1:10" x14ac:dyDescent="0.35">
      <c r="A253" s="615" t="s">
        <v>2824</v>
      </c>
      <c r="B253" s="616" t="str">
        <f t="shared" si="3"/>
        <v/>
      </c>
      <c r="C253" s="665"/>
      <c r="D253" s="655">
        <v>2</v>
      </c>
      <c r="E253" s="236"/>
      <c r="F253" s="232" t="s">
        <v>2539</v>
      </c>
      <c r="G253" s="239" t="s">
        <v>2585</v>
      </c>
      <c r="H253" s="652"/>
      <c r="I253" s="656"/>
      <c r="J253" s="654"/>
    </row>
    <row r="254" spans="1:10" x14ac:dyDescent="0.35">
      <c r="A254" s="615" t="s">
        <v>2825</v>
      </c>
      <c r="B254" s="616" t="str">
        <f t="shared" si="3"/>
        <v/>
      </c>
      <c r="C254" s="665"/>
      <c r="D254" s="655">
        <v>2</v>
      </c>
      <c r="E254" s="236"/>
      <c r="F254" s="232" t="s">
        <v>2539</v>
      </c>
      <c r="G254" s="239" t="s">
        <v>2585</v>
      </c>
      <c r="H254" s="652"/>
      <c r="I254" s="656"/>
      <c r="J254" s="654"/>
    </row>
    <row r="255" spans="1:10" x14ac:dyDescent="0.35">
      <c r="A255" s="615" t="s">
        <v>2826</v>
      </c>
      <c r="B255" s="616" t="str">
        <f t="shared" si="3"/>
        <v/>
      </c>
      <c r="C255" s="665"/>
      <c r="D255" s="655">
        <v>2</v>
      </c>
      <c r="E255" s="236"/>
      <c r="F255" s="232" t="s">
        <v>2539</v>
      </c>
      <c r="G255" s="239" t="s">
        <v>2585</v>
      </c>
      <c r="H255" s="652"/>
      <c r="I255" s="656"/>
      <c r="J255" s="654"/>
    </row>
    <row r="256" spans="1:10" ht="48" x14ac:dyDescent="0.35">
      <c r="A256" s="615" t="s">
        <v>2827</v>
      </c>
      <c r="B256" s="616" t="str">
        <f t="shared" si="3"/>
        <v/>
      </c>
      <c r="C256" s="665"/>
      <c r="D256" s="655" t="s">
        <v>75</v>
      </c>
      <c r="E256" s="236"/>
      <c r="F256" s="232" t="s">
        <v>76</v>
      </c>
      <c r="G256" s="657" t="s">
        <v>2591</v>
      </c>
      <c r="H256" s="652"/>
      <c r="I256" s="656"/>
      <c r="J256" s="654"/>
    </row>
    <row r="257" spans="1:10" x14ac:dyDescent="0.35">
      <c r="A257" s="615" t="s">
        <v>2828</v>
      </c>
      <c r="B257" s="616" t="str">
        <f t="shared" si="3"/>
        <v/>
      </c>
      <c r="C257" s="665"/>
      <c r="D257" s="655">
        <v>2</v>
      </c>
      <c r="E257" s="236"/>
      <c r="F257" s="232" t="s">
        <v>2539</v>
      </c>
      <c r="G257" s="239"/>
      <c r="H257" s="652"/>
      <c r="I257" s="656"/>
      <c r="J257" s="654"/>
    </row>
    <row r="258" spans="1:10" x14ac:dyDescent="0.35">
      <c r="A258" s="615" t="s">
        <v>2829</v>
      </c>
      <c r="B258" s="616" t="str">
        <f t="shared" si="3"/>
        <v/>
      </c>
      <c r="C258" s="665"/>
      <c r="D258" s="655">
        <v>0</v>
      </c>
      <c r="E258" s="236"/>
      <c r="F258" s="232" t="s">
        <v>2538</v>
      </c>
      <c r="G258" s="239"/>
      <c r="H258" s="652"/>
      <c r="I258" s="656"/>
      <c r="J258" s="654"/>
    </row>
    <row r="259" spans="1:10" x14ac:dyDescent="0.35">
      <c r="A259" s="615" t="s">
        <v>2830</v>
      </c>
      <c r="B259" s="616" t="str">
        <f t="shared" si="3"/>
        <v/>
      </c>
      <c r="C259" s="665"/>
      <c r="D259" s="655">
        <v>0</v>
      </c>
      <c r="E259" s="236"/>
      <c r="F259" s="232" t="s">
        <v>2538</v>
      </c>
      <c r="G259" s="239"/>
      <c r="H259" s="652"/>
      <c r="I259" s="656"/>
      <c r="J259" s="654"/>
    </row>
    <row r="260" spans="1:10" x14ac:dyDescent="0.35">
      <c r="A260" s="615" t="s">
        <v>2831</v>
      </c>
      <c r="B260" s="616" t="str">
        <f t="shared" ref="B260:B323" si="4">IF(C260="","",IF(D260="Datum",TEXT(DAY(C260),"00")&amp;"."&amp;TEXT(MONTH(C260),"00")&amp;"."&amp;TEXT(YEAR(C260),"0000"),IF(AND(ISNUMBER(C260),D260="x"),TEXT(C260,"@"),IF(ISNUMBER(C260),TEXT(ROUNDDOWN(C260,0),0)&amp;IF(D260=0,"","."&amp;IF(C260-ROUNDDOWN(C260,0)=0,LEFT("0000000000",D260),TEXT((C260-ROUNDDOWN(C260,0))*(1&amp; LEFT("0000000000",$D260)),LEFT("0000000000",$D260)))),C260))))</f>
        <v/>
      </c>
      <c r="C260" s="665"/>
      <c r="D260" s="655">
        <v>0</v>
      </c>
      <c r="E260" s="236"/>
      <c r="F260" s="232" t="s">
        <v>2538</v>
      </c>
      <c r="G260" s="239"/>
      <c r="H260" s="652"/>
      <c r="I260" s="656"/>
      <c r="J260" s="654"/>
    </row>
    <row r="261" spans="1:10" x14ac:dyDescent="0.35">
      <c r="A261" s="615" t="s">
        <v>2832</v>
      </c>
      <c r="B261" s="616" t="str">
        <f t="shared" si="4"/>
        <v/>
      </c>
      <c r="C261" s="665"/>
      <c r="D261" s="651">
        <v>2</v>
      </c>
      <c r="E261" s="236"/>
      <c r="F261" s="232" t="s">
        <v>2572</v>
      </c>
      <c r="G261" s="239"/>
      <c r="H261" s="652"/>
      <c r="I261" s="656"/>
      <c r="J261" s="654"/>
    </row>
    <row r="262" spans="1:10" x14ac:dyDescent="0.35">
      <c r="A262" s="615" t="s">
        <v>2833</v>
      </c>
      <c r="B262" s="616" t="str">
        <f t="shared" si="4"/>
        <v/>
      </c>
      <c r="C262" s="665"/>
      <c r="D262" s="651">
        <v>2</v>
      </c>
      <c r="E262" s="236"/>
      <c r="F262" s="232" t="s">
        <v>2572</v>
      </c>
      <c r="G262" s="239"/>
      <c r="H262" s="652"/>
      <c r="I262" s="656"/>
      <c r="J262" s="654"/>
    </row>
    <row r="263" spans="1:10" x14ac:dyDescent="0.35">
      <c r="A263" s="615" t="s">
        <v>2834</v>
      </c>
      <c r="B263" s="616" t="str">
        <f t="shared" si="4"/>
        <v/>
      </c>
      <c r="C263" s="665"/>
      <c r="D263" s="651">
        <v>2</v>
      </c>
      <c r="E263" s="236"/>
      <c r="F263" s="232" t="s">
        <v>2572</v>
      </c>
      <c r="G263" s="239"/>
      <c r="H263" s="652"/>
      <c r="I263" s="656"/>
      <c r="J263" s="654"/>
    </row>
    <row r="264" spans="1:10" x14ac:dyDescent="0.35">
      <c r="A264" s="615" t="s">
        <v>2835</v>
      </c>
      <c r="B264" s="616" t="str">
        <f t="shared" si="4"/>
        <v/>
      </c>
      <c r="C264" s="665"/>
      <c r="D264" s="651">
        <v>2</v>
      </c>
      <c r="E264" s="236"/>
      <c r="F264" s="232" t="s">
        <v>2572</v>
      </c>
      <c r="G264" s="239"/>
      <c r="H264" s="652"/>
      <c r="I264" s="656"/>
      <c r="J264" s="654"/>
    </row>
    <row r="265" spans="1:10" x14ac:dyDescent="0.35">
      <c r="A265" s="615" t="s">
        <v>2836</v>
      </c>
      <c r="B265" s="616" t="str">
        <f t="shared" si="4"/>
        <v/>
      </c>
      <c r="C265" s="665"/>
      <c r="D265" s="651">
        <v>2</v>
      </c>
      <c r="E265" s="236"/>
      <c r="F265" s="232" t="s">
        <v>2572</v>
      </c>
      <c r="G265" s="239"/>
      <c r="H265" s="652"/>
      <c r="I265" s="656"/>
      <c r="J265" s="654"/>
    </row>
    <row r="266" spans="1:10" x14ac:dyDescent="0.35">
      <c r="A266" s="615" t="s">
        <v>2837</v>
      </c>
      <c r="B266" s="616" t="str">
        <f t="shared" si="4"/>
        <v/>
      </c>
      <c r="C266" s="665"/>
      <c r="D266" s="655">
        <v>6</v>
      </c>
      <c r="E266" s="236"/>
      <c r="F266" s="232" t="s">
        <v>2579</v>
      </c>
      <c r="G266" s="239" t="s">
        <v>2583</v>
      </c>
      <c r="H266" s="652"/>
      <c r="I266" s="656"/>
      <c r="J266" s="654"/>
    </row>
    <row r="267" spans="1:10" x14ac:dyDescent="0.35">
      <c r="A267" s="615" t="s">
        <v>2838</v>
      </c>
      <c r="B267" s="616" t="str">
        <f t="shared" si="4"/>
        <v/>
      </c>
      <c r="C267" s="665"/>
      <c r="D267" s="655" t="s">
        <v>75</v>
      </c>
      <c r="E267" s="236"/>
      <c r="F267" s="232" t="s">
        <v>76</v>
      </c>
      <c r="G267" s="239"/>
      <c r="H267" s="652"/>
      <c r="I267" s="656"/>
      <c r="J267" s="654"/>
    </row>
    <row r="268" spans="1:10" x14ac:dyDescent="0.35">
      <c r="A268" s="615" t="s">
        <v>2839</v>
      </c>
      <c r="B268" s="616" t="str">
        <f t="shared" si="4"/>
        <v/>
      </c>
      <c r="C268" s="665"/>
      <c r="D268" s="655">
        <v>2</v>
      </c>
      <c r="E268" s="236"/>
      <c r="F268" s="232" t="s">
        <v>2539</v>
      </c>
      <c r="G268" s="239" t="s">
        <v>2585</v>
      </c>
      <c r="H268" s="652"/>
      <c r="I268" s="656"/>
      <c r="J268" s="654"/>
    </row>
    <row r="269" spans="1:10" x14ac:dyDescent="0.35">
      <c r="A269" s="615" t="s">
        <v>2840</v>
      </c>
      <c r="B269" s="616" t="str">
        <f t="shared" si="4"/>
        <v/>
      </c>
      <c r="C269" s="665"/>
      <c r="D269" s="655">
        <v>2</v>
      </c>
      <c r="E269" s="236"/>
      <c r="F269" s="232" t="s">
        <v>2539</v>
      </c>
      <c r="G269" s="239" t="s">
        <v>2585</v>
      </c>
      <c r="H269" s="652"/>
      <c r="I269" s="656"/>
      <c r="J269" s="654"/>
    </row>
    <row r="270" spans="1:10" x14ac:dyDescent="0.35">
      <c r="A270" s="615" t="s">
        <v>2841</v>
      </c>
      <c r="B270" s="616" t="str">
        <f t="shared" si="4"/>
        <v/>
      </c>
      <c r="C270" s="665"/>
      <c r="D270" s="655">
        <v>2</v>
      </c>
      <c r="E270" s="236"/>
      <c r="F270" s="232" t="s">
        <v>2539</v>
      </c>
      <c r="G270" s="239" t="s">
        <v>2585</v>
      </c>
      <c r="H270" s="652"/>
      <c r="I270" s="656"/>
      <c r="J270" s="654"/>
    </row>
    <row r="271" spans="1:10" x14ac:dyDescent="0.35">
      <c r="A271" s="615" t="s">
        <v>2842</v>
      </c>
      <c r="B271" s="616" t="str">
        <f t="shared" si="4"/>
        <v/>
      </c>
      <c r="C271" s="665"/>
      <c r="D271" s="655">
        <v>2</v>
      </c>
      <c r="E271" s="236"/>
      <c r="F271" s="232" t="s">
        <v>2539</v>
      </c>
      <c r="G271" s="239" t="s">
        <v>2585</v>
      </c>
      <c r="H271" s="652"/>
      <c r="I271" s="656"/>
      <c r="J271" s="654"/>
    </row>
    <row r="272" spans="1:10" x14ac:dyDescent="0.35">
      <c r="A272" s="615" t="s">
        <v>2843</v>
      </c>
      <c r="B272" s="616" t="str">
        <f t="shared" si="4"/>
        <v/>
      </c>
      <c r="C272" s="665"/>
      <c r="D272" s="655">
        <v>2</v>
      </c>
      <c r="E272" s="236"/>
      <c r="F272" s="232" t="s">
        <v>2539</v>
      </c>
      <c r="G272" s="239" t="s">
        <v>2585</v>
      </c>
      <c r="H272" s="652"/>
      <c r="I272" s="656"/>
      <c r="J272" s="654"/>
    </row>
    <row r="273" spans="1:10" x14ac:dyDescent="0.35">
      <c r="A273" s="615" t="s">
        <v>2844</v>
      </c>
      <c r="B273" s="616" t="str">
        <f t="shared" si="4"/>
        <v/>
      </c>
      <c r="C273" s="665"/>
      <c r="D273" s="655">
        <v>2</v>
      </c>
      <c r="E273" s="236"/>
      <c r="F273" s="232" t="s">
        <v>2539</v>
      </c>
      <c r="G273" s="239" t="s">
        <v>2585</v>
      </c>
      <c r="H273" s="652"/>
      <c r="I273" s="656"/>
      <c r="J273" s="654"/>
    </row>
    <row r="274" spans="1:10" ht="48" x14ac:dyDescent="0.35">
      <c r="A274" s="615" t="s">
        <v>2845</v>
      </c>
      <c r="B274" s="616" t="str">
        <f t="shared" si="4"/>
        <v/>
      </c>
      <c r="C274" s="665"/>
      <c r="D274" s="655" t="s">
        <v>75</v>
      </c>
      <c r="E274" s="236"/>
      <c r="F274" s="232" t="s">
        <v>76</v>
      </c>
      <c r="G274" s="657" t="s">
        <v>2591</v>
      </c>
      <c r="H274" s="652"/>
      <c r="I274" s="656"/>
      <c r="J274" s="654"/>
    </row>
    <row r="275" spans="1:10" x14ac:dyDescent="0.35">
      <c r="A275" s="615" t="s">
        <v>2846</v>
      </c>
      <c r="B275" s="616" t="str">
        <f t="shared" si="4"/>
        <v/>
      </c>
      <c r="C275" s="665"/>
      <c r="D275" s="655">
        <v>2</v>
      </c>
      <c r="E275" s="236"/>
      <c r="F275" s="232" t="s">
        <v>2539</v>
      </c>
      <c r="G275" s="239"/>
      <c r="H275" s="652"/>
      <c r="I275" s="656"/>
      <c r="J275" s="654"/>
    </row>
    <row r="276" spans="1:10" x14ac:dyDescent="0.35">
      <c r="A276" s="615" t="s">
        <v>2847</v>
      </c>
      <c r="B276" s="616" t="str">
        <f t="shared" si="4"/>
        <v/>
      </c>
      <c r="C276" s="665"/>
      <c r="D276" s="655">
        <v>0</v>
      </c>
      <c r="E276" s="236"/>
      <c r="F276" s="232" t="s">
        <v>2538</v>
      </c>
      <c r="G276" s="239"/>
      <c r="H276" s="652"/>
      <c r="I276" s="656"/>
      <c r="J276" s="654"/>
    </row>
    <row r="277" spans="1:10" x14ac:dyDescent="0.35">
      <c r="A277" s="615" t="s">
        <v>2848</v>
      </c>
      <c r="B277" s="616" t="str">
        <f t="shared" si="4"/>
        <v/>
      </c>
      <c r="C277" s="665"/>
      <c r="D277" s="655">
        <v>0</v>
      </c>
      <c r="E277" s="236"/>
      <c r="F277" s="232" t="s">
        <v>2538</v>
      </c>
      <c r="G277" s="239"/>
      <c r="H277" s="652"/>
      <c r="I277" s="656"/>
      <c r="J277" s="654"/>
    </row>
    <row r="278" spans="1:10" x14ac:dyDescent="0.35">
      <c r="A278" s="615" t="s">
        <v>2849</v>
      </c>
      <c r="B278" s="616" t="str">
        <f t="shared" si="4"/>
        <v/>
      </c>
      <c r="C278" s="665"/>
      <c r="D278" s="655">
        <v>0</v>
      </c>
      <c r="E278" s="236"/>
      <c r="F278" s="232" t="s">
        <v>2538</v>
      </c>
      <c r="G278" s="239"/>
      <c r="H278" s="652"/>
      <c r="I278" s="656"/>
      <c r="J278" s="654"/>
    </row>
    <row r="279" spans="1:10" x14ac:dyDescent="0.35">
      <c r="A279" s="615" t="s">
        <v>2850</v>
      </c>
      <c r="B279" s="616" t="str">
        <f t="shared" si="4"/>
        <v/>
      </c>
      <c r="C279" s="665"/>
      <c r="D279" s="651">
        <v>2</v>
      </c>
      <c r="E279" s="236"/>
      <c r="F279" s="232" t="s">
        <v>2572</v>
      </c>
      <c r="G279" s="239"/>
      <c r="H279" s="652"/>
      <c r="I279" s="656"/>
      <c r="J279" s="654"/>
    </row>
    <row r="280" spans="1:10" x14ac:dyDescent="0.35">
      <c r="A280" s="615" t="s">
        <v>2851</v>
      </c>
      <c r="B280" s="616" t="str">
        <f t="shared" si="4"/>
        <v/>
      </c>
      <c r="C280" s="665"/>
      <c r="D280" s="651">
        <v>2</v>
      </c>
      <c r="E280" s="236"/>
      <c r="F280" s="232" t="s">
        <v>2572</v>
      </c>
      <c r="G280" s="239"/>
      <c r="H280" s="652"/>
      <c r="I280" s="656"/>
      <c r="J280" s="654"/>
    </row>
    <row r="281" spans="1:10" x14ac:dyDescent="0.35">
      <c r="A281" s="615" t="s">
        <v>2852</v>
      </c>
      <c r="B281" s="616" t="str">
        <f t="shared" si="4"/>
        <v/>
      </c>
      <c r="C281" s="665"/>
      <c r="D281" s="651">
        <v>2</v>
      </c>
      <c r="E281" s="236"/>
      <c r="F281" s="232" t="s">
        <v>2572</v>
      </c>
      <c r="G281" s="239"/>
      <c r="H281" s="652"/>
      <c r="I281" s="656"/>
      <c r="J281" s="654"/>
    </row>
    <row r="282" spans="1:10" x14ac:dyDescent="0.35">
      <c r="A282" s="615" t="s">
        <v>2853</v>
      </c>
      <c r="B282" s="616" t="str">
        <f t="shared" si="4"/>
        <v/>
      </c>
      <c r="C282" s="665"/>
      <c r="D282" s="651">
        <v>2</v>
      </c>
      <c r="E282" s="236"/>
      <c r="F282" s="232" t="s">
        <v>2572</v>
      </c>
      <c r="G282" s="239"/>
      <c r="H282" s="652"/>
      <c r="I282" s="656"/>
      <c r="J282" s="654"/>
    </row>
    <row r="283" spans="1:10" x14ac:dyDescent="0.35">
      <c r="A283" s="615" t="s">
        <v>2854</v>
      </c>
      <c r="B283" s="616" t="str">
        <f t="shared" si="4"/>
        <v/>
      </c>
      <c r="C283" s="665"/>
      <c r="D283" s="651">
        <v>2</v>
      </c>
      <c r="E283" s="236"/>
      <c r="F283" s="232" t="s">
        <v>2572</v>
      </c>
      <c r="G283" s="239"/>
      <c r="H283" s="652"/>
      <c r="I283" s="656"/>
      <c r="J283" s="654"/>
    </row>
    <row r="284" spans="1:10" x14ac:dyDescent="0.35">
      <c r="A284" s="615" t="s">
        <v>2855</v>
      </c>
      <c r="B284" s="616" t="str">
        <f t="shared" si="4"/>
        <v/>
      </c>
      <c r="C284" s="665"/>
      <c r="D284" s="655">
        <v>6</v>
      </c>
      <c r="E284" s="236"/>
      <c r="F284" s="232" t="s">
        <v>2579</v>
      </c>
      <c r="G284" s="239" t="s">
        <v>2583</v>
      </c>
      <c r="H284" s="652"/>
      <c r="I284" s="656"/>
      <c r="J284" s="654"/>
    </row>
    <row r="285" spans="1:10" x14ac:dyDescent="0.35">
      <c r="A285" s="615" t="s">
        <v>2856</v>
      </c>
      <c r="B285" s="616" t="str">
        <f t="shared" si="4"/>
        <v/>
      </c>
      <c r="C285" s="665"/>
      <c r="D285" s="655" t="s">
        <v>75</v>
      </c>
      <c r="E285" s="236"/>
      <c r="F285" s="232" t="s">
        <v>76</v>
      </c>
      <c r="G285" s="239"/>
      <c r="H285" s="652"/>
      <c r="I285" s="656"/>
      <c r="J285" s="654"/>
    </row>
    <row r="286" spans="1:10" x14ac:dyDescent="0.35">
      <c r="A286" s="615" t="s">
        <v>2857</v>
      </c>
      <c r="B286" s="616" t="str">
        <f t="shared" si="4"/>
        <v/>
      </c>
      <c r="C286" s="665"/>
      <c r="D286" s="655">
        <v>2</v>
      </c>
      <c r="E286" s="236"/>
      <c r="F286" s="232" t="s">
        <v>2539</v>
      </c>
      <c r="G286" s="239" t="s">
        <v>2585</v>
      </c>
      <c r="H286" s="652"/>
      <c r="I286" s="656"/>
      <c r="J286" s="654"/>
    </row>
    <row r="287" spans="1:10" x14ac:dyDescent="0.35">
      <c r="A287" s="615" t="s">
        <v>2858</v>
      </c>
      <c r="B287" s="616" t="str">
        <f t="shared" si="4"/>
        <v/>
      </c>
      <c r="C287" s="665"/>
      <c r="D287" s="655">
        <v>2</v>
      </c>
      <c r="E287" s="236"/>
      <c r="F287" s="232" t="s">
        <v>2539</v>
      </c>
      <c r="G287" s="239" t="s">
        <v>2585</v>
      </c>
      <c r="H287" s="652"/>
      <c r="I287" s="656"/>
      <c r="J287" s="654"/>
    </row>
    <row r="288" spans="1:10" x14ac:dyDescent="0.35">
      <c r="A288" s="615" t="s">
        <v>2859</v>
      </c>
      <c r="B288" s="616" t="str">
        <f t="shared" si="4"/>
        <v/>
      </c>
      <c r="C288" s="665"/>
      <c r="D288" s="655">
        <v>2</v>
      </c>
      <c r="E288" s="236"/>
      <c r="F288" s="232" t="s">
        <v>2539</v>
      </c>
      <c r="G288" s="239" t="s">
        <v>2585</v>
      </c>
      <c r="H288" s="652"/>
      <c r="I288" s="656"/>
      <c r="J288" s="654"/>
    </row>
    <row r="289" spans="1:10" x14ac:dyDescent="0.35">
      <c r="A289" s="615" t="s">
        <v>2860</v>
      </c>
      <c r="B289" s="616" t="str">
        <f t="shared" si="4"/>
        <v/>
      </c>
      <c r="C289" s="665"/>
      <c r="D289" s="655">
        <v>2</v>
      </c>
      <c r="E289" s="236"/>
      <c r="F289" s="232" t="s">
        <v>2539</v>
      </c>
      <c r="G289" s="239" t="s">
        <v>2585</v>
      </c>
      <c r="H289" s="652"/>
      <c r="I289" s="656"/>
      <c r="J289" s="654"/>
    </row>
    <row r="290" spans="1:10" x14ac:dyDescent="0.35">
      <c r="A290" s="615" t="s">
        <v>2861</v>
      </c>
      <c r="B290" s="616" t="str">
        <f t="shared" si="4"/>
        <v/>
      </c>
      <c r="C290" s="665"/>
      <c r="D290" s="655">
        <v>2</v>
      </c>
      <c r="E290" s="236"/>
      <c r="F290" s="232" t="s">
        <v>2539</v>
      </c>
      <c r="G290" s="239" t="s">
        <v>2585</v>
      </c>
      <c r="H290" s="652"/>
      <c r="I290" s="656"/>
      <c r="J290" s="654"/>
    </row>
    <row r="291" spans="1:10" x14ac:dyDescent="0.35">
      <c r="A291" s="615" t="s">
        <v>2862</v>
      </c>
      <c r="B291" s="616" t="str">
        <f t="shared" si="4"/>
        <v/>
      </c>
      <c r="C291" s="665"/>
      <c r="D291" s="655">
        <v>2</v>
      </c>
      <c r="E291" s="236"/>
      <c r="F291" s="232" t="s">
        <v>2539</v>
      </c>
      <c r="G291" s="239" t="s">
        <v>2585</v>
      </c>
      <c r="H291" s="652"/>
      <c r="I291" s="656"/>
      <c r="J291" s="654"/>
    </row>
    <row r="292" spans="1:10" ht="48" x14ac:dyDescent="0.35">
      <c r="A292" s="615" t="s">
        <v>2863</v>
      </c>
      <c r="B292" s="616" t="str">
        <f t="shared" si="4"/>
        <v/>
      </c>
      <c r="C292" s="665"/>
      <c r="D292" s="655" t="s">
        <v>75</v>
      </c>
      <c r="E292" s="236"/>
      <c r="F292" s="232" t="s">
        <v>76</v>
      </c>
      <c r="G292" s="657" t="s">
        <v>2591</v>
      </c>
      <c r="H292" s="652"/>
      <c r="I292" s="656"/>
      <c r="J292" s="654"/>
    </row>
    <row r="293" spans="1:10" x14ac:dyDescent="0.35">
      <c r="A293" s="615" t="s">
        <v>2864</v>
      </c>
      <c r="B293" s="616" t="str">
        <f t="shared" si="4"/>
        <v/>
      </c>
      <c r="C293" s="665"/>
      <c r="D293" s="655">
        <v>2</v>
      </c>
      <c r="E293" s="236"/>
      <c r="F293" s="232" t="s">
        <v>2539</v>
      </c>
      <c r="G293" s="239"/>
      <c r="H293" s="652"/>
      <c r="I293" s="656"/>
      <c r="J293" s="654"/>
    </row>
    <row r="294" spans="1:10" x14ac:dyDescent="0.35">
      <c r="A294" s="615" t="s">
        <v>2865</v>
      </c>
      <c r="B294" s="616" t="str">
        <f t="shared" si="4"/>
        <v/>
      </c>
      <c r="C294" s="665"/>
      <c r="D294" s="655">
        <v>0</v>
      </c>
      <c r="E294" s="236"/>
      <c r="F294" s="232" t="s">
        <v>2538</v>
      </c>
      <c r="G294" s="239"/>
      <c r="H294" s="652"/>
      <c r="I294" s="656"/>
      <c r="J294" s="654"/>
    </row>
    <row r="295" spans="1:10" x14ac:dyDescent="0.35">
      <c r="A295" s="615" t="s">
        <v>2866</v>
      </c>
      <c r="B295" s="616" t="str">
        <f t="shared" si="4"/>
        <v/>
      </c>
      <c r="C295" s="665"/>
      <c r="D295" s="655">
        <v>0</v>
      </c>
      <c r="E295" s="236"/>
      <c r="F295" s="232" t="s">
        <v>2538</v>
      </c>
      <c r="G295" s="239"/>
      <c r="H295" s="652"/>
      <c r="I295" s="656"/>
      <c r="J295" s="654"/>
    </row>
    <row r="296" spans="1:10" x14ac:dyDescent="0.35">
      <c r="A296" s="615" t="s">
        <v>2867</v>
      </c>
      <c r="B296" s="616" t="str">
        <f t="shared" si="4"/>
        <v/>
      </c>
      <c r="C296" s="665"/>
      <c r="D296" s="655">
        <v>0</v>
      </c>
      <c r="E296" s="236"/>
      <c r="F296" s="232" t="s">
        <v>2538</v>
      </c>
      <c r="G296" s="239"/>
      <c r="H296" s="652"/>
      <c r="I296" s="656"/>
      <c r="J296" s="654"/>
    </row>
    <row r="297" spans="1:10" x14ac:dyDescent="0.35">
      <c r="A297" s="615" t="s">
        <v>2868</v>
      </c>
      <c r="B297" s="616" t="str">
        <f t="shared" si="4"/>
        <v/>
      </c>
      <c r="C297" s="665"/>
      <c r="D297" s="651">
        <v>2</v>
      </c>
      <c r="E297" s="236"/>
      <c r="F297" s="232" t="s">
        <v>2572</v>
      </c>
      <c r="G297" s="239"/>
      <c r="H297" s="652"/>
      <c r="I297" s="656"/>
      <c r="J297" s="654"/>
    </row>
    <row r="298" spans="1:10" x14ac:dyDescent="0.35">
      <c r="A298" s="615" t="s">
        <v>2869</v>
      </c>
      <c r="B298" s="616" t="str">
        <f t="shared" si="4"/>
        <v/>
      </c>
      <c r="C298" s="665"/>
      <c r="D298" s="651">
        <v>2</v>
      </c>
      <c r="E298" s="236"/>
      <c r="F298" s="232" t="s">
        <v>2572</v>
      </c>
      <c r="G298" s="239"/>
      <c r="H298" s="652"/>
      <c r="I298" s="656"/>
      <c r="J298" s="654"/>
    </row>
    <row r="299" spans="1:10" x14ac:dyDescent="0.35">
      <c r="A299" s="615" t="s">
        <v>2870</v>
      </c>
      <c r="B299" s="616" t="str">
        <f t="shared" si="4"/>
        <v/>
      </c>
      <c r="C299" s="665"/>
      <c r="D299" s="651">
        <v>2</v>
      </c>
      <c r="E299" s="236"/>
      <c r="F299" s="232" t="s">
        <v>2572</v>
      </c>
      <c r="G299" s="239"/>
      <c r="H299" s="652"/>
      <c r="I299" s="656"/>
      <c r="J299" s="654"/>
    </row>
    <row r="300" spans="1:10" x14ac:dyDescent="0.35">
      <c r="A300" s="615" t="s">
        <v>2871</v>
      </c>
      <c r="B300" s="616" t="str">
        <f t="shared" si="4"/>
        <v/>
      </c>
      <c r="C300" s="665"/>
      <c r="D300" s="651">
        <v>2</v>
      </c>
      <c r="E300" s="236"/>
      <c r="F300" s="232" t="s">
        <v>2572</v>
      </c>
      <c r="G300" s="239"/>
      <c r="H300" s="652"/>
      <c r="I300" s="656"/>
      <c r="J300" s="654"/>
    </row>
    <row r="301" spans="1:10" x14ac:dyDescent="0.35">
      <c r="A301" s="615" t="s">
        <v>2872</v>
      </c>
      <c r="B301" s="616" t="str">
        <f t="shared" si="4"/>
        <v/>
      </c>
      <c r="C301" s="665"/>
      <c r="D301" s="651">
        <v>2</v>
      </c>
      <c r="E301" s="236"/>
      <c r="F301" s="232" t="s">
        <v>2572</v>
      </c>
      <c r="G301" s="239"/>
      <c r="H301" s="652"/>
      <c r="I301" s="656"/>
      <c r="J301" s="654"/>
    </row>
    <row r="302" spans="1:10" x14ac:dyDescent="0.35">
      <c r="A302" s="615" t="s">
        <v>2873</v>
      </c>
      <c r="B302" s="616" t="str">
        <f t="shared" si="4"/>
        <v/>
      </c>
      <c r="C302" s="665"/>
      <c r="D302" s="655">
        <v>6</v>
      </c>
      <c r="E302" s="236"/>
      <c r="F302" s="232" t="s">
        <v>2579</v>
      </c>
      <c r="G302" s="239" t="s">
        <v>2583</v>
      </c>
      <c r="H302" s="652"/>
      <c r="I302" s="656"/>
      <c r="J302" s="654"/>
    </row>
    <row r="303" spans="1:10" x14ac:dyDescent="0.35">
      <c r="A303" s="615" t="s">
        <v>2874</v>
      </c>
      <c r="B303" s="616" t="str">
        <f t="shared" si="4"/>
        <v/>
      </c>
      <c r="C303" s="665"/>
      <c r="D303" s="655" t="s">
        <v>75</v>
      </c>
      <c r="E303" s="236"/>
      <c r="F303" s="232" t="s">
        <v>76</v>
      </c>
      <c r="G303" s="239"/>
      <c r="H303" s="652"/>
      <c r="I303" s="656"/>
      <c r="J303" s="654"/>
    </row>
    <row r="304" spans="1:10" x14ac:dyDescent="0.35">
      <c r="A304" s="615" t="s">
        <v>2875</v>
      </c>
      <c r="B304" s="616" t="str">
        <f t="shared" si="4"/>
        <v/>
      </c>
      <c r="C304" s="665"/>
      <c r="D304" s="655">
        <v>2</v>
      </c>
      <c r="E304" s="236"/>
      <c r="F304" s="232" t="s">
        <v>2539</v>
      </c>
      <c r="G304" s="239" t="s">
        <v>2585</v>
      </c>
      <c r="H304" s="652"/>
      <c r="I304" s="656"/>
      <c r="J304" s="654"/>
    </row>
    <row r="305" spans="1:10" x14ac:dyDescent="0.35">
      <c r="A305" s="615" t="s">
        <v>2876</v>
      </c>
      <c r="B305" s="616" t="str">
        <f t="shared" si="4"/>
        <v/>
      </c>
      <c r="C305" s="665"/>
      <c r="D305" s="655">
        <v>2</v>
      </c>
      <c r="E305" s="236"/>
      <c r="F305" s="232" t="s">
        <v>2539</v>
      </c>
      <c r="G305" s="239" t="s">
        <v>2585</v>
      </c>
      <c r="H305" s="652"/>
      <c r="I305" s="656"/>
      <c r="J305" s="654"/>
    </row>
    <row r="306" spans="1:10" x14ac:dyDescent="0.35">
      <c r="A306" s="615" t="s">
        <v>2877</v>
      </c>
      <c r="B306" s="616" t="str">
        <f t="shared" si="4"/>
        <v/>
      </c>
      <c r="C306" s="665"/>
      <c r="D306" s="655">
        <v>2</v>
      </c>
      <c r="E306" s="236"/>
      <c r="F306" s="232" t="s">
        <v>2539</v>
      </c>
      <c r="G306" s="239" t="s">
        <v>2585</v>
      </c>
      <c r="H306" s="652"/>
      <c r="I306" s="656"/>
      <c r="J306" s="654"/>
    </row>
    <row r="307" spans="1:10" x14ac:dyDescent="0.35">
      <c r="A307" s="615" t="s">
        <v>2878</v>
      </c>
      <c r="B307" s="616" t="str">
        <f t="shared" si="4"/>
        <v/>
      </c>
      <c r="C307" s="665"/>
      <c r="D307" s="655">
        <v>2</v>
      </c>
      <c r="E307" s="236"/>
      <c r="F307" s="232" t="s">
        <v>2539</v>
      </c>
      <c r="G307" s="239" t="s">
        <v>2585</v>
      </c>
      <c r="H307" s="652"/>
      <c r="I307" s="656"/>
      <c r="J307" s="654"/>
    </row>
    <row r="308" spans="1:10" x14ac:dyDescent="0.35">
      <c r="A308" s="615" t="s">
        <v>2879</v>
      </c>
      <c r="B308" s="616" t="str">
        <f t="shared" si="4"/>
        <v/>
      </c>
      <c r="C308" s="665"/>
      <c r="D308" s="655">
        <v>2</v>
      </c>
      <c r="E308" s="236"/>
      <c r="F308" s="232" t="s">
        <v>2539</v>
      </c>
      <c r="G308" s="239" t="s">
        <v>2585</v>
      </c>
      <c r="H308" s="652"/>
      <c r="I308" s="656"/>
      <c r="J308" s="654"/>
    </row>
    <row r="309" spans="1:10" x14ac:dyDescent="0.35">
      <c r="A309" s="615" t="s">
        <v>2880</v>
      </c>
      <c r="B309" s="616" t="str">
        <f t="shared" si="4"/>
        <v/>
      </c>
      <c r="C309" s="665"/>
      <c r="D309" s="655">
        <v>2</v>
      </c>
      <c r="E309" s="236"/>
      <c r="F309" s="232" t="s">
        <v>2539</v>
      </c>
      <c r="G309" s="239" t="s">
        <v>2585</v>
      </c>
      <c r="H309" s="652"/>
      <c r="I309" s="656"/>
      <c r="J309" s="654"/>
    </row>
    <row r="310" spans="1:10" ht="48" x14ac:dyDescent="0.35">
      <c r="A310" s="615" t="s">
        <v>2881</v>
      </c>
      <c r="B310" s="616" t="str">
        <f t="shared" si="4"/>
        <v/>
      </c>
      <c r="C310" s="665"/>
      <c r="D310" s="655" t="s">
        <v>75</v>
      </c>
      <c r="E310" s="236"/>
      <c r="F310" s="232" t="s">
        <v>76</v>
      </c>
      <c r="G310" s="657" t="s">
        <v>2591</v>
      </c>
      <c r="H310" s="652"/>
      <c r="I310" s="656"/>
      <c r="J310" s="654"/>
    </row>
    <row r="311" spans="1:10" x14ac:dyDescent="0.35">
      <c r="A311" s="615" t="s">
        <v>2882</v>
      </c>
      <c r="B311" s="616" t="str">
        <f t="shared" si="4"/>
        <v/>
      </c>
      <c r="C311" s="665"/>
      <c r="D311" s="655">
        <v>2</v>
      </c>
      <c r="E311" s="236"/>
      <c r="F311" s="232" t="s">
        <v>2539</v>
      </c>
      <c r="G311" s="239"/>
      <c r="H311" s="652"/>
      <c r="I311" s="656"/>
      <c r="J311" s="654"/>
    </row>
    <row r="312" spans="1:10" x14ac:dyDescent="0.35">
      <c r="A312" s="615" t="s">
        <v>2883</v>
      </c>
      <c r="B312" s="616" t="str">
        <f t="shared" si="4"/>
        <v/>
      </c>
      <c r="C312" s="665"/>
      <c r="D312" s="655">
        <v>0</v>
      </c>
      <c r="E312" s="236"/>
      <c r="F312" s="232" t="s">
        <v>2538</v>
      </c>
      <c r="G312" s="239"/>
      <c r="H312" s="652"/>
      <c r="I312" s="656"/>
      <c r="J312" s="654"/>
    </row>
    <row r="313" spans="1:10" x14ac:dyDescent="0.35">
      <c r="A313" s="615" t="s">
        <v>2884</v>
      </c>
      <c r="B313" s="616" t="str">
        <f t="shared" si="4"/>
        <v/>
      </c>
      <c r="C313" s="665"/>
      <c r="D313" s="655">
        <v>0</v>
      </c>
      <c r="E313" s="236"/>
      <c r="F313" s="232" t="s">
        <v>2538</v>
      </c>
      <c r="G313" s="239"/>
      <c r="H313" s="652"/>
      <c r="I313" s="656"/>
      <c r="J313" s="654"/>
    </row>
    <row r="314" spans="1:10" x14ac:dyDescent="0.35">
      <c r="A314" s="615" t="s">
        <v>2885</v>
      </c>
      <c r="B314" s="616" t="str">
        <f t="shared" si="4"/>
        <v/>
      </c>
      <c r="C314" s="665"/>
      <c r="D314" s="655">
        <v>0</v>
      </c>
      <c r="E314" s="236"/>
      <c r="F314" s="232" t="s">
        <v>2538</v>
      </c>
      <c r="G314" s="239"/>
      <c r="H314" s="652"/>
      <c r="I314" s="656"/>
      <c r="J314" s="654"/>
    </row>
    <row r="315" spans="1:10" x14ac:dyDescent="0.35">
      <c r="A315" s="615" t="s">
        <v>2886</v>
      </c>
      <c r="B315" s="616" t="str">
        <f t="shared" si="4"/>
        <v/>
      </c>
      <c r="C315" s="665"/>
      <c r="D315" s="651">
        <v>2</v>
      </c>
      <c r="E315" s="236"/>
      <c r="F315" s="232" t="s">
        <v>2572</v>
      </c>
      <c r="G315" s="239"/>
      <c r="H315" s="652"/>
      <c r="I315" s="656"/>
      <c r="J315" s="654"/>
    </row>
    <row r="316" spans="1:10" x14ac:dyDescent="0.35">
      <c r="A316" s="615" t="s">
        <v>2887</v>
      </c>
      <c r="B316" s="616" t="str">
        <f t="shared" si="4"/>
        <v/>
      </c>
      <c r="C316" s="665"/>
      <c r="D316" s="651">
        <v>2</v>
      </c>
      <c r="E316" s="236"/>
      <c r="F316" s="232" t="s">
        <v>2572</v>
      </c>
      <c r="G316" s="239"/>
      <c r="H316" s="652"/>
      <c r="I316" s="656"/>
      <c r="J316" s="654"/>
    </row>
    <row r="317" spans="1:10" x14ac:dyDescent="0.35">
      <c r="A317" s="615" t="s">
        <v>2888</v>
      </c>
      <c r="B317" s="616" t="str">
        <f t="shared" si="4"/>
        <v/>
      </c>
      <c r="C317" s="665"/>
      <c r="D317" s="651">
        <v>2</v>
      </c>
      <c r="E317" s="236"/>
      <c r="F317" s="232" t="s">
        <v>2572</v>
      </c>
      <c r="G317" s="239"/>
      <c r="H317" s="652"/>
      <c r="I317" s="656"/>
      <c r="J317" s="654"/>
    </row>
    <row r="318" spans="1:10" x14ac:dyDescent="0.35">
      <c r="A318" s="615" t="s">
        <v>2889</v>
      </c>
      <c r="B318" s="616" t="str">
        <f t="shared" si="4"/>
        <v/>
      </c>
      <c r="C318" s="665"/>
      <c r="D318" s="651">
        <v>2</v>
      </c>
      <c r="E318" s="236"/>
      <c r="F318" s="232" t="s">
        <v>2572</v>
      </c>
      <c r="G318" s="239"/>
      <c r="H318" s="652"/>
      <c r="I318" s="656"/>
      <c r="J318" s="654"/>
    </row>
    <row r="319" spans="1:10" x14ac:dyDescent="0.35">
      <c r="A319" s="615" t="s">
        <v>2890</v>
      </c>
      <c r="B319" s="616" t="str">
        <f t="shared" si="4"/>
        <v/>
      </c>
      <c r="C319" s="665"/>
      <c r="D319" s="651">
        <v>2</v>
      </c>
      <c r="E319" s="236"/>
      <c r="F319" s="232" t="s">
        <v>2572</v>
      </c>
      <c r="G319" s="239"/>
      <c r="H319" s="652"/>
      <c r="I319" s="656"/>
      <c r="J319" s="654"/>
    </row>
    <row r="320" spans="1:10" x14ac:dyDescent="0.35">
      <c r="A320" s="615" t="s">
        <v>2891</v>
      </c>
      <c r="B320" s="616" t="str">
        <f t="shared" si="4"/>
        <v/>
      </c>
      <c r="C320" s="665"/>
      <c r="D320" s="655">
        <v>6</v>
      </c>
      <c r="E320" s="236"/>
      <c r="F320" s="232" t="s">
        <v>2579</v>
      </c>
      <c r="G320" s="239" t="s">
        <v>2583</v>
      </c>
      <c r="H320" s="652"/>
      <c r="I320" s="656"/>
      <c r="J320" s="654"/>
    </row>
    <row r="321" spans="1:10" x14ac:dyDescent="0.35">
      <c r="A321" s="615" t="s">
        <v>2892</v>
      </c>
      <c r="B321" s="616" t="str">
        <f t="shared" si="4"/>
        <v/>
      </c>
      <c r="C321" s="665"/>
      <c r="D321" s="655" t="s">
        <v>75</v>
      </c>
      <c r="E321" s="236"/>
      <c r="F321" s="232" t="s">
        <v>76</v>
      </c>
      <c r="G321" s="239"/>
      <c r="H321" s="652"/>
      <c r="I321" s="656"/>
      <c r="J321" s="654"/>
    </row>
    <row r="322" spans="1:10" x14ac:dyDescent="0.35">
      <c r="A322" s="615" t="s">
        <v>2893</v>
      </c>
      <c r="B322" s="616" t="str">
        <f t="shared" si="4"/>
        <v/>
      </c>
      <c r="C322" s="665"/>
      <c r="D322" s="655">
        <v>2</v>
      </c>
      <c r="E322" s="236"/>
      <c r="F322" s="232" t="s">
        <v>2539</v>
      </c>
      <c r="G322" s="239" t="s">
        <v>2585</v>
      </c>
      <c r="H322" s="652"/>
      <c r="I322" s="656"/>
      <c r="J322" s="654"/>
    </row>
    <row r="323" spans="1:10" x14ac:dyDescent="0.35">
      <c r="A323" s="615" t="s">
        <v>2894</v>
      </c>
      <c r="B323" s="616" t="str">
        <f t="shared" si="4"/>
        <v/>
      </c>
      <c r="C323" s="665"/>
      <c r="D323" s="655">
        <v>2</v>
      </c>
      <c r="E323" s="236"/>
      <c r="F323" s="232" t="s">
        <v>2539</v>
      </c>
      <c r="G323" s="239" t="s">
        <v>2585</v>
      </c>
      <c r="H323" s="652"/>
      <c r="I323" s="656"/>
      <c r="J323" s="654"/>
    </row>
    <row r="324" spans="1:10" x14ac:dyDescent="0.35">
      <c r="A324" s="615" t="s">
        <v>2895</v>
      </c>
      <c r="B324" s="616" t="str">
        <f t="shared" ref="B324:B387" si="5">IF(C324="","",IF(D324="Datum",TEXT(DAY(C324),"00")&amp;"."&amp;TEXT(MONTH(C324),"00")&amp;"."&amp;TEXT(YEAR(C324),"0000"),IF(AND(ISNUMBER(C324),D324="x"),TEXT(C324,"@"),IF(ISNUMBER(C324),TEXT(ROUNDDOWN(C324,0),0)&amp;IF(D324=0,"","."&amp;IF(C324-ROUNDDOWN(C324,0)=0,LEFT("0000000000",D324),TEXT((C324-ROUNDDOWN(C324,0))*(1&amp; LEFT("0000000000",$D324)),LEFT("0000000000",$D324)))),C324))))</f>
        <v/>
      </c>
      <c r="C324" s="665"/>
      <c r="D324" s="655">
        <v>2</v>
      </c>
      <c r="E324" s="236"/>
      <c r="F324" s="232" t="s">
        <v>2539</v>
      </c>
      <c r="G324" s="239" t="s">
        <v>2585</v>
      </c>
      <c r="H324" s="652"/>
      <c r="I324" s="656"/>
      <c r="J324" s="654"/>
    </row>
    <row r="325" spans="1:10" x14ac:dyDescent="0.35">
      <c r="A325" s="615" t="s">
        <v>2896</v>
      </c>
      <c r="B325" s="616" t="str">
        <f t="shared" si="5"/>
        <v/>
      </c>
      <c r="C325" s="665"/>
      <c r="D325" s="655">
        <v>2</v>
      </c>
      <c r="E325" s="236"/>
      <c r="F325" s="232" t="s">
        <v>2539</v>
      </c>
      <c r="G325" s="239" t="s">
        <v>2585</v>
      </c>
      <c r="H325" s="652"/>
      <c r="I325" s="656"/>
      <c r="J325" s="654"/>
    </row>
    <row r="326" spans="1:10" x14ac:dyDescent="0.35">
      <c r="A326" s="615" t="s">
        <v>2897</v>
      </c>
      <c r="B326" s="616" t="str">
        <f t="shared" si="5"/>
        <v/>
      </c>
      <c r="C326" s="665"/>
      <c r="D326" s="655">
        <v>2</v>
      </c>
      <c r="E326" s="236"/>
      <c r="F326" s="232" t="s">
        <v>2539</v>
      </c>
      <c r="G326" s="239" t="s">
        <v>2585</v>
      </c>
      <c r="H326" s="652"/>
      <c r="I326" s="656"/>
      <c r="J326" s="654"/>
    </row>
    <row r="327" spans="1:10" x14ac:dyDescent="0.35">
      <c r="A327" s="615" t="s">
        <v>2898</v>
      </c>
      <c r="B327" s="616" t="str">
        <f t="shared" si="5"/>
        <v/>
      </c>
      <c r="C327" s="665"/>
      <c r="D327" s="655">
        <v>2</v>
      </c>
      <c r="E327" s="236"/>
      <c r="F327" s="232" t="s">
        <v>2539</v>
      </c>
      <c r="G327" s="239" t="s">
        <v>2585</v>
      </c>
      <c r="H327" s="652"/>
      <c r="I327" s="656"/>
      <c r="J327" s="654"/>
    </row>
    <row r="328" spans="1:10" ht="48" x14ac:dyDescent="0.35">
      <c r="A328" s="615" t="s">
        <v>2899</v>
      </c>
      <c r="B328" s="616" t="str">
        <f t="shared" si="5"/>
        <v/>
      </c>
      <c r="C328" s="665"/>
      <c r="D328" s="655" t="s">
        <v>75</v>
      </c>
      <c r="E328" s="236"/>
      <c r="F328" s="232" t="s">
        <v>76</v>
      </c>
      <c r="G328" s="657" t="s">
        <v>2591</v>
      </c>
      <c r="H328" s="652"/>
      <c r="I328" s="656"/>
      <c r="J328" s="654"/>
    </row>
    <row r="329" spans="1:10" x14ac:dyDescent="0.35">
      <c r="A329" s="615" t="s">
        <v>2900</v>
      </c>
      <c r="B329" s="616" t="str">
        <f t="shared" si="5"/>
        <v/>
      </c>
      <c r="C329" s="665"/>
      <c r="D329" s="655">
        <v>2</v>
      </c>
      <c r="E329" s="236"/>
      <c r="F329" s="232" t="s">
        <v>2539</v>
      </c>
      <c r="G329" s="239"/>
      <c r="H329" s="652"/>
      <c r="I329" s="656"/>
      <c r="J329" s="654"/>
    </row>
    <row r="330" spans="1:10" x14ac:dyDescent="0.35">
      <c r="A330" s="615" t="s">
        <v>2901</v>
      </c>
      <c r="B330" s="616" t="str">
        <f t="shared" si="5"/>
        <v/>
      </c>
      <c r="C330" s="665"/>
      <c r="D330" s="655">
        <v>0</v>
      </c>
      <c r="E330" s="236"/>
      <c r="F330" s="232" t="s">
        <v>2538</v>
      </c>
      <c r="G330" s="239"/>
      <c r="H330" s="652"/>
      <c r="I330" s="656"/>
      <c r="J330" s="654"/>
    </row>
    <row r="331" spans="1:10" x14ac:dyDescent="0.35">
      <c r="A331" s="615" t="s">
        <v>2902</v>
      </c>
      <c r="B331" s="616" t="str">
        <f t="shared" si="5"/>
        <v/>
      </c>
      <c r="C331" s="665"/>
      <c r="D331" s="655">
        <v>0</v>
      </c>
      <c r="E331" s="236"/>
      <c r="F331" s="232" t="s">
        <v>2538</v>
      </c>
      <c r="G331" s="239"/>
      <c r="H331" s="652"/>
      <c r="I331" s="656"/>
      <c r="J331" s="654"/>
    </row>
    <row r="332" spans="1:10" x14ac:dyDescent="0.35">
      <c r="A332" s="615" t="s">
        <v>2903</v>
      </c>
      <c r="B332" s="616" t="str">
        <f t="shared" si="5"/>
        <v/>
      </c>
      <c r="C332" s="665"/>
      <c r="D332" s="655">
        <v>0</v>
      </c>
      <c r="E332" s="236"/>
      <c r="F332" s="232" t="s">
        <v>2538</v>
      </c>
      <c r="G332" s="239"/>
      <c r="H332" s="652"/>
      <c r="I332" s="656"/>
      <c r="J332" s="654"/>
    </row>
    <row r="333" spans="1:10" x14ac:dyDescent="0.35">
      <c r="A333" s="615" t="s">
        <v>2904</v>
      </c>
      <c r="B333" s="616" t="str">
        <f t="shared" si="5"/>
        <v/>
      </c>
      <c r="C333" s="665"/>
      <c r="D333" s="651">
        <v>2</v>
      </c>
      <c r="E333" s="236"/>
      <c r="F333" s="232" t="s">
        <v>2572</v>
      </c>
      <c r="G333" s="239"/>
      <c r="H333" s="652"/>
      <c r="I333" s="656"/>
      <c r="J333" s="654"/>
    </row>
    <row r="334" spans="1:10" x14ac:dyDescent="0.35">
      <c r="A334" s="615" t="s">
        <v>2905</v>
      </c>
      <c r="B334" s="616" t="str">
        <f t="shared" si="5"/>
        <v/>
      </c>
      <c r="C334" s="665"/>
      <c r="D334" s="651">
        <v>2</v>
      </c>
      <c r="E334" s="236"/>
      <c r="F334" s="232" t="s">
        <v>2572</v>
      </c>
      <c r="G334" s="239"/>
      <c r="H334" s="652"/>
      <c r="I334" s="656"/>
      <c r="J334" s="654"/>
    </row>
    <row r="335" spans="1:10" x14ac:dyDescent="0.35">
      <c r="A335" s="615" t="s">
        <v>2906</v>
      </c>
      <c r="B335" s="616" t="str">
        <f t="shared" si="5"/>
        <v/>
      </c>
      <c r="C335" s="665"/>
      <c r="D335" s="651">
        <v>2</v>
      </c>
      <c r="E335" s="236"/>
      <c r="F335" s="232" t="s">
        <v>2572</v>
      </c>
      <c r="G335" s="239"/>
      <c r="H335" s="652"/>
      <c r="I335" s="656"/>
      <c r="J335" s="654"/>
    </row>
    <row r="336" spans="1:10" x14ac:dyDescent="0.35">
      <c r="A336" s="615" t="s">
        <v>2907</v>
      </c>
      <c r="B336" s="616" t="str">
        <f t="shared" si="5"/>
        <v/>
      </c>
      <c r="C336" s="665"/>
      <c r="D336" s="651">
        <v>2</v>
      </c>
      <c r="E336" s="236"/>
      <c r="F336" s="232" t="s">
        <v>2572</v>
      </c>
      <c r="G336" s="239"/>
      <c r="H336" s="652"/>
      <c r="I336" s="656"/>
      <c r="J336" s="654"/>
    </row>
    <row r="337" spans="1:10" x14ac:dyDescent="0.35">
      <c r="A337" s="615" t="s">
        <v>2908</v>
      </c>
      <c r="B337" s="616" t="str">
        <f t="shared" si="5"/>
        <v/>
      </c>
      <c r="C337" s="665"/>
      <c r="D337" s="651">
        <v>2</v>
      </c>
      <c r="E337" s="236"/>
      <c r="F337" s="232" t="s">
        <v>2572</v>
      </c>
      <c r="G337" s="239"/>
      <c r="H337" s="652"/>
      <c r="I337" s="656"/>
      <c r="J337" s="654"/>
    </row>
    <row r="338" spans="1:10" x14ac:dyDescent="0.35">
      <c r="A338" s="615" t="s">
        <v>2909</v>
      </c>
      <c r="B338" s="616" t="str">
        <f t="shared" si="5"/>
        <v/>
      </c>
      <c r="C338" s="665"/>
      <c r="D338" s="655">
        <v>6</v>
      </c>
      <c r="E338" s="236"/>
      <c r="F338" s="232" t="s">
        <v>2579</v>
      </c>
      <c r="G338" s="239" t="s">
        <v>2583</v>
      </c>
      <c r="H338" s="652"/>
      <c r="I338" s="656"/>
      <c r="J338" s="654"/>
    </row>
    <row r="339" spans="1:10" x14ac:dyDescent="0.35">
      <c r="A339" s="615" t="s">
        <v>2910</v>
      </c>
      <c r="B339" s="616" t="str">
        <f t="shared" si="5"/>
        <v/>
      </c>
      <c r="C339" s="665"/>
      <c r="D339" s="655" t="s">
        <v>75</v>
      </c>
      <c r="E339" s="236"/>
      <c r="F339" s="232" t="s">
        <v>76</v>
      </c>
      <c r="G339" s="239"/>
      <c r="H339" s="652"/>
      <c r="I339" s="656"/>
      <c r="J339" s="654"/>
    </row>
    <row r="340" spans="1:10" x14ac:dyDescent="0.35">
      <c r="A340" s="615" t="s">
        <v>2911</v>
      </c>
      <c r="B340" s="616" t="str">
        <f t="shared" si="5"/>
        <v/>
      </c>
      <c r="C340" s="665"/>
      <c r="D340" s="655">
        <v>2</v>
      </c>
      <c r="E340" s="236"/>
      <c r="F340" s="232" t="s">
        <v>2539</v>
      </c>
      <c r="G340" s="239" t="s">
        <v>2585</v>
      </c>
      <c r="H340" s="652"/>
      <c r="I340" s="656"/>
      <c r="J340" s="654"/>
    </row>
    <row r="341" spans="1:10" x14ac:dyDescent="0.35">
      <c r="A341" s="615" t="s">
        <v>2912</v>
      </c>
      <c r="B341" s="616" t="str">
        <f t="shared" si="5"/>
        <v/>
      </c>
      <c r="C341" s="665"/>
      <c r="D341" s="655">
        <v>2</v>
      </c>
      <c r="E341" s="236"/>
      <c r="F341" s="232" t="s">
        <v>2539</v>
      </c>
      <c r="G341" s="239" t="s">
        <v>2585</v>
      </c>
      <c r="H341" s="652"/>
      <c r="I341" s="656"/>
      <c r="J341" s="654"/>
    </row>
    <row r="342" spans="1:10" x14ac:dyDescent="0.35">
      <c r="A342" s="615" t="s">
        <v>2913</v>
      </c>
      <c r="B342" s="616" t="str">
        <f t="shared" si="5"/>
        <v/>
      </c>
      <c r="C342" s="665"/>
      <c r="D342" s="655">
        <v>2</v>
      </c>
      <c r="E342" s="236"/>
      <c r="F342" s="232" t="s">
        <v>2539</v>
      </c>
      <c r="G342" s="239" t="s">
        <v>2585</v>
      </c>
      <c r="H342" s="652"/>
      <c r="I342" s="656"/>
      <c r="J342" s="654"/>
    </row>
    <row r="343" spans="1:10" x14ac:dyDescent="0.35">
      <c r="A343" s="615" t="s">
        <v>2914</v>
      </c>
      <c r="B343" s="616" t="str">
        <f t="shared" si="5"/>
        <v/>
      </c>
      <c r="C343" s="665"/>
      <c r="D343" s="655">
        <v>2</v>
      </c>
      <c r="E343" s="236"/>
      <c r="F343" s="232" t="s">
        <v>2539</v>
      </c>
      <c r="G343" s="239" t="s">
        <v>2585</v>
      </c>
      <c r="H343" s="652"/>
      <c r="I343" s="656"/>
      <c r="J343" s="654"/>
    </row>
    <row r="344" spans="1:10" x14ac:dyDescent="0.35">
      <c r="A344" s="615" t="s">
        <v>2915</v>
      </c>
      <c r="B344" s="616" t="str">
        <f t="shared" si="5"/>
        <v/>
      </c>
      <c r="C344" s="665"/>
      <c r="D344" s="655">
        <v>2</v>
      </c>
      <c r="E344" s="236"/>
      <c r="F344" s="232" t="s">
        <v>2539</v>
      </c>
      <c r="G344" s="239" t="s">
        <v>2585</v>
      </c>
      <c r="H344" s="652"/>
      <c r="I344" s="656"/>
      <c r="J344" s="654"/>
    </row>
    <row r="345" spans="1:10" x14ac:dyDescent="0.35">
      <c r="A345" s="615" t="s">
        <v>2916</v>
      </c>
      <c r="B345" s="616" t="str">
        <f t="shared" si="5"/>
        <v/>
      </c>
      <c r="C345" s="665"/>
      <c r="D345" s="655">
        <v>2</v>
      </c>
      <c r="E345" s="236"/>
      <c r="F345" s="232" t="s">
        <v>2539</v>
      </c>
      <c r="G345" s="239" t="s">
        <v>2585</v>
      </c>
      <c r="H345" s="652"/>
      <c r="I345" s="656"/>
      <c r="J345" s="654"/>
    </row>
    <row r="346" spans="1:10" ht="48" x14ac:dyDescent="0.35">
      <c r="A346" s="615" t="s">
        <v>2917</v>
      </c>
      <c r="B346" s="616" t="str">
        <f t="shared" si="5"/>
        <v/>
      </c>
      <c r="C346" s="665"/>
      <c r="D346" s="655" t="s">
        <v>75</v>
      </c>
      <c r="E346" s="236"/>
      <c r="F346" s="232" t="s">
        <v>76</v>
      </c>
      <c r="G346" s="657" t="s">
        <v>2591</v>
      </c>
      <c r="H346" s="652"/>
      <c r="I346" s="656"/>
      <c r="J346" s="654"/>
    </row>
    <row r="347" spans="1:10" x14ac:dyDescent="0.35">
      <c r="A347" s="615" t="s">
        <v>2918</v>
      </c>
      <c r="B347" s="616" t="str">
        <f t="shared" si="5"/>
        <v/>
      </c>
      <c r="C347" s="665"/>
      <c r="D347" s="655">
        <v>2</v>
      </c>
      <c r="E347" s="236"/>
      <c r="F347" s="232" t="s">
        <v>2539</v>
      </c>
      <c r="G347" s="239"/>
      <c r="H347" s="652"/>
      <c r="I347" s="656"/>
      <c r="J347" s="654"/>
    </row>
    <row r="348" spans="1:10" x14ac:dyDescent="0.35">
      <c r="A348" s="615" t="s">
        <v>2919</v>
      </c>
      <c r="B348" s="616" t="str">
        <f t="shared" si="5"/>
        <v/>
      </c>
      <c r="C348" s="665"/>
      <c r="D348" s="655">
        <v>0</v>
      </c>
      <c r="E348" s="236"/>
      <c r="F348" s="232" t="s">
        <v>2538</v>
      </c>
      <c r="G348" s="239"/>
      <c r="H348" s="652"/>
      <c r="I348" s="656"/>
      <c r="J348" s="654"/>
    </row>
    <row r="349" spans="1:10" x14ac:dyDescent="0.35">
      <c r="A349" s="615" t="s">
        <v>2920</v>
      </c>
      <c r="B349" s="616" t="str">
        <f t="shared" si="5"/>
        <v/>
      </c>
      <c r="C349" s="665"/>
      <c r="D349" s="655">
        <v>0</v>
      </c>
      <c r="E349" s="236"/>
      <c r="F349" s="232" t="s">
        <v>2538</v>
      </c>
      <c r="G349" s="239"/>
      <c r="H349" s="652"/>
      <c r="I349" s="656"/>
      <c r="J349" s="654"/>
    </row>
    <row r="350" spans="1:10" x14ac:dyDescent="0.35">
      <c r="A350" s="615" t="s">
        <v>2921</v>
      </c>
      <c r="B350" s="616" t="str">
        <f t="shared" si="5"/>
        <v/>
      </c>
      <c r="C350" s="665"/>
      <c r="D350" s="655">
        <v>0</v>
      </c>
      <c r="E350" s="236"/>
      <c r="F350" s="232" t="s">
        <v>2538</v>
      </c>
      <c r="G350" s="239"/>
      <c r="H350" s="652"/>
      <c r="I350" s="656"/>
      <c r="J350" s="654"/>
    </row>
    <row r="351" spans="1:10" x14ac:dyDescent="0.35">
      <c r="A351" s="615" t="s">
        <v>2922</v>
      </c>
      <c r="B351" s="616" t="str">
        <f t="shared" si="5"/>
        <v/>
      </c>
      <c r="C351" s="665"/>
      <c r="D351" s="651">
        <v>2</v>
      </c>
      <c r="E351" s="236"/>
      <c r="F351" s="232" t="s">
        <v>2572</v>
      </c>
      <c r="G351" s="239"/>
      <c r="H351" s="652"/>
      <c r="I351" s="656"/>
      <c r="J351" s="654"/>
    </row>
    <row r="352" spans="1:10" x14ac:dyDescent="0.35">
      <c r="A352" s="615" t="s">
        <v>2923</v>
      </c>
      <c r="B352" s="616" t="str">
        <f t="shared" si="5"/>
        <v/>
      </c>
      <c r="C352" s="665"/>
      <c r="D352" s="651">
        <v>2</v>
      </c>
      <c r="E352" s="236"/>
      <c r="F352" s="232" t="s">
        <v>2572</v>
      </c>
      <c r="G352" s="239"/>
      <c r="H352" s="652"/>
      <c r="I352" s="656"/>
      <c r="J352" s="654"/>
    </row>
    <row r="353" spans="1:10" x14ac:dyDescent="0.35">
      <c r="A353" s="615" t="s">
        <v>2924</v>
      </c>
      <c r="B353" s="616" t="str">
        <f t="shared" si="5"/>
        <v/>
      </c>
      <c r="C353" s="665"/>
      <c r="D353" s="651">
        <v>2</v>
      </c>
      <c r="E353" s="236"/>
      <c r="F353" s="232" t="s">
        <v>2572</v>
      </c>
      <c r="G353" s="239"/>
      <c r="H353" s="652"/>
      <c r="I353" s="656"/>
      <c r="J353" s="654"/>
    </row>
    <row r="354" spans="1:10" x14ac:dyDescent="0.35">
      <c r="A354" s="615" t="s">
        <v>2925</v>
      </c>
      <c r="B354" s="616" t="str">
        <f t="shared" si="5"/>
        <v/>
      </c>
      <c r="C354" s="665"/>
      <c r="D354" s="651">
        <v>2</v>
      </c>
      <c r="E354" s="236"/>
      <c r="F354" s="232" t="s">
        <v>2572</v>
      </c>
      <c r="G354" s="239"/>
      <c r="H354" s="652"/>
      <c r="I354" s="656"/>
      <c r="J354" s="654"/>
    </row>
    <row r="355" spans="1:10" x14ac:dyDescent="0.35">
      <c r="A355" s="615" t="s">
        <v>2926</v>
      </c>
      <c r="B355" s="616" t="str">
        <f t="shared" si="5"/>
        <v/>
      </c>
      <c r="C355" s="665"/>
      <c r="D355" s="651">
        <v>2</v>
      </c>
      <c r="E355" s="236"/>
      <c r="F355" s="232" t="s">
        <v>2572</v>
      </c>
      <c r="G355" s="239"/>
      <c r="H355" s="652"/>
      <c r="I355" s="656"/>
      <c r="J355" s="654"/>
    </row>
    <row r="356" spans="1:10" x14ac:dyDescent="0.35">
      <c r="A356" s="615" t="s">
        <v>2927</v>
      </c>
      <c r="B356" s="616" t="str">
        <f t="shared" si="5"/>
        <v/>
      </c>
      <c r="C356" s="665"/>
      <c r="D356" s="655">
        <v>6</v>
      </c>
      <c r="E356" s="236"/>
      <c r="F356" s="232" t="s">
        <v>2579</v>
      </c>
      <c r="G356" s="239" t="s">
        <v>2583</v>
      </c>
      <c r="H356" s="652"/>
      <c r="I356" s="656"/>
      <c r="J356" s="654"/>
    </row>
    <row r="357" spans="1:10" x14ac:dyDescent="0.35">
      <c r="A357" s="615" t="s">
        <v>2928</v>
      </c>
      <c r="B357" s="616" t="str">
        <f t="shared" si="5"/>
        <v/>
      </c>
      <c r="C357" s="665"/>
      <c r="D357" s="655" t="s">
        <v>75</v>
      </c>
      <c r="E357" s="236"/>
      <c r="F357" s="232" t="s">
        <v>76</v>
      </c>
      <c r="G357" s="239"/>
      <c r="H357" s="652"/>
      <c r="I357" s="656"/>
      <c r="J357" s="654"/>
    </row>
    <row r="358" spans="1:10" x14ac:dyDescent="0.35">
      <c r="A358" s="615" t="s">
        <v>2929</v>
      </c>
      <c r="B358" s="616" t="str">
        <f t="shared" si="5"/>
        <v/>
      </c>
      <c r="C358" s="665"/>
      <c r="D358" s="655">
        <v>2</v>
      </c>
      <c r="E358" s="236"/>
      <c r="F358" s="232" t="s">
        <v>2539</v>
      </c>
      <c r="G358" s="239" t="s">
        <v>2585</v>
      </c>
      <c r="H358" s="652"/>
      <c r="I358" s="656"/>
      <c r="J358" s="654"/>
    </row>
    <row r="359" spans="1:10" x14ac:dyDescent="0.35">
      <c r="A359" s="615" t="s">
        <v>2930</v>
      </c>
      <c r="B359" s="616" t="str">
        <f t="shared" si="5"/>
        <v/>
      </c>
      <c r="C359" s="665"/>
      <c r="D359" s="655">
        <v>2</v>
      </c>
      <c r="E359" s="236"/>
      <c r="F359" s="232" t="s">
        <v>2539</v>
      </c>
      <c r="G359" s="239" t="s">
        <v>2585</v>
      </c>
      <c r="H359" s="652"/>
      <c r="I359" s="656"/>
      <c r="J359" s="654"/>
    </row>
    <row r="360" spans="1:10" x14ac:dyDescent="0.35">
      <c r="A360" s="615" t="s">
        <v>2931</v>
      </c>
      <c r="B360" s="616" t="str">
        <f t="shared" si="5"/>
        <v/>
      </c>
      <c r="C360" s="665"/>
      <c r="D360" s="655">
        <v>2</v>
      </c>
      <c r="E360" s="236"/>
      <c r="F360" s="232" t="s">
        <v>2539</v>
      </c>
      <c r="G360" s="239" t="s">
        <v>2585</v>
      </c>
      <c r="H360" s="652"/>
      <c r="I360" s="656"/>
      <c r="J360" s="654"/>
    </row>
    <row r="361" spans="1:10" x14ac:dyDescent="0.35">
      <c r="A361" s="615" t="s">
        <v>2932</v>
      </c>
      <c r="B361" s="616" t="str">
        <f t="shared" si="5"/>
        <v/>
      </c>
      <c r="C361" s="665"/>
      <c r="D361" s="655">
        <v>2</v>
      </c>
      <c r="E361" s="236"/>
      <c r="F361" s="232" t="s">
        <v>2539</v>
      </c>
      <c r="G361" s="239" t="s">
        <v>2585</v>
      </c>
      <c r="H361" s="652"/>
      <c r="I361" s="656"/>
      <c r="J361" s="654"/>
    </row>
    <row r="362" spans="1:10" x14ac:dyDescent="0.35">
      <c r="A362" s="615" t="s">
        <v>2933</v>
      </c>
      <c r="B362" s="616" t="str">
        <f t="shared" si="5"/>
        <v/>
      </c>
      <c r="C362" s="665"/>
      <c r="D362" s="655">
        <v>2</v>
      </c>
      <c r="E362" s="236"/>
      <c r="F362" s="232" t="s">
        <v>2539</v>
      </c>
      <c r="G362" s="239" t="s">
        <v>2585</v>
      </c>
      <c r="H362" s="652"/>
      <c r="I362" s="656"/>
      <c r="J362" s="654"/>
    </row>
    <row r="363" spans="1:10" x14ac:dyDescent="0.35">
      <c r="A363" s="615" t="s">
        <v>2934</v>
      </c>
      <c r="B363" s="616" t="str">
        <f t="shared" si="5"/>
        <v/>
      </c>
      <c r="C363" s="665"/>
      <c r="D363" s="655">
        <v>2</v>
      </c>
      <c r="E363" s="236"/>
      <c r="F363" s="232" t="s">
        <v>2539</v>
      </c>
      <c r="G363" s="239" t="s">
        <v>2585</v>
      </c>
      <c r="H363" s="652"/>
      <c r="I363" s="656"/>
      <c r="J363" s="654"/>
    </row>
    <row r="364" spans="1:10" ht="48" x14ac:dyDescent="0.35">
      <c r="A364" s="615" t="s">
        <v>2935</v>
      </c>
      <c r="B364" s="616" t="str">
        <f t="shared" si="5"/>
        <v/>
      </c>
      <c r="C364" s="665"/>
      <c r="D364" s="655" t="s">
        <v>75</v>
      </c>
      <c r="E364" s="236"/>
      <c r="F364" s="232" t="s">
        <v>76</v>
      </c>
      <c r="G364" s="657" t="s">
        <v>2591</v>
      </c>
      <c r="H364" s="652"/>
      <c r="I364" s="656"/>
      <c r="J364" s="654"/>
    </row>
    <row r="365" spans="1:10" x14ac:dyDescent="0.35">
      <c r="A365" s="615" t="s">
        <v>2936</v>
      </c>
      <c r="B365" s="616" t="str">
        <f t="shared" si="5"/>
        <v/>
      </c>
      <c r="C365" s="665"/>
      <c r="D365" s="655">
        <v>2</v>
      </c>
      <c r="E365" s="236"/>
      <c r="F365" s="232" t="s">
        <v>2539</v>
      </c>
      <c r="G365" s="239"/>
      <c r="H365" s="652"/>
      <c r="I365" s="656"/>
      <c r="J365" s="654"/>
    </row>
    <row r="366" spans="1:10" x14ac:dyDescent="0.35">
      <c r="A366" s="615" t="s">
        <v>2937</v>
      </c>
      <c r="B366" s="616" t="str">
        <f t="shared" si="5"/>
        <v/>
      </c>
      <c r="C366" s="665"/>
      <c r="D366" s="655">
        <v>0</v>
      </c>
      <c r="E366" s="236"/>
      <c r="F366" s="232" t="s">
        <v>2538</v>
      </c>
      <c r="G366" s="239"/>
      <c r="H366" s="652"/>
      <c r="I366" s="656"/>
      <c r="J366" s="654"/>
    </row>
    <row r="367" spans="1:10" x14ac:dyDescent="0.35">
      <c r="A367" s="615" t="s">
        <v>2938</v>
      </c>
      <c r="B367" s="616" t="str">
        <f t="shared" si="5"/>
        <v/>
      </c>
      <c r="C367" s="665"/>
      <c r="D367" s="655">
        <v>0</v>
      </c>
      <c r="E367" s="236"/>
      <c r="F367" s="232" t="s">
        <v>2538</v>
      </c>
      <c r="G367" s="239"/>
      <c r="H367" s="652"/>
      <c r="I367" s="656"/>
      <c r="J367" s="654"/>
    </row>
    <row r="368" spans="1:10" x14ac:dyDescent="0.35">
      <c r="A368" s="615" t="s">
        <v>2939</v>
      </c>
      <c r="B368" s="616" t="str">
        <f t="shared" si="5"/>
        <v/>
      </c>
      <c r="C368" s="665"/>
      <c r="D368" s="655">
        <v>0</v>
      </c>
      <c r="E368" s="236"/>
      <c r="F368" s="232" t="s">
        <v>2538</v>
      </c>
      <c r="G368" s="239"/>
      <c r="H368" s="652"/>
      <c r="I368" s="656"/>
      <c r="J368" s="654"/>
    </row>
    <row r="369" spans="1:10" x14ac:dyDescent="0.35">
      <c r="A369" s="615" t="s">
        <v>2940</v>
      </c>
      <c r="B369" s="616" t="str">
        <f t="shared" si="5"/>
        <v/>
      </c>
      <c r="C369" s="665"/>
      <c r="D369" s="651">
        <v>2</v>
      </c>
      <c r="E369" s="236"/>
      <c r="F369" s="232" t="s">
        <v>2572</v>
      </c>
      <c r="G369" s="239"/>
      <c r="H369" s="652"/>
      <c r="I369" s="656"/>
      <c r="J369" s="654"/>
    </row>
    <row r="370" spans="1:10" x14ac:dyDescent="0.35">
      <c r="A370" s="615" t="s">
        <v>2941</v>
      </c>
      <c r="B370" s="616" t="str">
        <f t="shared" si="5"/>
        <v/>
      </c>
      <c r="C370" s="665"/>
      <c r="D370" s="651">
        <v>2</v>
      </c>
      <c r="E370" s="236"/>
      <c r="F370" s="232" t="s">
        <v>2572</v>
      </c>
      <c r="G370" s="239"/>
      <c r="H370" s="652"/>
      <c r="I370" s="656"/>
      <c r="J370" s="654"/>
    </row>
    <row r="371" spans="1:10" x14ac:dyDescent="0.35">
      <c r="A371" s="615" t="s">
        <v>2942</v>
      </c>
      <c r="B371" s="616" t="str">
        <f t="shared" si="5"/>
        <v/>
      </c>
      <c r="C371" s="665"/>
      <c r="D371" s="651">
        <v>2</v>
      </c>
      <c r="E371" s="236"/>
      <c r="F371" s="232" t="s">
        <v>2572</v>
      </c>
      <c r="G371" s="239"/>
      <c r="H371" s="652"/>
      <c r="I371" s="656"/>
      <c r="J371" s="654"/>
    </row>
    <row r="372" spans="1:10" x14ac:dyDescent="0.35">
      <c r="A372" s="615" t="s">
        <v>2943</v>
      </c>
      <c r="B372" s="616" t="str">
        <f t="shared" si="5"/>
        <v/>
      </c>
      <c r="C372" s="665"/>
      <c r="D372" s="651">
        <v>2</v>
      </c>
      <c r="E372" s="236"/>
      <c r="F372" s="232" t="s">
        <v>2572</v>
      </c>
      <c r="G372" s="239"/>
      <c r="H372" s="652"/>
      <c r="I372" s="656"/>
      <c r="J372" s="654"/>
    </row>
    <row r="373" spans="1:10" x14ac:dyDescent="0.35">
      <c r="A373" s="615" t="s">
        <v>2944</v>
      </c>
      <c r="B373" s="616" t="str">
        <f t="shared" si="5"/>
        <v/>
      </c>
      <c r="C373" s="665"/>
      <c r="D373" s="651">
        <v>2</v>
      </c>
      <c r="E373" s="236"/>
      <c r="F373" s="232" t="s">
        <v>2572</v>
      </c>
      <c r="G373" s="239"/>
      <c r="H373" s="652"/>
      <c r="I373" s="656"/>
      <c r="J373" s="654"/>
    </row>
    <row r="374" spans="1:10" x14ac:dyDescent="0.35">
      <c r="A374" s="615" t="s">
        <v>2945</v>
      </c>
      <c r="B374" s="616" t="str">
        <f t="shared" si="5"/>
        <v/>
      </c>
      <c r="C374" s="665"/>
      <c r="D374" s="655">
        <v>6</v>
      </c>
      <c r="E374" s="236"/>
      <c r="F374" s="232" t="s">
        <v>2579</v>
      </c>
      <c r="G374" s="239" t="s">
        <v>2583</v>
      </c>
      <c r="H374" s="652"/>
      <c r="I374" s="656"/>
      <c r="J374" s="654"/>
    </row>
    <row r="375" spans="1:10" x14ac:dyDescent="0.35">
      <c r="A375" s="615" t="s">
        <v>2946</v>
      </c>
      <c r="B375" s="616" t="str">
        <f t="shared" si="5"/>
        <v/>
      </c>
      <c r="C375" s="665"/>
      <c r="D375" s="655" t="s">
        <v>75</v>
      </c>
      <c r="E375" s="236"/>
      <c r="F375" s="232" t="s">
        <v>76</v>
      </c>
      <c r="G375" s="239"/>
      <c r="H375" s="652"/>
      <c r="I375" s="656"/>
      <c r="J375" s="654"/>
    </row>
    <row r="376" spans="1:10" x14ac:dyDescent="0.35">
      <c r="A376" s="615" t="s">
        <v>2947</v>
      </c>
      <c r="B376" s="616" t="str">
        <f t="shared" si="5"/>
        <v/>
      </c>
      <c r="C376" s="665"/>
      <c r="D376" s="655">
        <v>2</v>
      </c>
      <c r="E376" s="236"/>
      <c r="F376" s="232" t="s">
        <v>2539</v>
      </c>
      <c r="G376" s="239" t="s">
        <v>2585</v>
      </c>
      <c r="H376" s="652"/>
      <c r="I376" s="656"/>
      <c r="J376" s="654"/>
    </row>
    <row r="377" spans="1:10" x14ac:dyDescent="0.35">
      <c r="A377" s="615" t="s">
        <v>2948</v>
      </c>
      <c r="B377" s="616" t="str">
        <f t="shared" si="5"/>
        <v/>
      </c>
      <c r="C377" s="665"/>
      <c r="D377" s="655">
        <v>2</v>
      </c>
      <c r="E377" s="236"/>
      <c r="F377" s="232" t="s">
        <v>2539</v>
      </c>
      <c r="G377" s="239" t="s">
        <v>2585</v>
      </c>
      <c r="H377" s="652"/>
      <c r="I377" s="656"/>
      <c r="J377" s="654"/>
    </row>
    <row r="378" spans="1:10" x14ac:dyDescent="0.35">
      <c r="A378" s="615" t="s">
        <v>2949</v>
      </c>
      <c r="B378" s="616" t="str">
        <f t="shared" si="5"/>
        <v/>
      </c>
      <c r="C378" s="665"/>
      <c r="D378" s="655">
        <v>2</v>
      </c>
      <c r="E378" s="236"/>
      <c r="F378" s="232" t="s">
        <v>2539</v>
      </c>
      <c r="G378" s="239" t="s">
        <v>2585</v>
      </c>
      <c r="H378" s="652"/>
      <c r="I378" s="656"/>
      <c r="J378" s="654"/>
    </row>
    <row r="379" spans="1:10" x14ac:dyDescent="0.35">
      <c r="A379" s="615" t="s">
        <v>2950</v>
      </c>
      <c r="B379" s="616" t="str">
        <f t="shared" si="5"/>
        <v/>
      </c>
      <c r="C379" s="665"/>
      <c r="D379" s="655">
        <v>2</v>
      </c>
      <c r="E379" s="236"/>
      <c r="F379" s="232" t="s">
        <v>2539</v>
      </c>
      <c r="G379" s="239" t="s">
        <v>2585</v>
      </c>
      <c r="H379" s="652"/>
      <c r="I379" s="656"/>
      <c r="J379" s="654"/>
    </row>
    <row r="380" spans="1:10" x14ac:dyDescent="0.35">
      <c r="A380" s="615" t="s">
        <v>2951</v>
      </c>
      <c r="B380" s="616" t="str">
        <f t="shared" si="5"/>
        <v/>
      </c>
      <c r="C380" s="665"/>
      <c r="D380" s="655">
        <v>2</v>
      </c>
      <c r="E380" s="236"/>
      <c r="F380" s="232" t="s">
        <v>2539</v>
      </c>
      <c r="G380" s="239" t="s">
        <v>2585</v>
      </c>
      <c r="H380" s="652"/>
      <c r="I380" s="656"/>
      <c r="J380" s="654"/>
    </row>
    <row r="381" spans="1:10" x14ac:dyDescent="0.35">
      <c r="A381" s="615" t="s">
        <v>2952</v>
      </c>
      <c r="B381" s="616" t="str">
        <f t="shared" si="5"/>
        <v/>
      </c>
      <c r="C381" s="665"/>
      <c r="D381" s="655">
        <v>2</v>
      </c>
      <c r="E381" s="236"/>
      <c r="F381" s="232" t="s">
        <v>2539</v>
      </c>
      <c r="G381" s="239" t="s">
        <v>2585</v>
      </c>
      <c r="H381" s="652"/>
      <c r="I381" s="656"/>
      <c r="J381" s="654"/>
    </row>
    <row r="382" spans="1:10" ht="48" x14ac:dyDescent="0.35">
      <c r="A382" s="615" t="s">
        <v>2953</v>
      </c>
      <c r="B382" s="616" t="str">
        <f t="shared" si="5"/>
        <v/>
      </c>
      <c r="C382" s="665"/>
      <c r="D382" s="655" t="s">
        <v>75</v>
      </c>
      <c r="E382" s="236"/>
      <c r="F382" s="232" t="s">
        <v>76</v>
      </c>
      <c r="G382" s="657" t="s">
        <v>2591</v>
      </c>
      <c r="H382" s="652"/>
      <c r="I382" s="656"/>
      <c r="J382" s="654"/>
    </row>
    <row r="383" spans="1:10" x14ac:dyDescent="0.35">
      <c r="A383" s="615" t="s">
        <v>2954</v>
      </c>
      <c r="B383" s="616" t="str">
        <f t="shared" si="5"/>
        <v/>
      </c>
      <c r="C383" s="665"/>
      <c r="D383" s="655">
        <v>2</v>
      </c>
      <c r="E383" s="236"/>
      <c r="F383" s="232" t="s">
        <v>2539</v>
      </c>
      <c r="G383" s="239"/>
      <c r="H383" s="652"/>
      <c r="I383" s="656"/>
      <c r="J383" s="654"/>
    </row>
    <row r="384" spans="1:10" x14ac:dyDescent="0.35">
      <c r="A384" s="615" t="s">
        <v>2955</v>
      </c>
      <c r="B384" s="616" t="str">
        <f t="shared" si="5"/>
        <v/>
      </c>
      <c r="C384" s="665"/>
      <c r="D384" s="655">
        <v>0</v>
      </c>
      <c r="E384" s="236"/>
      <c r="F384" s="232" t="s">
        <v>2538</v>
      </c>
      <c r="G384" s="239"/>
      <c r="H384" s="652"/>
      <c r="I384" s="656"/>
      <c r="J384" s="654"/>
    </row>
    <row r="385" spans="1:10" x14ac:dyDescent="0.35">
      <c r="A385" s="615" t="s">
        <v>2956</v>
      </c>
      <c r="B385" s="616" t="str">
        <f t="shared" si="5"/>
        <v/>
      </c>
      <c r="C385" s="665"/>
      <c r="D385" s="655">
        <v>0</v>
      </c>
      <c r="E385" s="236"/>
      <c r="F385" s="232" t="s">
        <v>2538</v>
      </c>
      <c r="G385" s="239"/>
      <c r="H385" s="652"/>
      <c r="I385" s="656"/>
      <c r="J385" s="654"/>
    </row>
    <row r="386" spans="1:10" x14ac:dyDescent="0.35">
      <c r="A386" s="615" t="s">
        <v>2957</v>
      </c>
      <c r="B386" s="616" t="str">
        <f t="shared" si="5"/>
        <v/>
      </c>
      <c r="C386" s="665"/>
      <c r="D386" s="655">
        <v>0</v>
      </c>
      <c r="E386" s="236"/>
      <c r="F386" s="232" t="s">
        <v>2538</v>
      </c>
      <c r="G386" s="239"/>
      <c r="H386" s="652"/>
      <c r="I386" s="656"/>
      <c r="J386" s="654"/>
    </row>
    <row r="387" spans="1:10" x14ac:dyDescent="0.35">
      <c r="A387" s="615" t="s">
        <v>2958</v>
      </c>
      <c r="B387" s="616" t="str">
        <f t="shared" si="5"/>
        <v/>
      </c>
      <c r="C387" s="665"/>
      <c r="D387" s="651">
        <v>2</v>
      </c>
      <c r="E387" s="236"/>
      <c r="F387" s="232" t="s">
        <v>2572</v>
      </c>
      <c r="G387" s="239"/>
      <c r="H387" s="652"/>
      <c r="I387" s="656"/>
      <c r="J387" s="654"/>
    </row>
    <row r="388" spans="1:10" x14ac:dyDescent="0.35">
      <c r="A388" s="615" t="s">
        <v>2959</v>
      </c>
      <c r="B388" s="616" t="str">
        <f t="shared" ref="B388:B451" si="6">IF(C388="","",IF(D388="Datum",TEXT(DAY(C388),"00")&amp;"."&amp;TEXT(MONTH(C388),"00")&amp;"."&amp;TEXT(YEAR(C388),"0000"),IF(AND(ISNUMBER(C388),D388="x"),TEXT(C388,"@"),IF(ISNUMBER(C388),TEXT(ROUNDDOWN(C388,0),0)&amp;IF(D388=0,"","."&amp;IF(C388-ROUNDDOWN(C388,0)=0,LEFT("0000000000",D388),TEXT((C388-ROUNDDOWN(C388,0))*(1&amp; LEFT("0000000000",$D388)),LEFT("0000000000",$D388)))),C388))))</f>
        <v/>
      </c>
      <c r="C388" s="665"/>
      <c r="D388" s="651">
        <v>2</v>
      </c>
      <c r="E388" s="236"/>
      <c r="F388" s="232" t="s">
        <v>2572</v>
      </c>
      <c r="G388" s="239"/>
      <c r="H388" s="652"/>
      <c r="I388" s="656"/>
      <c r="J388" s="654"/>
    </row>
    <row r="389" spans="1:10" x14ac:dyDescent="0.35">
      <c r="A389" s="615" t="s">
        <v>2960</v>
      </c>
      <c r="B389" s="616" t="str">
        <f t="shared" si="6"/>
        <v/>
      </c>
      <c r="C389" s="665"/>
      <c r="D389" s="651">
        <v>2</v>
      </c>
      <c r="E389" s="236"/>
      <c r="F389" s="232" t="s">
        <v>2572</v>
      </c>
      <c r="G389" s="239"/>
      <c r="H389" s="652"/>
      <c r="I389" s="656"/>
      <c r="J389" s="654"/>
    </row>
    <row r="390" spans="1:10" x14ac:dyDescent="0.35">
      <c r="A390" s="615" t="s">
        <v>2961</v>
      </c>
      <c r="B390" s="616" t="str">
        <f t="shared" si="6"/>
        <v/>
      </c>
      <c r="C390" s="665"/>
      <c r="D390" s="651">
        <v>2</v>
      </c>
      <c r="E390" s="236"/>
      <c r="F390" s="232" t="s">
        <v>2572</v>
      </c>
      <c r="G390" s="239"/>
      <c r="H390" s="652"/>
      <c r="I390" s="656"/>
      <c r="J390" s="654"/>
    </row>
    <row r="391" spans="1:10" x14ac:dyDescent="0.35">
      <c r="A391" s="615" t="s">
        <v>2962</v>
      </c>
      <c r="B391" s="616" t="str">
        <f t="shared" si="6"/>
        <v/>
      </c>
      <c r="C391" s="665"/>
      <c r="D391" s="651">
        <v>2</v>
      </c>
      <c r="E391" s="236"/>
      <c r="F391" s="232" t="s">
        <v>2572</v>
      </c>
      <c r="G391" s="239"/>
      <c r="H391" s="652"/>
      <c r="I391" s="656"/>
      <c r="J391" s="654"/>
    </row>
    <row r="392" spans="1:10" x14ac:dyDescent="0.35">
      <c r="A392" s="615" t="s">
        <v>2963</v>
      </c>
      <c r="B392" s="616" t="str">
        <f t="shared" si="6"/>
        <v/>
      </c>
      <c r="C392" s="665"/>
      <c r="D392" s="655">
        <v>6</v>
      </c>
      <c r="E392" s="236"/>
      <c r="F392" s="232" t="s">
        <v>2579</v>
      </c>
      <c r="G392" s="239" t="s">
        <v>2583</v>
      </c>
      <c r="H392" s="652"/>
      <c r="I392" s="656"/>
      <c r="J392" s="654"/>
    </row>
    <row r="393" spans="1:10" x14ac:dyDescent="0.35">
      <c r="A393" s="615" t="s">
        <v>2964</v>
      </c>
      <c r="B393" s="616" t="str">
        <f t="shared" si="6"/>
        <v/>
      </c>
      <c r="C393" s="665"/>
      <c r="D393" s="655" t="s">
        <v>75</v>
      </c>
      <c r="E393" s="236"/>
      <c r="F393" s="232" t="s">
        <v>76</v>
      </c>
      <c r="G393" s="239"/>
      <c r="H393" s="652"/>
      <c r="I393" s="656"/>
      <c r="J393" s="654"/>
    </row>
    <row r="394" spans="1:10" x14ac:dyDescent="0.35">
      <c r="A394" s="615" t="s">
        <v>2965</v>
      </c>
      <c r="B394" s="616" t="str">
        <f t="shared" si="6"/>
        <v/>
      </c>
      <c r="C394" s="665"/>
      <c r="D394" s="655">
        <v>2</v>
      </c>
      <c r="E394" s="236"/>
      <c r="F394" s="232" t="s">
        <v>2539</v>
      </c>
      <c r="G394" s="239" t="s">
        <v>2585</v>
      </c>
      <c r="H394" s="652"/>
      <c r="I394" s="656"/>
      <c r="J394" s="654"/>
    </row>
    <row r="395" spans="1:10" x14ac:dyDescent="0.35">
      <c r="A395" s="615" t="s">
        <v>2966</v>
      </c>
      <c r="B395" s="616" t="str">
        <f t="shared" si="6"/>
        <v/>
      </c>
      <c r="C395" s="665"/>
      <c r="D395" s="655">
        <v>2</v>
      </c>
      <c r="E395" s="236"/>
      <c r="F395" s="232" t="s">
        <v>2539</v>
      </c>
      <c r="G395" s="239" t="s">
        <v>2585</v>
      </c>
      <c r="H395" s="652"/>
      <c r="I395" s="656"/>
      <c r="J395" s="654"/>
    </row>
    <row r="396" spans="1:10" x14ac:dyDescent="0.35">
      <c r="A396" s="615" t="s">
        <v>2967</v>
      </c>
      <c r="B396" s="616" t="str">
        <f t="shared" si="6"/>
        <v/>
      </c>
      <c r="C396" s="665"/>
      <c r="D396" s="655">
        <v>2</v>
      </c>
      <c r="E396" s="236"/>
      <c r="F396" s="232" t="s">
        <v>2539</v>
      </c>
      <c r="G396" s="239" t="s">
        <v>2585</v>
      </c>
      <c r="H396" s="652"/>
      <c r="I396" s="656"/>
      <c r="J396" s="654"/>
    </row>
    <row r="397" spans="1:10" x14ac:dyDescent="0.35">
      <c r="A397" s="615" t="s">
        <v>2968</v>
      </c>
      <c r="B397" s="616" t="str">
        <f t="shared" si="6"/>
        <v/>
      </c>
      <c r="C397" s="665"/>
      <c r="D397" s="655">
        <v>2</v>
      </c>
      <c r="E397" s="236"/>
      <c r="F397" s="232" t="s">
        <v>2539</v>
      </c>
      <c r="G397" s="239" t="s">
        <v>2585</v>
      </c>
      <c r="H397" s="652"/>
      <c r="I397" s="656"/>
      <c r="J397" s="654"/>
    </row>
    <row r="398" spans="1:10" x14ac:dyDescent="0.35">
      <c r="A398" s="615" t="s">
        <v>2969</v>
      </c>
      <c r="B398" s="616" t="str">
        <f t="shared" si="6"/>
        <v/>
      </c>
      <c r="C398" s="665"/>
      <c r="D398" s="655">
        <v>2</v>
      </c>
      <c r="E398" s="236"/>
      <c r="F398" s="232" t="s">
        <v>2539</v>
      </c>
      <c r="G398" s="239" t="s">
        <v>2585</v>
      </c>
      <c r="H398" s="652"/>
      <c r="I398" s="656"/>
      <c r="J398" s="654"/>
    </row>
    <row r="399" spans="1:10" x14ac:dyDescent="0.35">
      <c r="A399" s="615" t="s">
        <v>2970</v>
      </c>
      <c r="B399" s="616" t="str">
        <f t="shared" si="6"/>
        <v/>
      </c>
      <c r="C399" s="665"/>
      <c r="D399" s="655">
        <v>2</v>
      </c>
      <c r="E399" s="236"/>
      <c r="F399" s="232" t="s">
        <v>2539</v>
      </c>
      <c r="G399" s="239" t="s">
        <v>2585</v>
      </c>
      <c r="H399" s="652"/>
      <c r="I399" s="656"/>
      <c r="J399" s="654"/>
    </row>
    <row r="400" spans="1:10" ht="48" x14ac:dyDescent="0.35">
      <c r="A400" s="615" t="s">
        <v>2971</v>
      </c>
      <c r="B400" s="616" t="str">
        <f t="shared" si="6"/>
        <v/>
      </c>
      <c r="C400" s="665"/>
      <c r="D400" s="655" t="s">
        <v>75</v>
      </c>
      <c r="E400" s="236"/>
      <c r="F400" s="232" t="s">
        <v>76</v>
      </c>
      <c r="G400" s="657" t="s">
        <v>2591</v>
      </c>
      <c r="H400" s="652"/>
      <c r="I400" s="656"/>
      <c r="J400" s="654"/>
    </row>
    <row r="401" spans="1:10" x14ac:dyDescent="0.35">
      <c r="A401" s="615" t="s">
        <v>2972</v>
      </c>
      <c r="B401" s="616" t="str">
        <f t="shared" si="6"/>
        <v/>
      </c>
      <c r="C401" s="665"/>
      <c r="D401" s="655">
        <v>2</v>
      </c>
      <c r="E401" s="236"/>
      <c r="F401" s="232" t="s">
        <v>2539</v>
      </c>
      <c r="G401" s="239"/>
      <c r="H401" s="652"/>
      <c r="I401" s="656"/>
      <c r="J401" s="654"/>
    </row>
    <row r="402" spans="1:10" x14ac:dyDescent="0.35">
      <c r="A402" s="615" t="s">
        <v>2973</v>
      </c>
      <c r="B402" s="616"/>
      <c r="C402" s="650"/>
      <c r="D402" s="655">
        <v>0</v>
      </c>
      <c r="E402" s="236"/>
      <c r="F402" s="232" t="s">
        <v>2538</v>
      </c>
      <c r="G402" s="239"/>
      <c r="H402" s="652"/>
      <c r="I402" s="653"/>
      <c r="J402" s="654"/>
    </row>
    <row r="403" spans="1:10" x14ac:dyDescent="0.35">
      <c r="A403" s="615" t="s">
        <v>2974</v>
      </c>
      <c r="B403" s="616"/>
      <c r="C403" s="650"/>
      <c r="D403" s="655">
        <v>0</v>
      </c>
      <c r="E403" s="236"/>
      <c r="F403" s="232" t="s">
        <v>2538</v>
      </c>
      <c r="G403" s="239"/>
      <c r="H403" s="652"/>
      <c r="I403" s="653"/>
      <c r="J403" s="654"/>
    </row>
    <row r="404" spans="1:10" x14ac:dyDescent="0.35">
      <c r="A404" s="615" t="s">
        <v>2975</v>
      </c>
      <c r="B404" s="616"/>
      <c r="C404" s="650"/>
      <c r="D404" s="655">
        <v>0</v>
      </c>
      <c r="E404" s="236"/>
      <c r="F404" s="232" t="s">
        <v>2538</v>
      </c>
      <c r="G404" s="239"/>
      <c r="H404" s="652"/>
      <c r="I404" s="653"/>
      <c r="J404" s="654"/>
    </row>
    <row r="405" spans="1:10" x14ac:dyDescent="0.35">
      <c r="A405" s="615" t="s">
        <v>2976</v>
      </c>
      <c r="B405" s="616"/>
      <c r="C405" s="665"/>
      <c r="D405" s="655">
        <v>0</v>
      </c>
      <c r="E405" s="236"/>
      <c r="F405" s="232" t="s">
        <v>2538</v>
      </c>
      <c r="G405" s="239"/>
      <c r="H405" s="652"/>
      <c r="I405" s="656"/>
      <c r="J405" s="654"/>
    </row>
    <row r="406" spans="1:10" x14ac:dyDescent="0.35">
      <c r="A406" s="615" t="s">
        <v>2977</v>
      </c>
      <c r="B406" s="616"/>
      <c r="C406" s="665"/>
      <c r="D406" s="655">
        <v>0</v>
      </c>
      <c r="E406" s="236"/>
      <c r="F406" s="232" t="s">
        <v>2538</v>
      </c>
      <c r="G406" s="239"/>
      <c r="H406" s="652"/>
      <c r="I406" s="656"/>
      <c r="J406" s="654"/>
    </row>
    <row r="407" spans="1:10" x14ac:dyDescent="0.35">
      <c r="A407" s="615" t="s">
        <v>2978</v>
      </c>
      <c r="B407" s="616"/>
      <c r="C407" s="650"/>
      <c r="D407" s="651">
        <v>2</v>
      </c>
      <c r="E407" s="236"/>
      <c r="F407" s="232" t="s">
        <v>2572</v>
      </c>
      <c r="G407" s="239"/>
      <c r="H407" s="652"/>
      <c r="I407" s="653"/>
      <c r="J407" s="654"/>
    </row>
    <row r="408" spans="1:10" x14ac:dyDescent="0.35">
      <c r="A408" s="615" t="s">
        <v>2979</v>
      </c>
      <c r="B408" s="616"/>
      <c r="C408" s="665"/>
      <c r="D408" s="651">
        <v>2</v>
      </c>
      <c r="E408" s="236"/>
      <c r="F408" s="232" t="s">
        <v>2572</v>
      </c>
      <c r="G408" s="239"/>
      <c r="H408" s="652"/>
      <c r="I408" s="656"/>
      <c r="J408" s="654"/>
    </row>
    <row r="409" spans="1:10" ht="36" x14ac:dyDescent="0.35">
      <c r="A409" s="615" t="s">
        <v>2980</v>
      </c>
      <c r="B409" s="616"/>
      <c r="C409" s="665"/>
      <c r="D409" s="651">
        <v>2</v>
      </c>
      <c r="E409" s="236"/>
      <c r="F409" s="232" t="s">
        <v>2572</v>
      </c>
      <c r="G409" s="666" t="s">
        <v>2575</v>
      </c>
      <c r="H409" s="652"/>
      <c r="I409" s="656"/>
      <c r="J409" s="654"/>
    </row>
    <row r="410" spans="1:10" x14ac:dyDescent="0.35">
      <c r="A410" s="615" t="s">
        <v>2981</v>
      </c>
      <c r="B410" s="616"/>
      <c r="C410" s="665"/>
      <c r="D410" s="655">
        <v>2</v>
      </c>
      <c r="E410" s="236"/>
      <c r="F410" s="232" t="s">
        <v>2572</v>
      </c>
      <c r="G410" s="239"/>
      <c r="H410" s="652"/>
      <c r="I410" s="656"/>
      <c r="J410" s="654"/>
    </row>
    <row r="411" spans="1:10" x14ac:dyDescent="0.35">
      <c r="A411" s="615" t="s">
        <v>2982</v>
      </c>
      <c r="B411" s="616"/>
      <c r="C411" s="665"/>
      <c r="D411" s="655">
        <v>2</v>
      </c>
      <c r="E411" s="236"/>
      <c r="F411" s="232" t="s">
        <v>2572</v>
      </c>
      <c r="G411" s="239"/>
      <c r="H411" s="652"/>
      <c r="I411" s="656"/>
      <c r="J411" s="654"/>
    </row>
    <row r="412" spans="1:10" x14ac:dyDescent="0.35">
      <c r="A412" s="615" t="s">
        <v>2983</v>
      </c>
      <c r="B412" s="616"/>
      <c r="C412" s="665"/>
      <c r="D412" s="655">
        <v>6</v>
      </c>
      <c r="E412" s="236"/>
      <c r="F412" s="232" t="s">
        <v>2579</v>
      </c>
      <c r="G412" s="239" t="s">
        <v>2583</v>
      </c>
      <c r="H412" s="652"/>
      <c r="I412" s="656"/>
      <c r="J412" s="654"/>
    </row>
    <row r="413" spans="1:10" x14ac:dyDescent="0.35">
      <c r="A413" s="615" t="s">
        <v>2984</v>
      </c>
      <c r="B413" s="616"/>
      <c r="C413" s="665"/>
      <c r="D413" s="655" t="s">
        <v>75</v>
      </c>
      <c r="E413" s="236"/>
      <c r="F413" s="232" t="s">
        <v>76</v>
      </c>
      <c r="G413" s="239"/>
      <c r="H413" s="652"/>
      <c r="I413" s="656"/>
      <c r="J413" s="654"/>
    </row>
    <row r="414" spans="1:10" x14ac:dyDescent="0.35">
      <c r="A414" s="615" t="s">
        <v>2985</v>
      </c>
      <c r="B414" s="616"/>
      <c r="C414" s="650"/>
      <c r="D414" s="655">
        <v>2</v>
      </c>
      <c r="E414" s="236"/>
      <c r="F414" s="232" t="s">
        <v>2539</v>
      </c>
      <c r="G414" s="239" t="s">
        <v>2585</v>
      </c>
      <c r="H414" s="652"/>
      <c r="I414" s="653"/>
      <c r="J414" s="654"/>
    </row>
    <row r="415" spans="1:10" x14ac:dyDescent="0.35">
      <c r="A415" s="615" t="s">
        <v>2986</v>
      </c>
      <c r="B415" s="616"/>
      <c r="C415" s="650"/>
      <c r="D415" s="655">
        <v>2</v>
      </c>
      <c r="E415" s="236"/>
      <c r="F415" s="232" t="s">
        <v>2539</v>
      </c>
      <c r="G415" s="239" t="s">
        <v>2585</v>
      </c>
      <c r="H415" s="652"/>
      <c r="I415" s="653"/>
      <c r="J415" s="654"/>
    </row>
    <row r="416" spans="1:10" x14ac:dyDescent="0.35">
      <c r="A416" s="615" t="s">
        <v>2987</v>
      </c>
      <c r="B416" s="616"/>
      <c r="C416" s="665"/>
      <c r="D416" s="655">
        <v>2</v>
      </c>
      <c r="E416" s="236"/>
      <c r="F416" s="232" t="s">
        <v>2539</v>
      </c>
      <c r="G416" s="239" t="s">
        <v>2585</v>
      </c>
      <c r="H416" s="652"/>
      <c r="I416" s="656"/>
      <c r="J416" s="654"/>
    </row>
    <row r="417" spans="1:10" x14ac:dyDescent="0.35">
      <c r="A417" s="615" t="s">
        <v>2988</v>
      </c>
      <c r="B417" s="616"/>
      <c r="C417" s="665"/>
      <c r="D417" s="655">
        <v>2</v>
      </c>
      <c r="E417" s="236"/>
      <c r="F417" s="232" t="s">
        <v>2539</v>
      </c>
      <c r="G417" s="239" t="s">
        <v>2585</v>
      </c>
      <c r="H417" s="652"/>
      <c r="I417" s="656"/>
      <c r="J417" s="654"/>
    </row>
    <row r="418" spans="1:10" x14ac:dyDescent="0.35">
      <c r="A418" s="615" t="s">
        <v>2989</v>
      </c>
      <c r="B418" s="616"/>
      <c r="C418" s="665"/>
      <c r="D418" s="655">
        <v>2</v>
      </c>
      <c r="E418" s="236"/>
      <c r="F418" s="232" t="s">
        <v>2539</v>
      </c>
      <c r="G418" s="239" t="s">
        <v>2585</v>
      </c>
      <c r="H418" s="652"/>
      <c r="I418" s="656"/>
      <c r="J418" s="654"/>
    </row>
    <row r="419" spans="1:10" x14ac:dyDescent="0.35">
      <c r="A419" s="615" t="s">
        <v>2990</v>
      </c>
      <c r="B419" s="616"/>
      <c r="C419" s="650"/>
      <c r="D419" s="655">
        <v>2</v>
      </c>
      <c r="E419" s="236"/>
      <c r="F419" s="232" t="s">
        <v>2539</v>
      </c>
      <c r="G419" s="239" t="s">
        <v>2585</v>
      </c>
      <c r="H419" s="652"/>
      <c r="I419" s="653"/>
      <c r="J419" s="654"/>
    </row>
    <row r="420" spans="1:10" ht="48" x14ac:dyDescent="0.35">
      <c r="A420" s="615" t="s">
        <v>2991</v>
      </c>
      <c r="B420" s="616"/>
      <c r="C420" s="650"/>
      <c r="D420" s="655" t="s">
        <v>75</v>
      </c>
      <c r="E420" s="236"/>
      <c r="F420" s="232" t="s">
        <v>76</v>
      </c>
      <c r="G420" s="657" t="s">
        <v>2591</v>
      </c>
      <c r="H420" s="652"/>
      <c r="I420" s="653"/>
      <c r="J420" s="654"/>
    </row>
    <row r="421" spans="1:10" x14ac:dyDescent="0.35">
      <c r="A421" s="615" t="s">
        <v>2992</v>
      </c>
      <c r="B421" s="616"/>
      <c r="C421" s="665"/>
      <c r="D421" s="655">
        <v>2</v>
      </c>
      <c r="E421" s="236"/>
      <c r="F421" s="232" t="s">
        <v>2539</v>
      </c>
      <c r="G421" s="239"/>
      <c r="H421" s="652"/>
      <c r="I421" s="656"/>
      <c r="J421" s="654"/>
    </row>
    <row r="422" spans="1:10" x14ac:dyDescent="0.35">
      <c r="A422" s="615" t="s">
        <v>2993</v>
      </c>
      <c r="B422" s="616" t="str">
        <f t="shared" si="6"/>
        <v/>
      </c>
      <c r="C422" s="665"/>
      <c r="D422" s="655">
        <v>0</v>
      </c>
      <c r="E422" s="236"/>
      <c r="F422" s="232" t="s">
        <v>2538</v>
      </c>
      <c r="G422" s="239"/>
      <c r="H422" s="652"/>
      <c r="I422" s="656"/>
      <c r="J422" s="654"/>
    </row>
    <row r="423" spans="1:10" x14ac:dyDescent="0.35">
      <c r="A423" s="615" t="s">
        <v>2994</v>
      </c>
      <c r="B423" s="616" t="str">
        <f t="shared" si="6"/>
        <v/>
      </c>
      <c r="C423" s="665"/>
      <c r="D423" s="655">
        <v>0</v>
      </c>
      <c r="E423" s="236"/>
      <c r="F423" s="232" t="s">
        <v>2538</v>
      </c>
      <c r="G423" s="239"/>
      <c r="H423" s="652"/>
      <c r="I423" s="656"/>
      <c r="J423" s="654"/>
    </row>
    <row r="424" spans="1:10" x14ac:dyDescent="0.35">
      <c r="A424" s="615" t="s">
        <v>2995</v>
      </c>
      <c r="B424" s="616" t="str">
        <f t="shared" si="6"/>
        <v/>
      </c>
      <c r="C424" s="665"/>
      <c r="D424" s="655">
        <v>0</v>
      </c>
      <c r="E424" s="236"/>
      <c r="F424" s="232" t="s">
        <v>2538</v>
      </c>
      <c r="G424" s="239"/>
      <c r="H424" s="652"/>
      <c r="I424" s="656"/>
      <c r="J424" s="654"/>
    </row>
    <row r="425" spans="1:10" x14ac:dyDescent="0.35">
      <c r="A425" s="615" t="s">
        <v>2996</v>
      </c>
      <c r="B425" s="616" t="str">
        <f t="shared" si="6"/>
        <v/>
      </c>
      <c r="C425" s="665"/>
      <c r="D425" s="651">
        <v>2</v>
      </c>
      <c r="E425" s="236"/>
      <c r="F425" s="232" t="s">
        <v>2572</v>
      </c>
      <c r="G425" s="239"/>
      <c r="H425" s="652"/>
      <c r="I425" s="656"/>
      <c r="J425" s="654"/>
    </row>
    <row r="426" spans="1:10" x14ac:dyDescent="0.35">
      <c r="A426" s="615" t="s">
        <v>2997</v>
      </c>
      <c r="B426" s="616" t="str">
        <f t="shared" si="6"/>
        <v/>
      </c>
      <c r="C426" s="665"/>
      <c r="D426" s="651">
        <v>2</v>
      </c>
      <c r="E426" s="236"/>
      <c r="F426" s="232" t="s">
        <v>2572</v>
      </c>
      <c r="G426" s="239"/>
      <c r="H426" s="652"/>
      <c r="I426" s="656"/>
      <c r="J426" s="654"/>
    </row>
    <row r="427" spans="1:10" x14ac:dyDescent="0.35">
      <c r="A427" s="615" t="s">
        <v>2998</v>
      </c>
      <c r="B427" s="616" t="str">
        <f t="shared" si="6"/>
        <v/>
      </c>
      <c r="C427" s="665"/>
      <c r="D427" s="651">
        <v>2</v>
      </c>
      <c r="E427" s="236"/>
      <c r="F427" s="232" t="s">
        <v>2572</v>
      </c>
      <c r="G427" s="239"/>
      <c r="H427" s="652"/>
      <c r="I427" s="656"/>
      <c r="J427" s="654"/>
    </row>
    <row r="428" spans="1:10" x14ac:dyDescent="0.35">
      <c r="A428" s="615" t="s">
        <v>2999</v>
      </c>
      <c r="B428" s="616" t="str">
        <f t="shared" si="6"/>
        <v/>
      </c>
      <c r="C428" s="665"/>
      <c r="D428" s="651">
        <v>2</v>
      </c>
      <c r="E428" s="236"/>
      <c r="F428" s="232" t="s">
        <v>2572</v>
      </c>
      <c r="G428" s="239"/>
      <c r="H428" s="652"/>
      <c r="I428" s="656"/>
      <c r="J428" s="654"/>
    </row>
    <row r="429" spans="1:10" x14ac:dyDescent="0.35">
      <c r="A429" s="615" t="s">
        <v>3000</v>
      </c>
      <c r="B429" s="616" t="str">
        <f t="shared" si="6"/>
        <v/>
      </c>
      <c r="C429" s="665"/>
      <c r="D429" s="651">
        <v>2</v>
      </c>
      <c r="E429" s="236"/>
      <c r="F429" s="232" t="s">
        <v>2572</v>
      </c>
      <c r="G429" s="239"/>
      <c r="H429" s="652"/>
      <c r="I429" s="656"/>
      <c r="J429" s="654"/>
    </row>
    <row r="430" spans="1:10" x14ac:dyDescent="0.35">
      <c r="A430" s="615" t="s">
        <v>3001</v>
      </c>
      <c r="B430" s="616" t="str">
        <f t="shared" si="6"/>
        <v/>
      </c>
      <c r="C430" s="665"/>
      <c r="D430" s="655">
        <v>6</v>
      </c>
      <c r="E430" s="236"/>
      <c r="F430" s="232" t="s">
        <v>2579</v>
      </c>
      <c r="G430" s="239" t="s">
        <v>2583</v>
      </c>
      <c r="H430" s="652"/>
      <c r="I430" s="656"/>
      <c r="J430" s="654"/>
    </row>
    <row r="431" spans="1:10" x14ac:dyDescent="0.35">
      <c r="A431" s="615" t="s">
        <v>3002</v>
      </c>
      <c r="B431" s="616" t="str">
        <f t="shared" si="6"/>
        <v/>
      </c>
      <c r="C431" s="665"/>
      <c r="D431" s="655" t="s">
        <v>75</v>
      </c>
      <c r="E431" s="236"/>
      <c r="F431" s="232" t="s">
        <v>76</v>
      </c>
      <c r="G431" s="239"/>
      <c r="H431" s="652"/>
      <c r="I431" s="656"/>
      <c r="J431" s="654"/>
    </row>
    <row r="432" spans="1:10" x14ac:dyDescent="0.35">
      <c r="A432" s="615" t="s">
        <v>3003</v>
      </c>
      <c r="B432" s="616" t="str">
        <f t="shared" si="6"/>
        <v/>
      </c>
      <c r="C432" s="665"/>
      <c r="D432" s="655">
        <v>2</v>
      </c>
      <c r="E432" s="236"/>
      <c r="F432" s="232" t="s">
        <v>2539</v>
      </c>
      <c r="G432" s="239" t="s">
        <v>2585</v>
      </c>
      <c r="H432" s="652"/>
      <c r="I432" s="656"/>
      <c r="J432" s="654"/>
    </row>
    <row r="433" spans="1:10" x14ac:dyDescent="0.35">
      <c r="A433" s="615" t="s">
        <v>3004</v>
      </c>
      <c r="B433" s="616" t="str">
        <f t="shared" si="6"/>
        <v/>
      </c>
      <c r="C433" s="665"/>
      <c r="D433" s="655">
        <v>2</v>
      </c>
      <c r="E433" s="236"/>
      <c r="F433" s="232" t="s">
        <v>2539</v>
      </c>
      <c r="G433" s="239" t="s">
        <v>2585</v>
      </c>
      <c r="H433" s="652"/>
      <c r="I433" s="656"/>
      <c r="J433" s="654"/>
    </row>
    <row r="434" spans="1:10" x14ac:dyDescent="0.35">
      <c r="A434" s="615" t="s">
        <v>3005</v>
      </c>
      <c r="B434" s="616" t="str">
        <f t="shared" si="6"/>
        <v/>
      </c>
      <c r="C434" s="665"/>
      <c r="D434" s="655">
        <v>2</v>
      </c>
      <c r="E434" s="236"/>
      <c r="F434" s="232" t="s">
        <v>2539</v>
      </c>
      <c r="G434" s="239" t="s">
        <v>2585</v>
      </c>
      <c r="H434" s="652"/>
      <c r="I434" s="656"/>
      <c r="J434" s="654"/>
    </row>
    <row r="435" spans="1:10" x14ac:dyDescent="0.35">
      <c r="A435" s="615" t="s">
        <v>3006</v>
      </c>
      <c r="B435" s="616" t="str">
        <f t="shared" si="6"/>
        <v/>
      </c>
      <c r="C435" s="665"/>
      <c r="D435" s="655">
        <v>2</v>
      </c>
      <c r="E435" s="236"/>
      <c r="F435" s="232" t="s">
        <v>2539</v>
      </c>
      <c r="G435" s="239" t="s">
        <v>2585</v>
      </c>
      <c r="H435" s="652"/>
      <c r="I435" s="656"/>
      <c r="J435" s="654"/>
    </row>
    <row r="436" spans="1:10" x14ac:dyDescent="0.35">
      <c r="A436" s="615" t="s">
        <v>3007</v>
      </c>
      <c r="B436" s="616" t="str">
        <f t="shared" si="6"/>
        <v/>
      </c>
      <c r="C436" s="665"/>
      <c r="D436" s="655">
        <v>2</v>
      </c>
      <c r="E436" s="236"/>
      <c r="F436" s="232" t="s">
        <v>2539</v>
      </c>
      <c r="G436" s="239" t="s">
        <v>2585</v>
      </c>
      <c r="H436" s="652"/>
      <c r="I436" s="656"/>
      <c r="J436" s="654"/>
    </row>
    <row r="437" spans="1:10" x14ac:dyDescent="0.35">
      <c r="A437" s="615" t="s">
        <v>3008</v>
      </c>
      <c r="B437" s="616" t="str">
        <f t="shared" si="6"/>
        <v/>
      </c>
      <c r="C437" s="665"/>
      <c r="D437" s="655">
        <v>2</v>
      </c>
      <c r="E437" s="236"/>
      <c r="F437" s="232" t="s">
        <v>2539</v>
      </c>
      <c r="G437" s="239" t="s">
        <v>2585</v>
      </c>
      <c r="H437" s="652"/>
      <c r="I437" s="656"/>
      <c r="J437" s="654"/>
    </row>
    <row r="438" spans="1:10" ht="48" x14ac:dyDescent="0.35">
      <c r="A438" s="615" t="s">
        <v>3009</v>
      </c>
      <c r="B438" s="616" t="str">
        <f t="shared" si="6"/>
        <v/>
      </c>
      <c r="C438" s="665"/>
      <c r="D438" s="655" t="s">
        <v>75</v>
      </c>
      <c r="E438" s="236"/>
      <c r="F438" s="232" t="s">
        <v>76</v>
      </c>
      <c r="G438" s="657" t="s">
        <v>2591</v>
      </c>
      <c r="H438" s="652"/>
      <c r="I438" s="656"/>
      <c r="J438" s="654"/>
    </row>
    <row r="439" spans="1:10" x14ac:dyDescent="0.35">
      <c r="A439" s="615" t="s">
        <v>3010</v>
      </c>
      <c r="B439" s="616" t="str">
        <f t="shared" si="6"/>
        <v/>
      </c>
      <c r="C439" s="665"/>
      <c r="D439" s="655">
        <v>2</v>
      </c>
      <c r="E439" s="236"/>
      <c r="F439" s="232" t="s">
        <v>2539</v>
      </c>
      <c r="G439" s="239"/>
      <c r="H439" s="652"/>
      <c r="I439" s="656"/>
      <c r="J439" s="654"/>
    </row>
    <row r="440" spans="1:10" x14ac:dyDescent="0.35">
      <c r="A440" s="615" t="s">
        <v>3011</v>
      </c>
      <c r="B440" s="616" t="str">
        <f t="shared" si="6"/>
        <v/>
      </c>
      <c r="C440" s="665"/>
      <c r="D440" s="655">
        <v>0</v>
      </c>
      <c r="E440" s="236"/>
      <c r="F440" s="232" t="s">
        <v>2538</v>
      </c>
      <c r="G440" s="239"/>
      <c r="H440" s="652"/>
      <c r="I440" s="656"/>
      <c r="J440" s="654"/>
    </row>
    <row r="441" spans="1:10" x14ac:dyDescent="0.35">
      <c r="A441" s="615" t="s">
        <v>3012</v>
      </c>
      <c r="B441" s="616" t="str">
        <f t="shared" si="6"/>
        <v/>
      </c>
      <c r="C441" s="665"/>
      <c r="D441" s="655">
        <v>0</v>
      </c>
      <c r="E441" s="236"/>
      <c r="F441" s="232" t="s">
        <v>2538</v>
      </c>
      <c r="G441" s="239"/>
      <c r="H441" s="652"/>
      <c r="I441" s="656"/>
      <c r="J441" s="654"/>
    </row>
    <row r="442" spans="1:10" x14ac:dyDescent="0.35">
      <c r="A442" s="615" t="s">
        <v>3013</v>
      </c>
      <c r="B442" s="616" t="str">
        <f t="shared" si="6"/>
        <v/>
      </c>
      <c r="C442" s="665"/>
      <c r="D442" s="655">
        <v>0</v>
      </c>
      <c r="E442" s="236"/>
      <c r="F442" s="232" t="s">
        <v>2538</v>
      </c>
      <c r="G442" s="239"/>
      <c r="H442" s="652"/>
      <c r="I442" s="656"/>
      <c r="J442" s="654"/>
    </row>
    <row r="443" spans="1:10" x14ac:dyDescent="0.35">
      <c r="A443" s="615" t="s">
        <v>3014</v>
      </c>
      <c r="B443" s="616" t="str">
        <f t="shared" si="6"/>
        <v/>
      </c>
      <c r="C443" s="665"/>
      <c r="D443" s="651">
        <v>2</v>
      </c>
      <c r="E443" s="236"/>
      <c r="F443" s="232" t="s">
        <v>2572</v>
      </c>
      <c r="G443" s="239"/>
      <c r="H443" s="652"/>
      <c r="I443" s="656"/>
      <c r="J443" s="654"/>
    </row>
    <row r="444" spans="1:10" x14ac:dyDescent="0.35">
      <c r="A444" s="615" t="s">
        <v>3015</v>
      </c>
      <c r="B444" s="616" t="str">
        <f t="shared" si="6"/>
        <v/>
      </c>
      <c r="C444" s="665"/>
      <c r="D444" s="651">
        <v>2</v>
      </c>
      <c r="E444" s="236"/>
      <c r="F444" s="232" t="s">
        <v>2572</v>
      </c>
      <c r="G444" s="239"/>
      <c r="H444" s="652"/>
      <c r="I444" s="656"/>
      <c r="J444" s="654"/>
    </row>
    <row r="445" spans="1:10" x14ac:dyDescent="0.35">
      <c r="A445" s="615" t="s">
        <v>3016</v>
      </c>
      <c r="B445" s="616" t="str">
        <f t="shared" si="6"/>
        <v/>
      </c>
      <c r="C445" s="665"/>
      <c r="D445" s="651">
        <v>2</v>
      </c>
      <c r="E445" s="236"/>
      <c r="F445" s="232" t="s">
        <v>2572</v>
      </c>
      <c r="G445" s="239"/>
      <c r="H445" s="652"/>
      <c r="I445" s="656"/>
      <c r="J445" s="654"/>
    </row>
    <row r="446" spans="1:10" x14ac:dyDescent="0.35">
      <c r="A446" s="615" t="s">
        <v>3017</v>
      </c>
      <c r="B446" s="616" t="str">
        <f t="shared" si="6"/>
        <v/>
      </c>
      <c r="C446" s="665"/>
      <c r="D446" s="651">
        <v>2</v>
      </c>
      <c r="E446" s="236"/>
      <c r="F446" s="232" t="s">
        <v>2572</v>
      </c>
      <c r="G446" s="239"/>
      <c r="H446" s="652"/>
      <c r="I446" s="656"/>
      <c r="J446" s="654"/>
    </row>
    <row r="447" spans="1:10" x14ac:dyDescent="0.35">
      <c r="A447" s="615" t="s">
        <v>3018</v>
      </c>
      <c r="B447" s="616" t="str">
        <f t="shared" si="6"/>
        <v/>
      </c>
      <c r="C447" s="665"/>
      <c r="D447" s="651">
        <v>2</v>
      </c>
      <c r="E447" s="236"/>
      <c r="F447" s="232" t="s">
        <v>2572</v>
      </c>
      <c r="G447" s="239"/>
      <c r="H447" s="652"/>
      <c r="I447" s="656"/>
      <c r="J447" s="654"/>
    </row>
    <row r="448" spans="1:10" x14ac:dyDescent="0.35">
      <c r="A448" s="615" t="s">
        <v>3019</v>
      </c>
      <c r="B448" s="616" t="str">
        <f t="shared" si="6"/>
        <v/>
      </c>
      <c r="C448" s="665"/>
      <c r="D448" s="655">
        <v>6</v>
      </c>
      <c r="E448" s="236"/>
      <c r="F448" s="232" t="s">
        <v>2579</v>
      </c>
      <c r="G448" s="239" t="s">
        <v>2583</v>
      </c>
      <c r="H448" s="652"/>
      <c r="I448" s="656"/>
      <c r="J448" s="654"/>
    </row>
    <row r="449" spans="1:10" x14ac:dyDescent="0.35">
      <c r="A449" s="615" t="s">
        <v>3020</v>
      </c>
      <c r="B449" s="616" t="str">
        <f t="shared" si="6"/>
        <v/>
      </c>
      <c r="C449" s="665"/>
      <c r="D449" s="655" t="s">
        <v>75</v>
      </c>
      <c r="E449" s="236"/>
      <c r="F449" s="232" t="s">
        <v>76</v>
      </c>
      <c r="G449" s="239"/>
      <c r="H449" s="652"/>
      <c r="I449" s="656"/>
      <c r="J449" s="654"/>
    </row>
    <row r="450" spans="1:10" x14ac:dyDescent="0.35">
      <c r="A450" s="615" t="s">
        <v>3021</v>
      </c>
      <c r="B450" s="616" t="str">
        <f t="shared" si="6"/>
        <v/>
      </c>
      <c r="C450" s="665"/>
      <c r="D450" s="655">
        <v>2</v>
      </c>
      <c r="E450" s="236"/>
      <c r="F450" s="232" t="s">
        <v>2539</v>
      </c>
      <c r="G450" s="239" t="s">
        <v>2585</v>
      </c>
      <c r="H450" s="652"/>
      <c r="I450" s="656"/>
      <c r="J450" s="654"/>
    </row>
    <row r="451" spans="1:10" x14ac:dyDescent="0.35">
      <c r="A451" s="615" t="s">
        <v>3022</v>
      </c>
      <c r="B451" s="616" t="str">
        <f t="shared" si="6"/>
        <v/>
      </c>
      <c r="C451" s="665"/>
      <c r="D451" s="655">
        <v>2</v>
      </c>
      <c r="E451" s="236"/>
      <c r="F451" s="232" t="s">
        <v>2539</v>
      </c>
      <c r="G451" s="239" t="s">
        <v>2585</v>
      </c>
      <c r="H451" s="652"/>
      <c r="I451" s="656"/>
      <c r="J451" s="654"/>
    </row>
    <row r="452" spans="1:10" x14ac:dyDescent="0.35">
      <c r="A452" s="615" t="s">
        <v>3023</v>
      </c>
      <c r="B452" s="616" t="str">
        <f t="shared" ref="B452:B515" si="7">IF(C452="","",IF(D452="Datum",TEXT(DAY(C452),"00")&amp;"."&amp;TEXT(MONTH(C452),"00")&amp;"."&amp;TEXT(YEAR(C452),"0000"),IF(AND(ISNUMBER(C452),D452="x"),TEXT(C452,"@"),IF(ISNUMBER(C452),TEXT(ROUNDDOWN(C452,0),0)&amp;IF(D452=0,"","."&amp;IF(C452-ROUNDDOWN(C452,0)=0,LEFT("0000000000",D452),TEXT((C452-ROUNDDOWN(C452,0))*(1&amp; LEFT("0000000000",$D452)),LEFT("0000000000",$D452)))),C452))))</f>
        <v/>
      </c>
      <c r="C452" s="665"/>
      <c r="D452" s="655">
        <v>2</v>
      </c>
      <c r="E452" s="236"/>
      <c r="F452" s="232" t="s">
        <v>2539</v>
      </c>
      <c r="G452" s="239" t="s">
        <v>2585</v>
      </c>
      <c r="H452" s="652"/>
      <c r="I452" s="656"/>
      <c r="J452" s="654"/>
    </row>
    <row r="453" spans="1:10" x14ac:dyDescent="0.35">
      <c r="A453" s="615" t="s">
        <v>3024</v>
      </c>
      <c r="B453" s="616" t="str">
        <f t="shared" si="7"/>
        <v/>
      </c>
      <c r="C453" s="665"/>
      <c r="D453" s="655">
        <v>2</v>
      </c>
      <c r="E453" s="236"/>
      <c r="F453" s="232" t="s">
        <v>2539</v>
      </c>
      <c r="G453" s="239" t="s">
        <v>2585</v>
      </c>
      <c r="H453" s="652"/>
      <c r="I453" s="656"/>
      <c r="J453" s="654"/>
    </row>
    <row r="454" spans="1:10" x14ac:dyDescent="0.35">
      <c r="A454" s="615" t="s">
        <v>3025</v>
      </c>
      <c r="B454" s="616" t="str">
        <f t="shared" si="7"/>
        <v/>
      </c>
      <c r="C454" s="665"/>
      <c r="D454" s="655">
        <v>2</v>
      </c>
      <c r="E454" s="236"/>
      <c r="F454" s="232" t="s">
        <v>2539</v>
      </c>
      <c r="G454" s="239" t="s">
        <v>2585</v>
      </c>
      <c r="H454" s="652"/>
      <c r="I454" s="656"/>
      <c r="J454" s="654"/>
    </row>
    <row r="455" spans="1:10" x14ac:dyDescent="0.35">
      <c r="A455" s="615" t="s">
        <v>3026</v>
      </c>
      <c r="B455" s="616" t="str">
        <f t="shared" si="7"/>
        <v/>
      </c>
      <c r="C455" s="665"/>
      <c r="D455" s="655">
        <v>2</v>
      </c>
      <c r="E455" s="236"/>
      <c r="F455" s="232" t="s">
        <v>2539</v>
      </c>
      <c r="G455" s="239" t="s">
        <v>2585</v>
      </c>
      <c r="H455" s="652"/>
      <c r="I455" s="656"/>
      <c r="J455" s="654"/>
    </row>
    <row r="456" spans="1:10" ht="48" x14ac:dyDescent="0.35">
      <c r="A456" s="615" t="s">
        <v>3027</v>
      </c>
      <c r="B456" s="616" t="str">
        <f t="shared" si="7"/>
        <v/>
      </c>
      <c r="C456" s="665"/>
      <c r="D456" s="655" t="s">
        <v>75</v>
      </c>
      <c r="E456" s="236"/>
      <c r="F456" s="232" t="s">
        <v>76</v>
      </c>
      <c r="G456" s="657" t="s">
        <v>2591</v>
      </c>
      <c r="H456" s="652"/>
      <c r="I456" s="656"/>
      <c r="J456" s="654"/>
    </row>
    <row r="457" spans="1:10" x14ac:dyDescent="0.35">
      <c r="A457" s="615" t="s">
        <v>3028</v>
      </c>
      <c r="B457" s="616" t="str">
        <f t="shared" si="7"/>
        <v/>
      </c>
      <c r="C457" s="665"/>
      <c r="D457" s="655">
        <v>2</v>
      </c>
      <c r="E457" s="236"/>
      <c r="F457" s="232" t="s">
        <v>2539</v>
      </c>
      <c r="G457" s="239"/>
      <c r="H457" s="652"/>
      <c r="I457" s="656"/>
      <c r="J457" s="654"/>
    </row>
    <row r="458" spans="1:10" x14ac:dyDescent="0.35">
      <c r="A458" s="615" t="s">
        <v>3029</v>
      </c>
      <c r="B458" s="616" t="str">
        <f t="shared" si="7"/>
        <v/>
      </c>
      <c r="C458" s="665"/>
      <c r="D458" s="655">
        <v>0</v>
      </c>
      <c r="E458" s="236"/>
      <c r="F458" s="232" t="s">
        <v>2538</v>
      </c>
      <c r="G458" s="668"/>
      <c r="H458" s="652"/>
      <c r="I458" s="656"/>
      <c r="J458" s="654"/>
    </row>
    <row r="459" spans="1:10" x14ac:dyDescent="0.35">
      <c r="A459" s="615" t="s">
        <v>3030</v>
      </c>
      <c r="B459" s="616" t="str">
        <f t="shared" si="7"/>
        <v/>
      </c>
      <c r="C459" s="665"/>
      <c r="D459" s="655">
        <v>0</v>
      </c>
      <c r="E459" s="236"/>
      <c r="F459" s="232" t="s">
        <v>2538</v>
      </c>
      <c r="G459" s="239"/>
      <c r="H459" s="652"/>
      <c r="I459" s="656"/>
      <c r="J459" s="654"/>
    </row>
    <row r="460" spans="1:10" x14ac:dyDescent="0.35">
      <c r="A460" s="615" t="s">
        <v>3031</v>
      </c>
      <c r="B460" s="616" t="str">
        <f t="shared" si="7"/>
        <v/>
      </c>
      <c r="C460" s="665"/>
      <c r="D460" s="655">
        <v>0</v>
      </c>
      <c r="E460" s="236"/>
      <c r="F460" s="232" t="s">
        <v>2538</v>
      </c>
      <c r="G460" s="239"/>
      <c r="H460" s="652"/>
      <c r="I460" s="656"/>
      <c r="J460" s="654"/>
    </row>
    <row r="461" spans="1:10" x14ac:dyDescent="0.35">
      <c r="A461" s="615" t="s">
        <v>3032</v>
      </c>
      <c r="B461" s="616" t="str">
        <f t="shared" si="7"/>
        <v/>
      </c>
      <c r="C461" s="665"/>
      <c r="D461" s="651">
        <v>2</v>
      </c>
      <c r="E461" s="236"/>
      <c r="F461" s="232" t="s">
        <v>2572</v>
      </c>
      <c r="G461" s="239"/>
      <c r="H461" s="652"/>
      <c r="I461" s="656"/>
      <c r="J461" s="654"/>
    </row>
    <row r="462" spans="1:10" x14ac:dyDescent="0.35">
      <c r="A462" s="615" t="s">
        <v>3033</v>
      </c>
      <c r="B462" s="616" t="str">
        <f t="shared" si="7"/>
        <v/>
      </c>
      <c r="C462" s="665"/>
      <c r="D462" s="651">
        <v>2</v>
      </c>
      <c r="E462" s="236"/>
      <c r="F462" s="232" t="s">
        <v>2572</v>
      </c>
      <c r="G462" s="239"/>
      <c r="H462" s="652"/>
      <c r="I462" s="656"/>
      <c r="J462" s="654"/>
    </row>
    <row r="463" spans="1:10" x14ac:dyDescent="0.35">
      <c r="A463" s="615" t="s">
        <v>3034</v>
      </c>
      <c r="B463" s="616" t="str">
        <f t="shared" si="7"/>
        <v/>
      </c>
      <c r="C463" s="665"/>
      <c r="D463" s="651">
        <v>2</v>
      </c>
      <c r="E463" s="236"/>
      <c r="F463" s="232" t="s">
        <v>2572</v>
      </c>
      <c r="G463" s="239"/>
      <c r="H463" s="652"/>
      <c r="I463" s="656"/>
      <c r="J463" s="654"/>
    </row>
    <row r="464" spans="1:10" x14ac:dyDescent="0.35">
      <c r="A464" s="615" t="s">
        <v>3035</v>
      </c>
      <c r="B464" s="616" t="str">
        <f t="shared" si="7"/>
        <v/>
      </c>
      <c r="C464" s="665"/>
      <c r="D464" s="651">
        <v>2</v>
      </c>
      <c r="E464" s="236"/>
      <c r="F464" s="232" t="s">
        <v>2572</v>
      </c>
      <c r="G464" s="239"/>
      <c r="H464" s="652"/>
      <c r="I464" s="656"/>
      <c r="J464" s="654"/>
    </row>
    <row r="465" spans="1:10" x14ac:dyDescent="0.35">
      <c r="A465" s="615" t="s">
        <v>3036</v>
      </c>
      <c r="B465" s="616" t="str">
        <f t="shared" si="7"/>
        <v/>
      </c>
      <c r="C465" s="665"/>
      <c r="D465" s="651">
        <v>2</v>
      </c>
      <c r="E465" s="236"/>
      <c r="F465" s="232" t="s">
        <v>2572</v>
      </c>
      <c r="G465" s="239"/>
      <c r="H465" s="652"/>
      <c r="I465" s="656"/>
      <c r="J465" s="654"/>
    </row>
    <row r="466" spans="1:10" x14ac:dyDescent="0.35">
      <c r="A466" s="615" t="s">
        <v>3037</v>
      </c>
      <c r="B466" s="616" t="str">
        <f t="shared" si="7"/>
        <v/>
      </c>
      <c r="C466" s="665"/>
      <c r="D466" s="655">
        <v>6</v>
      </c>
      <c r="E466" s="236"/>
      <c r="F466" s="232" t="s">
        <v>2579</v>
      </c>
      <c r="G466" s="239" t="s">
        <v>2583</v>
      </c>
      <c r="H466" s="652"/>
      <c r="I466" s="656"/>
      <c r="J466" s="654"/>
    </row>
    <row r="467" spans="1:10" x14ac:dyDescent="0.35">
      <c r="A467" s="615" t="s">
        <v>3038</v>
      </c>
      <c r="B467" s="616" t="str">
        <f t="shared" si="7"/>
        <v/>
      </c>
      <c r="C467" s="665"/>
      <c r="D467" s="655" t="s">
        <v>75</v>
      </c>
      <c r="E467" s="236"/>
      <c r="F467" s="232" t="s">
        <v>76</v>
      </c>
      <c r="G467" s="239"/>
      <c r="H467" s="652"/>
      <c r="I467" s="656"/>
      <c r="J467" s="654"/>
    </row>
    <row r="468" spans="1:10" x14ac:dyDescent="0.35">
      <c r="A468" s="615" t="s">
        <v>3039</v>
      </c>
      <c r="B468" s="616" t="str">
        <f t="shared" si="7"/>
        <v/>
      </c>
      <c r="C468" s="665"/>
      <c r="D468" s="655">
        <v>2</v>
      </c>
      <c r="E468" s="236"/>
      <c r="F468" s="232" t="s">
        <v>2539</v>
      </c>
      <c r="G468" s="239" t="s">
        <v>2585</v>
      </c>
      <c r="H468" s="652"/>
      <c r="I468" s="656"/>
      <c r="J468" s="654"/>
    </row>
    <row r="469" spans="1:10" x14ac:dyDescent="0.35">
      <c r="A469" s="615" t="s">
        <v>3040</v>
      </c>
      <c r="B469" s="616" t="str">
        <f t="shared" si="7"/>
        <v/>
      </c>
      <c r="C469" s="665"/>
      <c r="D469" s="655">
        <v>2</v>
      </c>
      <c r="E469" s="236"/>
      <c r="F469" s="232" t="s">
        <v>2539</v>
      </c>
      <c r="G469" s="239" t="s">
        <v>2585</v>
      </c>
      <c r="H469" s="652"/>
      <c r="I469" s="656"/>
      <c r="J469" s="654"/>
    </row>
    <row r="470" spans="1:10" x14ac:dyDescent="0.35">
      <c r="A470" s="615" t="s">
        <v>3041</v>
      </c>
      <c r="B470" s="616" t="str">
        <f t="shared" si="7"/>
        <v/>
      </c>
      <c r="C470" s="665"/>
      <c r="D470" s="655">
        <v>2</v>
      </c>
      <c r="E470" s="236"/>
      <c r="F470" s="232" t="s">
        <v>2539</v>
      </c>
      <c r="G470" s="239" t="s">
        <v>2585</v>
      </c>
      <c r="H470" s="652"/>
      <c r="I470" s="656"/>
      <c r="J470" s="654"/>
    </row>
    <row r="471" spans="1:10" x14ac:dyDescent="0.35">
      <c r="A471" s="615" t="s">
        <v>3042</v>
      </c>
      <c r="B471" s="616" t="str">
        <f t="shared" si="7"/>
        <v/>
      </c>
      <c r="C471" s="665"/>
      <c r="D471" s="655">
        <v>2</v>
      </c>
      <c r="E471" s="236"/>
      <c r="F471" s="232" t="s">
        <v>2539</v>
      </c>
      <c r="G471" s="239" t="s">
        <v>2585</v>
      </c>
      <c r="H471" s="652"/>
      <c r="I471" s="656"/>
      <c r="J471" s="654"/>
    </row>
    <row r="472" spans="1:10" x14ac:dyDescent="0.35">
      <c r="A472" s="615" t="s">
        <v>3043</v>
      </c>
      <c r="B472" s="616" t="str">
        <f t="shared" si="7"/>
        <v/>
      </c>
      <c r="C472" s="665"/>
      <c r="D472" s="655">
        <v>2</v>
      </c>
      <c r="E472" s="236"/>
      <c r="F472" s="232" t="s">
        <v>2539</v>
      </c>
      <c r="G472" s="239" t="s">
        <v>2585</v>
      </c>
      <c r="H472" s="652"/>
      <c r="I472" s="656"/>
      <c r="J472" s="654"/>
    </row>
    <row r="473" spans="1:10" x14ac:dyDescent="0.35">
      <c r="A473" s="615" t="s">
        <v>3044</v>
      </c>
      <c r="B473" s="616" t="str">
        <f t="shared" si="7"/>
        <v/>
      </c>
      <c r="C473" s="665"/>
      <c r="D473" s="655">
        <v>2</v>
      </c>
      <c r="E473" s="236"/>
      <c r="F473" s="232" t="s">
        <v>2539</v>
      </c>
      <c r="G473" s="239" t="s">
        <v>2585</v>
      </c>
      <c r="H473" s="652"/>
      <c r="I473" s="656"/>
      <c r="J473" s="654"/>
    </row>
    <row r="474" spans="1:10" ht="48" x14ac:dyDescent="0.35">
      <c r="A474" s="615" t="s">
        <v>3045</v>
      </c>
      <c r="B474" s="616" t="str">
        <f t="shared" si="7"/>
        <v/>
      </c>
      <c r="C474" s="665"/>
      <c r="D474" s="655" t="s">
        <v>75</v>
      </c>
      <c r="E474" s="236"/>
      <c r="F474" s="232" t="s">
        <v>76</v>
      </c>
      <c r="G474" s="657" t="s">
        <v>2591</v>
      </c>
      <c r="H474" s="652"/>
      <c r="I474" s="656"/>
      <c r="J474" s="654"/>
    </row>
    <row r="475" spans="1:10" x14ac:dyDescent="0.35">
      <c r="A475" s="615" t="s">
        <v>3046</v>
      </c>
      <c r="B475" s="616" t="str">
        <f t="shared" si="7"/>
        <v/>
      </c>
      <c r="C475" s="665"/>
      <c r="D475" s="655">
        <v>2</v>
      </c>
      <c r="E475" s="236"/>
      <c r="F475" s="232" t="s">
        <v>2539</v>
      </c>
      <c r="G475" s="239"/>
      <c r="H475" s="652"/>
      <c r="I475" s="656"/>
      <c r="J475" s="654"/>
    </row>
    <row r="476" spans="1:10" x14ac:dyDescent="0.35">
      <c r="A476" s="615" t="s">
        <v>3047</v>
      </c>
      <c r="B476" s="616" t="str">
        <f t="shared" si="7"/>
        <v/>
      </c>
      <c r="C476" s="665"/>
      <c r="D476" s="655">
        <v>0</v>
      </c>
      <c r="E476" s="236"/>
      <c r="F476" s="232" t="s">
        <v>2538</v>
      </c>
      <c r="G476" s="239"/>
      <c r="H476" s="652"/>
      <c r="I476" s="656"/>
      <c r="J476" s="654"/>
    </row>
    <row r="477" spans="1:10" x14ac:dyDescent="0.35">
      <c r="A477" s="615" t="s">
        <v>3048</v>
      </c>
      <c r="B477" s="616" t="str">
        <f t="shared" si="7"/>
        <v/>
      </c>
      <c r="C477" s="665"/>
      <c r="D477" s="655">
        <v>0</v>
      </c>
      <c r="E477" s="236"/>
      <c r="F477" s="232" t="s">
        <v>2538</v>
      </c>
      <c r="G477" s="239"/>
      <c r="H477" s="652"/>
      <c r="I477" s="656"/>
      <c r="J477" s="654"/>
    </row>
    <row r="478" spans="1:10" x14ac:dyDescent="0.35">
      <c r="A478" s="615" t="s">
        <v>3049</v>
      </c>
      <c r="B478" s="616" t="str">
        <f t="shared" si="7"/>
        <v/>
      </c>
      <c r="C478" s="665"/>
      <c r="D478" s="655">
        <v>0</v>
      </c>
      <c r="E478" s="236"/>
      <c r="F478" s="232" t="s">
        <v>2538</v>
      </c>
      <c r="G478" s="239"/>
      <c r="H478" s="652"/>
      <c r="I478" s="656"/>
      <c r="J478" s="654"/>
    </row>
    <row r="479" spans="1:10" x14ac:dyDescent="0.35">
      <c r="A479" s="615" t="s">
        <v>3050</v>
      </c>
      <c r="B479" s="616" t="str">
        <f t="shared" si="7"/>
        <v/>
      </c>
      <c r="C479" s="665"/>
      <c r="D479" s="651">
        <v>2</v>
      </c>
      <c r="E479" s="236"/>
      <c r="F479" s="232" t="s">
        <v>2572</v>
      </c>
      <c r="G479" s="239"/>
      <c r="H479" s="652"/>
      <c r="I479" s="656"/>
      <c r="J479" s="654"/>
    </row>
    <row r="480" spans="1:10" x14ac:dyDescent="0.35">
      <c r="A480" s="615" t="s">
        <v>3051</v>
      </c>
      <c r="B480" s="616" t="str">
        <f t="shared" si="7"/>
        <v/>
      </c>
      <c r="C480" s="665"/>
      <c r="D480" s="651">
        <v>2</v>
      </c>
      <c r="E480" s="236"/>
      <c r="F480" s="232" t="s">
        <v>2572</v>
      </c>
      <c r="G480" s="239"/>
      <c r="H480" s="652"/>
      <c r="I480" s="656"/>
      <c r="J480" s="654"/>
    </row>
    <row r="481" spans="1:10" x14ac:dyDescent="0.35">
      <c r="A481" s="615" t="s">
        <v>3052</v>
      </c>
      <c r="B481" s="616" t="str">
        <f t="shared" si="7"/>
        <v/>
      </c>
      <c r="C481" s="665"/>
      <c r="D481" s="651">
        <v>2</v>
      </c>
      <c r="E481" s="236"/>
      <c r="F481" s="232" t="s">
        <v>2572</v>
      </c>
      <c r="G481" s="239"/>
      <c r="H481" s="652"/>
      <c r="I481" s="656"/>
      <c r="J481" s="654"/>
    </row>
    <row r="482" spans="1:10" x14ac:dyDescent="0.35">
      <c r="A482" s="615" t="s">
        <v>3053</v>
      </c>
      <c r="B482" s="616" t="str">
        <f t="shared" si="7"/>
        <v/>
      </c>
      <c r="C482" s="665"/>
      <c r="D482" s="651">
        <v>2</v>
      </c>
      <c r="E482" s="236"/>
      <c r="F482" s="232" t="s">
        <v>2572</v>
      </c>
      <c r="G482" s="239"/>
      <c r="H482" s="652"/>
      <c r="I482" s="656"/>
      <c r="J482" s="654"/>
    </row>
    <row r="483" spans="1:10" x14ac:dyDescent="0.35">
      <c r="A483" s="615" t="s">
        <v>3054</v>
      </c>
      <c r="B483" s="616" t="str">
        <f t="shared" si="7"/>
        <v/>
      </c>
      <c r="C483" s="665"/>
      <c r="D483" s="651">
        <v>2</v>
      </c>
      <c r="E483" s="236"/>
      <c r="F483" s="232" t="s">
        <v>2572</v>
      </c>
      <c r="G483" s="239"/>
      <c r="H483" s="652"/>
      <c r="I483" s="656"/>
      <c r="J483" s="654"/>
    </row>
    <row r="484" spans="1:10" x14ac:dyDescent="0.35">
      <c r="A484" s="615" t="s">
        <v>3055</v>
      </c>
      <c r="B484" s="616" t="str">
        <f t="shared" si="7"/>
        <v/>
      </c>
      <c r="C484" s="665"/>
      <c r="D484" s="655">
        <v>6</v>
      </c>
      <c r="E484" s="236"/>
      <c r="F484" s="232" t="s">
        <v>2579</v>
      </c>
      <c r="G484" s="239" t="s">
        <v>2583</v>
      </c>
      <c r="H484" s="652"/>
      <c r="I484" s="656"/>
      <c r="J484" s="654"/>
    </row>
    <row r="485" spans="1:10" x14ac:dyDescent="0.35">
      <c r="A485" s="615" t="s">
        <v>3056</v>
      </c>
      <c r="B485" s="616" t="str">
        <f t="shared" si="7"/>
        <v/>
      </c>
      <c r="C485" s="665"/>
      <c r="D485" s="655" t="s">
        <v>75</v>
      </c>
      <c r="E485" s="236"/>
      <c r="F485" s="232" t="s">
        <v>76</v>
      </c>
      <c r="G485" s="239"/>
      <c r="H485" s="652"/>
      <c r="I485" s="656"/>
      <c r="J485" s="654"/>
    </row>
    <row r="486" spans="1:10" x14ac:dyDescent="0.35">
      <c r="A486" s="615" t="s">
        <v>3057</v>
      </c>
      <c r="B486" s="616" t="str">
        <f t="shared" si="7"/>
        <v/>
      </c>
      <c r="C486" s="665"/>
      <c r="D486" s="655">
        <v>2</v>
      </c>
      <c r="E486" s="236"/>
      <c r="F486" s="232" t="s">
        <v>2539</v>
      </c>
      <c r="G486" s="239" t="s">
        <v>2585</v>
      </c>
      <c r="H486" s="652"/>
      <c r="I486" s="656"/>
      <c r="J486" s="654"/>
    </row>
    <row r="487" spans="1:10" x14ac:dyDescent="0.35">
      <c r="A487" s="615" t="s">
        <v>3058</v>
      </c>
      <c r="B487" s="616" t="str">
        <f t="shared" si="7"/>
        <v/>
      </c>
      <c r="C487" s="665"/>
      <c r="D487" s="655">
        <v>2</v>
      </c>
      <c r="E487" s="236"/>
      <c r="F487" s="232" t="s">
        <v>2539</v>
      </c>
      <c r="G487" s="239" t="s">
        <v>2585</v>
      </c>
      <c r="H487" s="652"/>
      <c r="I487" s="656"/>
      <c r="J487" s="654"/>
    </row>
    <row r="488" spans="1:10" x14ac:dyDescent="0.35">
      <c r="A488" s="615" t="s">
        <v>3059</v>
      </c>
      <c r="B488" s="616" t="str">
        <f t="shared" si="7"/>
        <v/>
      </c>
      <c r="C488" s="665"/>
      <c r="D488" s="655">
        <v>2</v>
      </c>
      <c r="E488" s="236"/>
      <c r="F488" s="232" t="s">
        <v>2539</v>
      </c>
      <c r="G488" s="239" t="s">
        <v>2585</v>
      </c>
      <c r="H488" s="652"/>
      <c r="I488" s="656"/>
      <c r="J488" s="654"/>
    </row>
    <row r="489" spans="1:10" x14ac:dyDescent="0.35">
      <c r="A489" s="615" t="s">
        <v>3060</v>
      </c>
      <c r="B489" s="616" t="str">
        <f t="shared" si="7"/>
        <v/>
      </c>
      <c r="C489" s="665"/>
      <c r="D489" s="655">
        <v>2</v>
      </c>
      <c r="E489" s="236"/>
      <c r="F489" s="232" t="s">
        <v>2539</v>
      </c>
      <c r="G489" s="239" t="s">
        <v>2585</v>
      </c>
      <c r="H489" s="652"/>
      <c r="I489" s="656"/>
      <c r="J489" s="654"/>
    </row>
    <row r="490" spans="1:10" x14ac:dyDescent="0.35">
      <c r="A490" s="615" t="s">
        <v>3061</v>
      </c>
      <c r="B490" s="616" t="str">
        <f t="shared" si="7"/>
        <v/>
      </c>
      <c r="C490" s="665"/>
      <c r="D490" s="655">
        <v>2</v>
      </c>
      <c r="E490" s="236"/>
      <c r="F490" s="232" t="s">
        <v>2539</v>
      </c>
      <c r="G490" s="239" t="s">
        <v>2585</v>
      </c>
      <c r="H490" s="652"/>
      <c r="I490" s="656"/>
      <c r="J490" s="654"/>
    </row>
    <row r="491" spans="1:10" x14ac:dyDescent="0.35">
      <c r="A491" s="615" t="s">
        <v>3062</v>
      </c>
      <c r="B491" s="616" t="str">
        <f t="shared" si="7"/>
        <v/>
      </c>
      <c r="C491" s="665"/>
      <c r="D491" s="655">
        <v>2</v>
      </c>
      <c r="E491" s="236"/>
      <c r="F491" s="232" t="s">
        <v>2539</v>
      </c>
      <c r="G491" s="239" t="s">
        <v>2585</v>
      </c>
      <c r="H491" s="652"/>
      <c r="I491" s="656"/>
      <c r="J491" s="654"/>
    </row>
    <row r="492" spans="1:10" ht="48" x14ac:dyDescent="0.35">
      <c r="A492" s="615" t="s">
        <v>3063</v>
      </c>
      <c r="B492" s="616" t="str">
        <f t="shared" si="7"/>
        <v/>
      </c>
      <c r="C492" s="665"/>
      <c r="D492" s="655" t="s">
        <v>75</v>
      </c>
      <c r="E492" s="236"/>
      <c r="F492" s="232" t="s">
        <v>76</v>
      </c>
      <c r="G492" s="657" t="s">
        <v>2591</v>
      </c>
      <c r="H492" s="652"/>
      <c r="I492" s="656"/>
      <c r="J492" s="654"/>
    </row>
    <row r="493" spans="1:10" x14ac:dyDescent="0.35">
      <c r="A493" s="615" t="s">
        <v>3064</v>
      </c>
      <c r="B493" s="616" t="str">
        <f t="shared" si="7"/>
        <v/>
      </c>
      <c r="C493" s="665"/>
      <c r="D493" s="655">
        <v>2</v>
      </c>
      <c r="E493" s="236"/>
      <c r="F493" s="232" t="s">
        <v>2539</v>
      </c>
      <c r="G493" s="239"/>
      <c r="H493" s="652"/>
      <c r="I493" s="656"/>
      <c r="J493" s="654"/>
    </row>
    <row r="494" spans="1:10" x14ac:dyDescent="0.35">
      <c r="A494" s="615" t="s">
        <v>3065</v>
      </c>
      <c r="B494" s="616" t="str">
        <f t="shared" si="7"/>
        <v/>
      </c>
      <c r="C494" s="665"/>
      <c r="D494" s="655">
        <v>0</v>
      </c>
      <c r="E494" s="236"/>
      <c r="F494" s="232" t="s">
        <v>2538</v>
      </c>
      <c r="G494" s="239"/>
      <c r="H494" s="652"/>
      <c r="I494" s="656"/>
      <c r="J494" s="654"/>
    </row>
    <row r="495" spans="1:10" x14ac:dyDescent="0.35">
      <c r="A495" s="615" t="s">
        <v>3066</v>
      </c>
      <c r="B495" s="616" t="str">
        <f t="shared" si="7"/>
        <v/>
      </c>
      <c r="C495" s="665"/>
      <c r="D495" s="655">
        <v>0</v>
      </c>
      <c r="E495" s="236"/>
      <c r="F495" s="232" t="s">
        <v>2538</v>
      </c>
      <c r="G495" s="239"/>
      <c r="H495" s="652"/>
      <c r="I495" s="656"/>
      <c r="J495" s="654"/>
    </row>
    <row r="496" spans="1:10" x14ac:dyDescent="0.35">
      <c r="A496" s="615" t="s">
        <v>3067</v>
      </c>
      <c r="B496" s="616" t="str">
        <f t="shared" si="7"/>
        <v/>
      </c>
      <c r="C496" s="665"/>
      <c r="D496" s="655">
        <v>0</v>
      </c>
      <c r="E496" s="236"/>
      <c r="F496" s="232" t="s">
        <v>2538</v>
      </c>
      <c r="G496" s="239"/>
      <c r="H496" s="652"/>
      <c r="I496" s="656"/>
      <c r="J496" s="654"/>
    </row>
    <row r="497" spans="1:10" x14ac:dyDescent="0.35">
      <c r="A497" s="615" t="s">
        <v>3068</v>
      </c>
      <c r="B497" s="616" t="str">
        <f t="shared" si="7"/>
        <v/>
      </c>
      <c r="C497" s="665"/>
      <c r="D497" s="651">
        <v>2</v>
      </c>
      <c r="E497" s="236"/>
      <c r="F497" s="232" t="s">
        <v>2572</v>
      </c>
      <c r="G497" s="239"/>
      <c r="H497" s="652"/>
      <c r="I497" s="656"/>
      <c r="J497" s="654"/>
    </row>
    <row r="498" spans="1:10" x14ac:dyDescent="0.35">
      <c r="A498" s="615" t="s">
        <v>3069</v>
      </c>
      <c r="B498" s="616" t="str">
        <f t="shared" si="7"/>
        <v/>
      </c>
      <c r="C498" s="665"/>
      <c r="D498" s="651">
        <v>2</v>
      </c>
      <c r="E498" s="236"/>
      <c r="F498" s="232" t="s">
        <v>2572</v>
      </c>
      <c r="G498" s="239"/>
      <c r="H498" s="652"/>
      <c r="I498" s="656"/>
      <c r="J498" s="654"/>
    </row>
    <row r="499" spans="1:10" x14ac:dyDescent="0.35">
      <c r="A499" s="615" t="s">
        <v>3070</v>
      </c>
      <c r="B499" s="616" t="str">
        <f t="shared" si="7"/>
        <v/>
      </c>
      <c r="C499" s="665"/>
      <c r="D499" s="651">
        <v>2</v>
      </c>
      <c r="E499" s="236"/>
      <c r="F499" s="232" t="s">
        <v>2572</v>
      </c>
      <c r="G499" s="239"/>
      <c r="H499" s="652"/>
      <c r="I499" s="656"/>
      <c r="J499" s="654"/>
    </row>
    <row r="500" spans="1:10" x14ac:dyDescent="0.35">
      <c r="A500" s="615" t="s">
        <v>3071</v>
      </c>
      <c r="B500" s="616" t="str">
        <f t="shared" si="7"/>
        <v/>
      </c>
      <c r="C500" s="665"/>
      <c r="D500" s="651">
        <v>2</v>
      </c>
      <c r="E500" s="236"/>
      <c r="F500" s="232" t="s">
        <v>2572</v>
      </c>
      <c r="G500" s="239"/>
      <c r="H500" s="652"/>
      <c r="I500" s="656"/>
      <c r="J500" s="654"/>
    </row>
    <row r="501" spans="1:10" x14ac:dyDescent="0.35">
      <c r="A501" s="615" t="s">
        <v>3072</v>
      </c>
      <c r="B501" s="616" t="str">
        <f t="shared" si="7"/>
        <v/>
      </c>
      <c r="C501" s="665"/>
      <c r="D501" s="651">
        <v>2</v>
      </c>
      <c r="E501" s="236"/>
      <c r="F501" s="232" t="s">
        <v>2572</v>
      </c>
      <c r="G501" s="239"/>
      <c r="H501" s="652"/>
      <c r="I501" s="656"/>
      <c r="J501" s="654"/>
    </row>
    <row r="502" spans="1:10" x14ac:dyDescent="0.35">
      <c r="A502" s="615" t="s">
        <v>3073</v>
      </c>
      <c r="B502" s="616" t="str">
        <f t="shared" si="7"/>
        <v/>
      </c>
      <c r="C502" s="665"/>
      <c r="D502" s="655">
        <v>6</v>
      </c>
      <c r="E502" s="236"/>
      <c r="F502" s="232" t="s">
        <v>2579</v>
      </c>
      <c r="G502" s="239" t="s">
        <v>2583</v>
      </c>
      <c r="H502" s="652"/>
      <c r="I502" s="656"/>
      <c r="J502" s="654"/>
    </row>
    <row r="503" spans="1:10" x14ac:dyDescent="0.35">
      <c r="A503" s="615" t="s">
        <v>3074</v>
      </c>
      <c r="B503" s="616" t="str">
        <f t="shared" si="7"/>
        <v/>
      </c>
      <c r="C503" s="665"/>
      <c r="D503" s="655" t="s">
        <v>75</v>
      </c>
      <c r="E503" s="236"/>
      <c r="F503" s="232" t="s">
        <v>76</v>
      </c>
      <c r="G503" s="239"/>
      <c r="H503" s="652"/>
      <c r="I503" s="656"/>
      <c r="J503" s="654"/>
    </row>
    <row r="504" spans="1:10" x14ac:dyDescent="0.35">
      <c r="A504" s="615" t="s">
        <v>3075</v>
      </c>
      <c r="B504" s="616" t="str">
        <f t="shared" si="7"/>
        <v/>
      </c>
      <c r="C504" s="665"/>
      <c r="D504" s="655">
        <v>2</v>
      </c>
      <c r="E504" s="236"/>
      <c r="F504" s="232" t="s">
        <v>2539</v>
      </c>
      <c r="G504" s="239" t="s">
        <v>2585</v>
      </c>
      <c r="H504" s="652"/>
      <c r="I504" s="656"/>
      <c r="J504" s="654"/>
    </row>
    <row r="505" spans="1:10" x14ac:dyDescent="0.35">
      <c r="A505" s="615" t="s">
        <v>3076</v>
      </c>
      <c r="B505" s="616" t="str">
        <f t="shared" si="7"/>
        <v/>
      </c>
      <c r="C505" s="665"/>
      <c r="D505" s="655">
        <v>2</v>
      </c>
      <c r="E505" s="236"/>
      <c r="F505" s="232" t="s">
        <v>2539</v>
      </c>
      <c r="G505" s="239" t="s">
        <v>2585</v>
      </c>
      <c r="H505" s="652"/>
      <c r="I505" s="656"/>
      <c r="J505" s="654"/>
    </row>
    <row r="506" spans="1:10" x14ac:dyDescent="0.35">
      <c r="A506" s="615" t="s">
        <v>3077</v>
      </c>
      <c r="B506" s="616" t="str">
        <f t="shared" si="7"/>
        <v/>
      </c>
      <c r="C506" s="665"/>
      <c r="D506" s="655">
        <v>2</v>
      </c>
      <c r="E506" s="236"/>
      <c r="F506" s="232" t="s">
        <v>2539</v>
      </c>
      <c r="G506" s="239" t="s">
        <v>2585</v>
      </c>
      <c r="H506" s="652"/>
      <c r="I506" s="656"/>
      <c r="J506" s="654"/>
    </row>
    <row r="507" spans="1:10" x14ac:dyDescent="0.35">
      <c r="A507" s="615" t="s">
        <v>3078</v>
      </c>
      <c r="B507" s="616" t="str">
        <f t="shared" si="7"/>
        <v/>
      </c>
      <c r="C507" s="665"/>
      <c r="D507" s="655">
        <v>2</v>
      </c>
      <c r="E507" s="236"/>
      <c r="F507" s="232" t="s">
        <v>2539</v>
      </c>
      <c r="G507" s="239" t="s">
        <v>2585</v>
      </c>
      <c r="H507" s="652"/>
      <c r="I507" s="656"/>
      <c r="J507" s="654"/>
    </row>
    <row r="508" spans="1:10" x14ac:dyDescent="0.35">
      <c r="A508" s="615" t="s">
        <v>3079</v>
      </c>
      <c r="B508" s="616" t="str">
        <f t="shared" si="7"/>
        <v/>
      </c>
      <c r="C508" s="665"/>
      <c r="D508" s="655">
        <v>2</v>
      </c>
      <c r="E508" s="236"/>
      <c r="F508" s="232" t="s">
        <v>2539</v>
      </c>
      <c r="G508" s="239" t="s">
        <v>2585</v>
      </c>
      <c r="H508" s="652"/>
      <c r="I508" s="656"/>
      <c r="J508" s="654"/>
    </row>
    <row r="509" spans="1:10" x14ac:dyDescent="0.35">
      <c r="A509" s="615" t="s">
        <v>3080</v>
      </c>
      <c r="B509" s="616" t="str">
        <f t="shared" si="7"/>
        <v/>
      </c>
      <c r="C509" s="665"/>
      <c r="D509" s="655">
        <v>2</v>
      </c>
      <c r="E509" s="236"/>
      <c r="F509" s="232" t="s">
        <v>2539</v>
      </c>
      <c r="G509" s="239" t="s">
        <v>2585</v>
      </c>
      <c r="H509" s="652"/>
      <c r="I509" s="656"/>
      <c r="J509" s="654"/>
    </row>
    <row r="510" spans="1:10" ht="48" x14ac:dyDescent="0.35">
      <c r="A510" s="615" t="s">
        <v>3081</v>
      </c>
      <c r="B510" s="616" t="str">
        <f t="shared" si="7"/>
        <v/>
      </c>
      <c r="C510" s="665"/>
      <c r="D510" s="655" t="s">
        <v>75</v>
      </c>
      <c r="E510" s="236"/>
      <c r="F510" s="232" t="s">
        <v>76</v>
      </c>
      <c r="G510" s="657" t="s">
        <v>2591</v>
      </c>
      <c r="H510" s="652"/>
      <c r="I510" s="656"/>
      <c r="J510" s="654"/>
    </row>
    <row r="511" spans="1:10" x14ac:dyDescent="0.35">
      <c r="A511" s="615" t="s">
        <v>3082</v>
      </c>
      <c r="B511" s="616" t="str">
        <f t="shared" si="7"/>
        <v/>
      </c>
      <c r="C511" s="665"/>
      <c r="D511" s="655">
        <v>2</v>
      </c>
      <c r="E511" s="236"/>
      <c r="F511" s="232" t="s">
        <v>2539</v>
      </c>
      <c r="G511" s="239"/>
      <c r="H511" s="652"/>
      <c r="I511" s="656"/>
      <c r="J511" s="654"/>
    </row>
    <row r="512" spans="1:10" x14ac:dyDescent="0.35">
      <c r="A512" s="615" t="s">
        <v>3083</v>
      </c>
      <c r="B512" s="616" t="str">
        <f t="shared" si="7"/>
        <v/>
      </c>
      <c r="C512" s="665"/>
      <c r="D512" s="655">
        <v>0</v>
      </c>
      <c r="E512" s="236"/>
      <c r="F512" s="232" t="s">
        <v>2538</v>
      </c>
      <c r="G512" s="239"/>
      <c r="H512" s="652"/>
      <c r="I512" s="656"/>
      <c r="J512" s="654"/>
    </row>
    <row r="513" spans="1:10" x14ac:dyDescent="0.35">
      <c r="A513" s="615" t="s">
        <v>3084</v>
      </c>
      <c r="B513" s="616" t="str">
        <f t="shared" si="7"/>
        <v/>
      </c>
      <c r="C513" s="665"/>
      <c r="D513" s="655">
        <v>0</v>
      </c>
      <c r="E513" s="236"/>
      <c r="F513" s="232" t="s">
        <v>2538</v>
      </c>
      <c r="G513" s="239"/>
      <c r="H513" s="652"/>
      <c r="I513" s="656"/>
      <c r="J513" s="654"/>
    </row>
    <row r="514" spans="1:10" x14ac:dyDescent="0.35">
      <c r="A514" s="615" t="s">
        <v>3085</v>
      </c>
      <c r="B514" s="616" t="str">
        <f t="shared" si="7"/>
        <v/>
      </c>
      <c r="C514" s="665"/>
      <c r="D514" s="655">
        <v>0</v>
      </c>
      <c r="E514" s="236"/>
      <c r="F514" s="232" t="s">
        <v>2538</v>
      </c>
      <c r="G514" s="239"/>
      <c r="H514" s="652"/>
      <c r="I514" s="656"/>
      <c r="J514" s="654"/>
    </row>
    <row r="515" spans="1:10" x14ac:dyDescent="0.35">
      <c r="A515" s="615" t="s">
        <v>3086</v>
      </c>
      <c r="B515" s="616" t="str">
        <f t="shared" si="7"/>
        <v/>
      </c>
      <c r="C515" s="665"/>
      <c r="D515" s="651">
        <v>2</v>
      </c>
      <c r="E515" s="236"/>
      <c r="F515" s="232" t="s">
        <v>2572</v>
      </c>
      <c r="G515" s="239"/>
      <c r="H515" s="652"/>
      <c r="I515" s="656"/>
      <c r="J515" s="654"/>
    </row>
    <row r="516" spans="1:10" x14ac:dyDescent="0.35">
      <c r="A516" s="615" t="s">
        <v>3087</v>
      </c>
      <c r="B516" s="616" t="str">
        <f t="shared" ref="B516:B579" si="8">IF(C516="","",IF(D516="Datum",TEXT(DAY(C516),"00")&amp;"."&amp;TEXT(MONTH(C516),"00")&amp;"."&amp;TEXT(YEAR(C516),"0000"),IF(AND(ISNUMBER(C516),D516="x"),TEXT(C516,"@"),IF(ISNUMBER(C516),TEXT(ROUNDDOWN(C516,0),0)&amp;IF(D516=0,"","."&amp;IF(C516-ROUNDDOWN(C516,0)=0,LEFT("0000000000",D516),TEXT((C516-ROUNDDOWN(C516,0))*(1&amp; LEFT("0000000000",$D516)),LEFT("0000000000",$D516)))),C516))))</f>
        <v/>
      </c>
      <c r="C516" s="665"/>
      <c r="D516" s="651">
        <v>2</v>
      </c>
      <c r="E516" s="236"/>
      <c r="F516" s="232" t="s">
        <v>2572</v>
      </c>
      <c r="G516" s="239"/>
      <c r="H516" s="652"/>
      <c r="I516" s="656"/>
      <c r="J516" s="654"/>
    </row>
    <row r="517" spans="1:10" x14ac:dyDescent="0.35">
      <c r="A517" s="615" t="s">
        <v>3088</v>
      </c>
      <c r="B517" s="616" t="str">
        <f t="shared" si="8"/>
        <v/>
      </c>
      <c r="C517" s="665"/>
      <c r="D517" s="651">
        <v>2</v>
      </c>
      <c r="E517" s="236"/>
      <c r="F517" s="232" t="s">
        <v>2572</v>
      </c>
      <c r="G517" s="239"/>
      <c r="H517" s="652"/>
      <c r="I517" s="656"/>
      <c r="J517" s="654"/>
    </row>
    <row r="518" spans="1:10" x14ac:dyDescent="0.35">
      <c r="A518" s="615" t="s">
        <v>3089</v>
      </c>
      <c r="B518" s="616" t="str">
        <f t="shared" si="8"/>
        <v/>
      </c>
      <c r="C518" s="665"/>
      <c r="D518" s="651">
        <v>2</v>
      </c>
      <c r="E518" s="236"/>
      <c r="F518" s="232" t="s">
        <v>2572</v>
      </c>
      <c r="G518" s="239"/>
      <c r="H518" s="652"/>
      <c r="I518" s="656"/>
      <c r="J518" s="654"/>
    </row>
    <row r="519" spans="1:10" x14ac:dyDescent="0.35">
      <c r="A519" s="615" t="s">
        <v>3090</v>
      </c>
      <c r="B519" s="616" t="str">
        <f t="shared" si="8"/>
        <v/>
      </c>
      <c r="C519" s="665"/>
      <c r="D519" s="651">
        <v>2</v>
      </c>
      <c r="E519" s="236"/>
      <c r="F519" s="232" t="s">
        <v>2572</v>
      </c>
      <c r="G519" s="239"/>
      <c r="H519" s="652"/>
      <c r="I519" s="656"/>
      <c r="J519" s="654"/>
    </row>
    <row r="520" spans="1:10" x14ac:dyDescent="0.35">
      <c r="A520" s="615" t="s">
        <v>3091</v>
      </c>
      <c r="B520" s="616" t="str">
        <f t="shared" si="8"/>
        <v/>
      </c>
      <c r="C520" s="665"/>
      <c r="D520" s="655">
        <v>6</v>
      </c>
      <c r="E520" s="236"/>
      <c r="F520" s="232" t="s">
        <v>2579</v>
      </c>
      <c r="G520" s="239" t="s">
        <v>2583</v>
      </c>
      <c r="H520" s="652"/>
      <c r="I520" s="656"/>
      <c r="J520" s="654"/>
    </row>
    <row r="521" spans="1:10" x14ac:dyDescent="0.35">
      <c r="A521" s="615" t="s">
        <v>3092</v>
      </c>
      <c r="B521" s="616" t="str">
        <f t="shared" si="8"/>
        <v/>
      </c>
      <c r="C521" s="665"/>
      <c r="D521" s="655" t="s">
        <v>75</v>
      </c>
      <c r="E521" s="236"/>
      <c r="F521" s="232" t="s">
        <v>76</v>
      </c>
      <c r="G521" s="239"/>
      <c r="H521" s="652"/>
      <c r="I521" s="656"/>
      <c r="J521" s="654"/>
    </row>
    <row r="522" spans="1:10" x14ac:dyDescent="0.35">
      <c r="A522" s="615" t="s">
        <v>3093</v>
      </c>
      <c r="B522" s="616" t="str">
        <f t="shared" si="8"/>
        <v/>
      </c>
      <c r="C522" s="665"/>
      <c r="D522" s="655">
        <v>2</v>
      </c>
      <c r="E522" s="236"/>
      <c r="F522" s="232" t="s">
        <v>2539</v>
      </c>
      <c r="G522" s="239" t="s">
        <v>2585</v>
      </c>
      <c r="H522" s="652"/>
      <c r="I522" s="656"/>
      <c r="J522" s="654"/>
    </row>
    <row r="523" spans="1:10" x14ac:dyDescent="0.35">
      <c r="A523" s="615" t="s">
        <v>3094</v>
      </c>
      <c r="B523" s="616" t="str">
        <f t="shared" si="8"/>
        <v/>
      </c>
      <c r="C523" s="665"/>
      <c r="D523" s="655">
        <v>2</v>
      </c>
      <c r="E523" s="236"/>
      <c r="F523" s="232" t="s">
        <v>2539</v>
      </c>
      <c r="G523" s="239" t="s">
        <v>2585</v>
      </c>
      <c r="H523" s="652"/>
      <c r="I523" s="656"/>
      <c r="J523" s="654"/>
    </row>
    <row r="524" spans="1:10" x14ac:dyDescent="0.35">
      <c r="A524" s="615" t="s">
        <v>3095</v>
      </c>
      <c r="B524" s="616" t="str">
        <f t="shared" si="8"/>
        <v/>
      </c>
      <c r="C524" s="665"/>
      <c r="D524" s="655">
        <v>2</v>
      </c>
      <c r="E524" s="236"/>
      <c r="F524" s="232" t="s">
        <v>2539</v>
      </c>
      <c r="G524" s="239" t="s">
        <v>2585</v>
      </c>
      <c r="H524" s="652"/>
      <c r="I524" s="656"/>
      <c r="J524" s="654"/>
    </row>
    <row r="525" spans="1:10" x14ac:dyDescent="0.35">
      <c r="A525" s="615" t="s">
        <v>3096</v>
      </c>
      <c r="B525" s="616" t="str">
        <f t="shared" si="8"/>
        <v/>
      </c>
      <c r="C525" s="665"/>
      <c r="D525" s="655">
        <v>2</v>
      </c>
      <c r="E525" s="236"/>
      <c r="F525" s="232" t="s">
        <v>2539</v>
      </c>
      <c r="G525" s="239" t="s">
        <v>2585</v>
      </c>
      <c r="H525" s="652"/>
      <c r="I525" s="656"/>
      <c r="J525" s="654"/>
    </row>
    <row r="526" spans="1:10" x14ac:dyDescent="0.35">
      <c r="A526" s="615" t="s">
        <v>3097</v>
      </c>
      <c r="B526" s="616" t="str">
        <f t="shared" si="8"/>
        <v/>
      </c>
      <c r="C526" s="665"/>
      <c r="D526" s="655">
        <v>2</v>
      </c>
      <c r="E526" s="236"/>
      <c r="F526" s="232" t="s">
        <v>2539</v>
      </c>
      <c r="G526" s="239" t="s">
        <v>2585</v>
      </c>
      <c r="H526" s="652"/>
      <c r="I526" s="656"/>
      <c r="J526" s="654"/>
    </row>
    <row r="527" spans="1:10" x14ac:dyDescent="0.35">
      <c r="A527" s="615" t="s">
        <v>3098</v>
      </c>
      <c r="B527" s="616" t="str">
        <f t="shared" si="8"/>
        <v/>
      </c>
      <c r="C527" s="665"/>
      <c r="D527" s="655">
        <v>2</v>
      </c>
      <c r="E527" s="236"/>
      <c r="F527" s="232" t="s">
        <v>2539</v>
      </c>
      <c r="G527" s="239" t="s">
        <v>2585</v>
      </c>
      <c r="H527" s="652"/>
      <c r="I527" s="656"/>
      <c r="J527" s="654"/>
    </row>
    <row r="528" spans="1:10" ht="48" x14ac:dyDescent="0.35">
      <c r="A528" s="615" t="s">
        <v>3099</v>
      </c>
      <c r="B528" s="616" t="str">
        <f t="shared" si="8"/>
        <v/>
      </c>
      <c r="C528" s="665"/>
      <c r="D528" s="655" t="s">
        <v>75</v>
      </c>
      <c r="E528" s="236"/>
      <c r="F528" s="232" t="s">
        <v>76</v>
      </c>
      <c r="G528" s="657" t="s">
        <v>2591</v>
      </c>
      <c r="H528" s="652"/>
      <c r="I528" s="656"/>
      <c r="J528" s="654"/>
    </row>
    <row r="529" spans="1:10" x14ac:dyDescent="0.35">
      <c r="A529" s="615" t="s">
        <v>3100</v>
      </c>
      <c r="B529" s="616" t="str">
        <f t="shared" si="8"/>
        <v/>
      </c>
      <c r="C529" s="665"/>
      <c r="D529" s="655">
        <v>2</v>
      </c>
      <c r="E529" s="236"/>
      <c r="F529" s="232" t="s">
        <v>2539</v>
      </c>
      <c r="G529" s="239"/>
      <c r="H529" s="652"/>
      <c r="I529" s="656"/>
      <c r="J529" s="654"/>
    </row>
    <row r="530" spans="1:10" x14ac:dyDescent="0.35">
      <c r="A530" s="615" t="s">
        <v>3101</v>
      </c>
      <c r="B530" s="616" t="str">
        <f t="shared" si="8"/>
        <v/>
      </c>
      <c r="C530" s="665"/>
      <c r="D530" s="655">
        <v>0</v>
      </c>
      <c r="E530" s="236"/>
      <c r="F530" s="232" t="s">
        <v>2538</v>
      </c>
      <c r="G530" s="239"/>
      <c r="H530" s="652"/>
      <c r="I530" s="656"/>
      <c r="J530" s="654"/>
    </row>
    <row r="531" spans="1:10" x14ac:dyDescent="0.35">
      <c r="A531" s="615" t="s">
        <v>3102</v>
      </c>
      <c r="B531" s="616" t="str">
        <f t="shared" si="8"/>
        <v/>
      </c>
      <c r="C531" s="665"/>
      <c r="D531" s="655">
        <v>0</v>
      </c>
      <c r="E531" s="236"/>
      <c r="F531" s="232" t="s">
        <v>2538</v>
      </c>
      <c r="G531" s="239"/>
      <c r="H531" s="652"/>
      <c r="I531" s="656"/>
      <c r="J531" s="654"/>
    </row>
    <row r="532" spans="1:10" x14ac:dyDescent="0.35">
      <c r="A532" s="615" t="s">
        <v>3103</v>
      </c>
      <c r="B532" s="616" t="str">
        <f t="shared" si="8"/>
        <v/>
      </c>
      <c r="C532" s="665"/>
      <c r="D532" s="655">
        <v>0</v>
      </c>
      <c r="E532" s="236"/>
      <c r="F532" s="232" t="s">
        <v>2538</v>
      </c>
      <c r="G532" s="239"/>
      <c r="H532" s="652"/>
      <c r="I532" s="656"/>
      <c r="J532" s="654"/>
    </row>
    <row r="533" spans="1:10" x14ac:dyDescent="0.35">
      <c r="A533" s="615" t="s">
        <v>3104</v>
      </c>
      <c r="B533" s="616" t="str">
        <f t="shared" si="8"/>
        <v/>
      </c>
      <c r="C533" s="665"/>
      <c r="D533" s="651">
        <v>2</v>
      </c>
      <c r="E533" s="236"/>
      <c r="F533" s="232" t="s">
        <v>2572</v>
      </c>
      <c r="G533" s="239"/>
      <c r="H533" s="652"/>
      <c r="I533" s="656"/>
      <c r="J533" s="654"/>
    </row>
    <row r="534" spans="1:10" x14ac:dyDescent="0.35">
      <c r="A534" s="615" t="s">
        <v>3105</v>
      </c>
      <c r="B534" s="616" t="str">
        <f t="shared" si="8"/>
        <v/>
      </c>
      <c r="C534" s="665"/>
      <c r="D534" s="651">
        <v>2</v>
      </c>
      <c r="E534" s="236"/>
      <c r="F534" s="232" t="s">
        <v>2572</v>
      </c>
      <c r="G534" s="239"/>
      <c r="H534" s="652"/>
      <c r="I534" s="656"/>
      <c r="J534" s="654"/>
    </row>
    <row r="535" spans="1:10" x14ac:dyDescent="0.35">
      <c r="A535" s="615" t="s">
        <v>3106</v>
      </c>
      <c r="B535" s="616" t="str">
        <f t="shared" si="8"/>
        <v/>
      </c>
      <c r="C535" s="665"/>
      <c r="D535" s="651">
        <v>2</v>
      </c>
      <c r="E535" s="236"/>
      <c r="F535" s="232" t="s">
        <v>2572</v>
      </c>
      <c r="G535" s="239"/>
      <c r="H535" s="652"/>
      <c r="I535" s="656"/>
      <c r="J535" s="654"/>
    </row>
    <row r="536" spans="1:10" x14ac:dyDescent="0.35">
      <c r="A536" s="615" t="s">
        <v>3107</v>
      </c>
      <c r="B536" s="616" t="str">
        <f t="shared" si="8"/>
        <v/>
      </c>
      <c r="C536" s="665"/>
      <c r="D536" s="651">
        <v>2</v>
      </c>
      <c r="E536" s="236"/>
      <c r="F536" s="232" t="s">
        <v>2572</v>
      </c>
      <c r="G536" s="239"/>
      <c r="H536" s="652"/>
      <c r="I536" s="656"/>
      <c r="J536" s="654"/>
    </row>
    <row r="537" spans="1:10" x14ac:dyDescent="0.35">
      <c r="A537" s="615" t="s">
        <v>3108</v>
      </c>
      <c r="B537" s="616" t="str">
        <f t="shared" si="8"/>
        <v/>
      </c>
      <c r="C537" s="665"/>
      <c r="D537" s="651">
        <v>2</v>
      </c>
      <c r="E537" s="236"/>
      <c r="F537" s="232" t="s">
        <v>2572</v>
      </c>
      <c r="G537" s="239"/>
      <c r="H537" s="652"/>
      <c r="I537" s="656"/>
      <c r="J537" s="654"/>
    </row>
    <row r="538" spans="1:10" x14ac:dyDescent="0.35">
      <c r="A538" s="615" t="s">
        <v>3109</v>
      </c>
      <c r="B538" s="616" t="str">
        <f t="shared" si="8"/>
        <v/>
      </c>
      <c r="C538" s="665"/>
      <c r="D538" s="655">
        <v>6</v>
      </c>
      <c r="E538" s="236"/>
      <c r="F538" s="232" t="s">
        <v>2579</v>
      </c>
      <c r="G538" s="239" t="s">
        <v>2583</v>
      </c>
      <c r="H538" s="652"/>
      <c r="I538" s="656"/>
      <c r="J538" s="654"/>
    </row>
    <row r="539" spans="1:10" x14ac:dyDescent="0.35">
      <c r="A539" s="615" t="s">
        <v>3110</v>
      </c>
      <c r="B539" s="616" t="str">
        <f t="shared" si="8"/>
        <v/>
      </c>
      <c r="C539" s="665"/>
      <c r="D539" s="655" t="s">
        <v>75</v>
      </c>
      <c r="E539" s="236"/>
      <c r="F539" s="232" t="s">
        <v>76</v>
      </c>
      <c r="G539" s="239"/>
      <c r="H539" s="652"/>
      <c r="I539" s="656"/>
      <c r="J539" s="654"/>
    </row>
    <row r="540" spans="1:10" x14ac:dyDescent="0.35">
      <c r="A540" s="615" t="s">
        <v>3111</v>
      </c>
      <c r="B540" s="616" t="str">
        <f t="shared" si="8"/>
        <v/>
      </c>
      <c r="C540" s="665"/>
      <c r="D540" s="655">
        <v>2</v>
      </c>
      <c r="E540" s="236"/>
      <c r="F540" s="232" t="s">
        <v>2539</v>
      </c>
      <c r="G540" s="239" t="s">
        <v>2585</v>
      </c>
      <c r="H540" s="652"/>
      <c r="I540" s="656"/>
      <c r="J540" s="654"/>
    </row>
    <row r="541" spans="1:10" x14ac:dyDescent="0.35">
      <c r="A541" s="615" t="s">
        <v>3112</v>
      </c>
      <c r="B541" s="616" t="str">
        <f t="shared" si="8"/>
        <v/>
      </c>
      <c r="C541" s="665"/>
      <c r="D541" s="655">
        <v>2</v>
      </c>
      <c r="E541" s="236"/>
      <c r="F541" s="232" t="s">
        <v>2539</v>
      </c>
      <c r="G541" s="239" t="s">
        <v>2585</v>
      </c>
      <c r="H541" s="652"/>
      <c r="I541" s="656"/>
      <c r="J541" s="654"/>
    </row>
    <row r="542" spans="1:10" x14ac:dyDescent="0.35">
      <c r="A542" s="615" t="s">
        <v>3113</v>
      </c>
      <c r="B542" s="616" t="str">
        <f t="shared" si="8"/>
        <v/>
      </c>
      <c r="C542" s="665"/>
      <c r="D542" s="655">
        <v>2</v>
      </c>
      <c r="E542" s="236"/>
      <c r="F542" s="232" t="s">
        <v>2539</v>
      </c>
      <c r="G542" s="239" t="s">
        <v>2585</v>
      </c>
      <c r="H542" s="652"/>
      <c r="I542" s="656"/>
      <c r="J542" s="654"/>
    </row>
    <row r="543" spans="1:10" x14ac:dyDescent="0.35">
      <c r="A543" s="615" t="s">
        <v>3114</v>
      </c>
      <c r="B543" s="616" t="str">
        <f t="shared" si="8"/>
        <v/>
      </c>
      <c r="C543" s="665"/>
      <c r="D543" s="655">
        <v>2</v>
      </c>
      <c r="E543" s="236"/>
      <c r="F543" s="232" t="s">
        <v>2539</v>
      </c>
      <c r="G543" s="239" t="s">
        <v>2585</v>
      </c>
      <c r="H543" s="652"/>
      <c r="I543" s="656"/>
      <c r="J543" s="654"/>
    </row>
    <row r="544" spans="1:10" x14ac:dyDescent="0.35">
      <c r="A544" s="615" t="s">
        <v>3115</v>
      </c>
      <c r="B544" s="616" t="str">
        <f t="shared" si="8"/>
        <v/>
      </c>
      <c r="C544" s="665"/>
      <c r="D544" s="655">
        <v>2</v>
      </c>
      <c r="E544" s="236"/>
      <c r="F544" s="232" t="s">
        <v>2539</v>
      </c>
      <c r="G544" s="239" t="s">
        <v>2585</v>
      </c>
      <c r="H544" s="652"/>
      <c r="I544" s="656"/>
      <c r="J544" s="654"/>
    </row>
    <row r="545" spans="1:10" x14ac:dyDescent="0.35">
      <c r="A545" s="615" t="s">
        <v>3116</v>
      </c>
      <c r="B545" s="616" t="str">
        <f t="shared" si="8"/>
        <v/>
      </c>
      <c r="C545" s="665"/>
      <c r="D545" s="655">
        <v>2</v>
      </c>
      <c r="E545" s="236"/>
      <c r="F545" s="232" t="s">
        <v>2539</v>
      </c>
      <c r="G545" s="239" t="s">
        <v>2585</v>
      </c>
      <c r="H545" s="652"/>
      <c r="I545" s="656"/>
      <c r="J545" s="654"/>
    </row>
    <row r="546" spans="1:10" ht="48" x14ac:dyDescent="0.35">
      <c r="A546" s="615" t="s">
        <v>3117</v>
      </c>
      <c r="B546" s="616" t="str">
        <f t="shared" si="8"/>
        <v/>
      </c>
      <c r="C546" s="665"/>
      <c r="D546" s="655" t="s">
        <v>75</v>
      </c>
      <c r="E546" s="236"/>
      <c r="F546" s="232" t="s">
        <v>76</v>
      </c>
      <c r="G546" s="657" t="s">
        <v>2591</v>
      </c>
      <c r="H546" s="652"/>
      <c r="I546" s="656"/>
      <c r="J546" s="654"/>
    </row>
    <row r="547" spans="1:10" x14ac:dyDescent="0.35">
      <c r="A547" s="615" t="s">
        <v>3118</v>
      </c>
      <c r="B547" s="616" t="str">
        <f t="shared" si="8"/>
        <v/>
      </c>
      <c r="C547" s="665"/>
      <c r="D547" s="655">
        <v>2</v>
      </c>
      <c r="E547" s="236"/>
      <c r="F547" s="232" t="s">
        <v>2539</v>
      </c>
      <c r="G547" s="239"/>
      <c r="H547" s="652"/>
      <c r="I547" s="656"/>
      <c r="J547" s="654"/>
    </row>
    <row r="548" spans="1:10" x14ac:dyDescent="0.35">
      <c r="A548" s="615" t="s">
        <v>3119</v>
      </c>
      <c r="B548" s="616" t="str">
        <f t="shared" si="8"/>
        <v/>
      </c>
      <c r="C548" s="665"/>
      <c r="D548" s="655">
        <v>0</v>
      </c>
      <c r="E548" s="236"/>
      <c r="F548" s="232" t="s">
        <v>2538</v>
      </c>
      <c r="G548" s="239"/>
      <c r="H548" s="652"/>
      <c r="I548" s="656"/>
      <c r="J548" s="654"/>
    </row>
    <row r="549" spans="1:10" x14ac:dyDescent="0.35">
      <c r="A549" s="615" t="s">
        <v>3120</v>
      </c>
      <c r="B549" s="616" t="str">
        <f t="shared" si="8"/>
        <v/>
      </c>
      <c r="C549" s="665"/>
      <c r="D549" s="655">
        <v>0</v>
      </c>
      <c r="E549" s="236"/>
      <c r="F549" s="232" t="s">
        <v>2538</v>
      </c>
      <c r="G549" s="239"/>
      <c r="H549" s="652"/>
      <c r="I549" s="656"/>
      <c r="J549" s="654"/>
    </row>
    <row r="550" spans="1:10" x14ac:dyDescent="0.35">
      <c r="A550" s="615" t="s">
        <v>3121</v>
      </c>
      <c r="B550" s="616" t="str">
        <f t="shared" si="8"/>
        <v/>
      </c>
      <c r="C550" s="665"/>
      <c r="D550" s="655">
        <v>0</v>
      </c>
      <c r="E550" s="236"/>
      <c r="F550" s="232" t="s">
        <v>2538</v>
      </c>
      <c r="G550" s="239"/>
      <c r="H550" s="652"/>
      <c r="I550" s="656"/>
      <c r="J550" s="654"/>
    </row>
    <row r="551" spans="1:10" x14ac:dyDescent="0.35">
      <c r="A551" s="615" t="s">
        <v>3122</v>
      </c>
      <c r="B551" s="616" t="str">
        <f t="shared" si="8"/>
        <v/>
      </c>
      <c r="C551" s="665"/>
      <c r="D551" s="651">
        <v>2</v>
      </c>
      <c r="E551" s="236"/>
      <c r="F551" s="232" t="s">
        <v>2572</v>
      </c>
      <c r="G551" s="239"/>
      <c r="H551" s="652"/>
      <c r="I551" s="656"/>
      <c r="J551" s="654"/>
    </row>
    <row r="552" spans="1:10" x14ac:dyDescent="0.35">
      <c r="A552" s="615" t="s">
        <v>3123</v>
      </c>
      <c r="B552" s="616" t="str">
        <f t="shared" si="8"/>
        <v/>
      </c>
      <c r="C552" s="665"/>
      <c r="D552" s="651">
        <v>2</v>
      </c>
      <c r="E552" s="236"/>
      <c r="F552" s="232" t="s">
        <v>2572</v>
      </c>
      <c r="G552" s="239"/>
      <c r="H552" s="652"/>
      <c r="I552" s="656"/>
      <c r="J552" s="654"/>
    </row>
    <row r="553" spans="1:10" x14ac:dyDescent="0.35">
      <c r="A553" s="615" t="s">
        <v>3124</v>
      </c>
      <c r="B553" s="616" t="str">
        <f t="shared" si="8"/>
        <v/>
      </c>
      <c r="C553" s="665"/>
      <c r="D553" s="651">
        <v>2</v>
      </c>
      <c r="E553" s="236"/>
      <c r="F553" s="232" t="s">
        <v>2572</v>
      </c>
      <c r="G553" s="239"/>
      <c r="H553" s="652"/>
      <c r="I553" s="656"/>
      <c r="J553" s="654"/>
    </row>
    <row r="554" spans="1:10" x14ac:dyDescent="0.35">
      <c r="A554" s="615" t="s">
        <v>3125</v>
      </c>
      <c r="B554" s="616" t="str">
        <f t="shared" si="8"/>
        <v/>
      </c>
      <c r="C554" s="665"/>
      <c r="D554" s="651">
        <v>2</v>
      </c>
      <c r="E554" s="236"/>
      <c r="F554" s="232" t="s">
        <v>2572</v>
      </c>
      <c r="G554" s="239"/>
      <c r="H554" s="652"/>
      <c r="I554" s="656"/>
      <c r="J554" s="654"/>
    </row>
    <row r="555" spans="1:10" x14ac:dyDescent="0.35">
      <c r="A555" s="615" t="s">
        <v>3126</v>
      </c>
      <c r="B555" s="616" t="str">
        <f t="shared" si="8"/>
        <v/>
      </c>
      <c r="C555" s="665"/>
      <c r="D555" s="651">
        <v>2</v>
      </c>
      <c r="E555" s="236"/>
      <c r="F555" s="232" t="s">
        <v>2572</v>
      </c>
      <c r="G555" s="239"/>
      <c r="H555" s="652"/>
      <c r="I555" s="656"/>
      <c r="J555" s="654"/>
    </row>
    <row r="556" spans="1:10" x14ac:dyDescent="0.35">
      <c r="A556" s="615" t="s">
        <v>3127</v>
      </c>
      <c r="B556" s="616" t="str">
        <f t="shared" si="8"/>
        <v/>
      </c>
      <c r="C556" s="665"/>
      <c r="D556" s="655">
        <v>6</v>
      </c>
      <c r="E556" s="236"/>
      <c r="F556" s="232" t="s">
        <v>2579</v>
      </c>
      <c r="G556" s="239" t="s">
        <v>2583</v>
      </c>
      <c r="H556" s="652"/>
      <c r="I556" s="656"/>
      <c r="J556" s="654"/>
    </row>
    <row r="557" spans="1:10" x14ac:dyDescent="0.35">
      <c r="A557" s="615" t="s">
        <v>3128</v>
      </c>
      <c r="B557" s="616" t="str">
        <f t="shared" si="8"/>
        <v/>
      </c>
      <c r="C557" s="665"/>
      <c r="D557" s="655" t="s">
        <v>75</v>
      </c>
      <c r="E557" s="236"/>
      <c r="F557" s="232" t="s">
        <v>76</v>
      </c>
      <c r="G557" s="239"/>
      <c r="H557" s="652"/>
      <c r="I557" s="656"/>
      <c r="J557" s="654"/>
    </row>
    <row r="558" spans="1:10" x14ac:dyDescent="0.35">
      <c r="A558" s="615" t="s">
        <v>3129</v>
      </c>
      <c r="B558" s="616" t="str">
        <f t="shared" si="8"/>
        <v/>
      </c>
      <c r="C558" s="665"/>
      <c r="D558" s="655">
        <v>2</v>
      </c>
      <c r="E558" s="236"/>
      <c r="F558" s="232" t="s">
        <v>2539</v>
      </c>
      <c r="G558" s="239" t="s">
        <v>2585</v>
      </c>
      <c r="H558" s="652"/>
      <c r="I558" s="656"/>
      <c r="J558" s="654"/>
    </row>
    <row r="559" spans="1:10" x14ac:dyDescent="0.35">
      <c r="A559" s="615" t="s">
        <v>3130</v>
      </c>
      <c r="B559" s="616" t="str">
        <f t="shared" si="8"/>
        <v/>
      </c>
      <c r="C559" s="665"/>
      <c r="D559" s="655">
        <v>2</v>
      </c>
      <c r="E559" s="236"/>
      <c r="F559" s="232" t="s">
        <v>2539</v>
      </c>
      <c r="G559" s="239" t="s">
        <v>2585</v>
      </c>
      <c r="H559" s="652"/>
      <c r="I559" s="656"/>
      <c r="J559" s="654"/>
    </row>
    <row r="560" spans="1:10" x14ac:dyDescent="0.35">
      <c r="A560" s="615" t="s">
        <v>3131</v>
      </c>
      <c r="B560" s="616" t="str">
        <f t="shared" si="8"/>
        <v/>
      </c>
      <c r="C560" s="665"/>
      <c r="D560" s="655">
        <v>2</v>
      </c>
      <c r="E560" s="236"/>
      <c r="F560" s="232" t="s">
        <v>2539</v>
      </c>
      <c r="G560" s="239" t="s">
        <v>2585</v>
      </c>
      <c r="H560" s="652"/>
      <c r="I560" s="656"/>
      <c r="J560" s="654"/>
    </row>
    <row r="561" spans="1:10" x14ac:dyDescent="0.35">
      <c r="A561" s="615" t="s">
        <v>3132</v>
      </c>
      <c r="B561" s="616" t="str">
        <f t="shared" si="8"/>
        <v/>
      </c>
      <c r="C561" s="665"/>
      <c r="D561" s="655">
        <v>2</v>
      </c>
      <c r="E561" s="236"/>
      <c r="F561" s="232" t="s">
        <v>2539</v>
      </c>
      <c r="G561" s="239" t="s">
        <v>2585</v>
      </c>
      <c r="H561" s="652"/>
      <c r="I561" s="656"/>
      <c r="J561" s="654"/>
    </row>
    <row r="562" spans="1:10" x14ac:dyDescent="0.35">
      <c r="A562" s="615" t="s">
        <v>3133</v>
      </c>
      <c r="B562" s="616" t="str">
        <f t="shared" si="8"/>
        <v/>
      </c>
      <c r="C562" s="665"/>
      <c r="D562" s="655">
        <v>2</v>
      </c>
      <c r="E562" s="236"/>
      <c r="F562" s="232" t="s">
        <v>2539</v>
      </c>
      <c r="G562" s="239" t="s">
        <v>2585</v>
      </c>
      <c r="H562" s="652"/>
      <c r="I562" s="656"/>
      <c r="J562" s="654"/>
    </row>
    <row r="563" spans="1:10" x14ac:dyDescent="0.35">
      <c r="A563" s="615" t="s">
        <v>3134</v>
      </c>
      <c r="B563" s="616" t="str">
        <f t="shared" si="8"/>
        <v/>
      </c>
      <c r="C563" s="665"/>
      <c r="D563" s="655">
        <v>2</v>
      </c>
      <c r="E563" s="236"/>
      <c r="F563" s="232" t="s">
        <v>2539</v>
      </c>
      <c r="G563" s="239" t="s">
        <v>2585</v>
      </c>
      <c r="H563" s="652"/>
      <c r="I563" s="656"/>
      <c r="J563" s="654"/>
    </row>
    <row r="564" spans="1:10" ht="48" x14ac:dyDescent="0.35">
      <c r="A564" s="615" t="s">
        <v>3135</v>
      </c>
      <c r="B564" s="616" t="str">
        <f t="shared" si="8"/>
        <v/>
      </c>
      <c r="C564" s="665"/>
      <c r="D564" s="655" t="s">
        <v>75</v>
      </c>
      <c r="E564" s="236"/>
      <c r="F564" s="232" t="s">
        <v>76</v>
      </c>
      <c r="G564" s="657" t="s">
        <v>2591</v>
      </c>
      <c r="H564" s="652"/>
      <c r="I564" s="656"/>
      <c r="J564" s="654"/>
    </row>
    <row r="565" spans="1:10" x14ac:dyDescent="0.35">
      <c r="A565" s="615" t="s">
        <v>3136</v>
      </c>
      <c r="B565" s="616" t="str">
        <f t="shared" si="8"/>
        <v/>
      </c>
      <c r="C565" s="665"/>
      <c r="D565" s="655">
        <v>2</v>
      </c>
      <c r="E565" s="236"/>
      <c r="F565" s="232" t="s">
        <v>2539</v>
      </c>
      <c r="G565" s="239"/>
      <c r="H565" s="652"/>
      <c r="I565" s="656"/>
      <c r="J565" s="654"/>
    </row>
    <row r="566" spans="1:10" x14ac:dyDescent="0.35">
      <c r="A566" s="615" t="s">
        <v>3137</v>
      </c>
      <c r="B566" s="616" t="str">
        <f t="shared" si="8"/>
        <v/>
      </c>
      <c r="C566" s="665"/>
      <c r="D566" s="655">
        <v>0</v>
      </c>
      <c r="E566" s="236"/>
      <c r="F566" s="232" t="s">
        <v>2538</v>
      </c>
      <c r="G566" s="239"/>
      <c r="H566" s="652"/>
      <c r="I566" s="656"/>
      <c r="J566" s="654"/>
    </row>
    <row r="567" spans="1:10" x14ac:dyDescent="0.35">
      <c r="A567" s="615" t="s">
        <v>3138</v>
      </c>
      <c r="B567" s="616" t="str">
        <f t="shared" si="8"/>
        <v/>
      </c>
      <c r="C567" s="665"/>
      <c r="D567" s="655">
        <v>0</v>
      </c>
      <c r="E567" s="236"/>
      <c r="F567" s="232" t="s">
        <v>2538</v>
      </c>
      <c r="G567" s="239"/>
      <c r="H567" s="652"/>
      <c r="I567" s="656"/>
      <c r="J567" s="654"/>
    </row>
    <row r="568" spans="1:10" x14ac:dyDescent="0.35">
      <c r="A568" s="615" t="s">
        <v>3139</v>
      </c>
      <c r="B568" s="616" t="str">
        <f t="shared" si="8"/>
        <v/>
      </c>
      <c r="C568" s="665"/>
      <c r="D568" s="655">
        <v>0</v>
      </c>
      <c r="E568" s="236"/>
      <c r="F568" s="232" t="s">
        <v>2538</v>
      </c>
      <c r="G568" s="239"/>
      <c r="H568" s="652"/>
      <c r="I568" s="656"/>
      <c r="J568" s="654"/>
    </row>
    <row r="569" spans="1:10" x14ac:dyDescent="0.35">
      <c r="A569" s="615" t="s">
        <v>3140</v>
      </c>
      <c r="B569" s="616" t="str">
        <f t="shared" si="8"/>
        <v/>
      </c>
      <c r="C569" s="665"/>
      <c r="D569" s="651">
        <v>2</v>
      </c>
      <c r="E569" s="236"/>
      <c r="F569" s="232" t="s">
        <v>2572</v>
      </c>
      <c r="G569" s="239"/>
      <c r="H569" s="652"/>
      <c r="I569" s="656"/>
      <c r="J569" s="654"/>
    </row>
    <row r="570" spans="1:10" x14ac:dyDescent="0.35">
      <c r="A570" s="615" t="s">
        <v>3141</v>
      </c>
      <c r="B570" s="616" t="str">
        <f t="shared" si="8"/>
        <v/>
      </c>
      <c r="C570" s="665"/>
      <c r="D570" s="651">
        <v>2</v>
      </c>
      <c r="E570" s="236"/>
      <c r="F570" s="232" t="s">
        <v>2572</v>
      </c>
      <c r="G570" s="239"/>
      <c r="H570" s="652"/>
      <c r="I570" s="656"/>
      <c r="J570" s="654"/>
    </row>
    <row r="571" spans="1:10" x14ac:dyDescent="0.35">
      <c r="A571" s="615" t="s">
        <v>3142</v>
      </c>
      <c r="B571" s="616" t="str">
        <f t="shared" si="8"/>
        <v/>
      </c>
      <c r="C571" s="665"/>
      <c r="D571" s="651">
        <v>2</v>
      </c>
      <c r="E571" s="236"/>
      <c r="F571" s="232" t="s">
        <v>2572</v>
      </c>
      <c r="G571" s="239"/>
      <c r="H571" s="652"/>
      <c r="I571" s="656"/>
      <c r="J571" s="654"/>
    </row>
    <row r="572" spans="1:10" x14ac:dyDescent="0.35">
      <c r="A572" s="615" t="s">
        <v>3143</v>
      </c>
      <c r="B572" s="616" t="str">
        <f t="shared" si="8"/>
        <v/>
      </c>
      <c r="C572" s="665"/>
      <c r="D572" s="651">
        <v>2</v>
      </c>
      <c r="E572" s="236"/>
      <c r="F572" s="232" t="s">
        <v>2572</v>
      </c>
      <c r="G572" s="239"/>
      <c r="H572" s="652"/>
      <c r="I572" s="656"/>
      <c r="J572" s="654"/>
    </row>
    <row r="573" spans="1:10" x14ac:dyDescent="0.35">
      <c r="A573" s="615" t="s">
        <v>3144</v>
      </c>
      <c r="B573" s="616" t="str">
        <f t="shared" si="8"/>
        <v/>
      </c>
      <c r="C573" s="665"/>
      <c r="D573" s="651">
        <v>2</v>
      </c>
      <c r="E573" s="236"/>
      <c r="F573" s="232" t="s">
        <v>2572</v>
      </c>
      <c r="G573" s="239"/>
      <c r="H573" s="652"/>
      <c r="I573" s="656"/>
      <c r="J573" s="654"/>
    </row>
    <row r="574" spans="1:10" x14ac:dyDescent="0.35">
      <c r="A574" s="615" t="s">
        <v>3145</v>
      </c>
      <c r="B574" s="616" t="str">
        <f t="shared" si="8"/>
        <v/>
      </c>
      <c r="C574" s="665"/>
      <c r="D574" s="655">
        <v>6</v>
      </c>
      <c r="E574" s="236"/>
      <c r="F574" s="232" t="s">
        <v>2579</v>
      </c>
      <c r="G574" s="239" t="s">
        <v>2583</v>
      </c>
      <c r="H574" s="652"/>
      <c r="I574" s="656"/>
      <c r="J574" s="654"/>
    </row>
    <row r="575" spans="1:10" x14ac:dyDescent="0.35">
      <c r="A575" s="615" t="s">
        <v>3146</v>
      </c>
      <c r="B575" s="616" t="str">
        <f t="shared" si="8"/>
        <v/>
      </c>
      <c r="C575" s="665"/>
      <c r="D575" s="655" t="s">
        <v>75</v>
      </c>
      <c r="E575" s="236"/>
      <c r="F575" s="232" t="s">
        <v>76</v>
      </c>
      <c r="G575" s="239"/>
      <c r="H575" s="652"/>
      <c r="I575" s="656"/>
      <c r="J575" s="654"/>
    </row>
    <row r="576" spans="1:10" x14ac:dyDescent="0.35">
      <c r="A576" s="615" t="s">
        <v>3147</v>
      </c>
      <c r="B576" s="616" t="str">
        <f t="shared" si="8"/>
        <v/>
      </c>
      <c r="C576" s="665"/>
      <c r="D576" s="655">
        <v>2</v>
      </c>
      <c r="E576" s="236"/>
      <c r="F576" s="232" t="s">
        <v>2539</v>
      </c>
      <c r="G576" s="239" t="s">
        <v>2585</v>
      </c>
      <c r="H576" s="652"/>
      <c r="I576" s="656"/>
      <c r="J576" s="654"/>
    </row>
    <row r="577" spans="1:10" x14ac:dyDescent="0.35">
      <c r="A577" s="615" t="s">
        <v>3148</v>
      </c>
      <c r="B577" s="616" t="str">
        <f t="shared" si="8"/>
        <v/>
      </c>
      <c r="C577" s="665"/>
      <c r="D577" s="655">
        <v>2</v>
      </c>
      <c r="E577" s="236"/>
      <c r="F577" s="232" t="s">
        <v>2539</v>
      </c>
      <c r="G577" s="239" t="s">
        <v>2585</v>
      </c>
      <c r="H577" s="652"/>
      <c r="I577" s="656"/>
      <c r="J577" s="654"/>
    </row>
    <row r="578" spans="1:10" x14ac:dyDescent="0.35">
      <c r="A578" s="615" t="s">
        <v>3149</v>
      </c>
      <c r="B578" s="616" t="str">
        <f t="shared" si="8"/>
        <v/>
      </c>
      <c r="C578" s="665"/>
      <c r="D578" s="655">
        <v>2</v>
      </c>
      <c r="E578" s="236"/>
      <c r="F578" s="232" t="s">
        <v>2539</v>
      </c>
      <c r="G578" s="239" t="s">
        <v>2585</v>
      </c>
      <c r="H578" s="652"/>
      <c r="I578" s="656"/>
      <c r="J578" s="654"/>
    </row>
    <row r="579" spans="1:10" x14ac:dyDescent="0.35">
      <c r="A579" s="615" t="s">
        <v>3150</v>
      </c>
      <c r="B579" s="616" t="str">
        <f t="shared" si="8"/>
        <v/>
      </c>
      <c r="C579" s="665"/>
      <c r="D579" s="655">
        <v>2</v>
      </c>
      <c r="E579" s="236"/>
      <c r="F579" s="232" t="s">
        <v>2539</v>
      </c>
      <c r="G579" s="239" t="s">
        <v>2585</v>
      </c>
      <c r="H579" s="652"/>
      <c r="I579" s="656"/>
      <c r="J579" s="654"/>
    </row>
    <row r="580" spans="1:10" x14ac:dyDescent="0.35">
      <c r="A580" s="615" t="s">
        <v>3151</v>
      </c>
      <c r="B580" s="616" t="str">
        <f t="shared" ref="B580:B643" si="9">IF(C580="","",IF(D580="Datum",TEXT(DAY(C580),"00")&amp;"."&amp;TEXT(MONTH(C580),"00")&amp;"."&amp;TEXT(YEAR(C580),"0000"),IF(AND(ISNUMBER(C580),D580="x"),TEXT(C580,"@"),IF(ISNUMBER(C580),TEXT(ROUNDDOWN(C580,0),0)&amp;IF(D580=0,"","."&amp;IF(C580-ROUNDDOWN(C580,0)=0,LEFT("0000000000",D580),TEXT((C580-ROUNDDOWN(C580,0))*(1&amp; LEFT("0000000000",$D580)),LEFT("0000000000",$D580)))),C580))))</f>
        <v/>
      </c>
      <c r="C580" s="665"/>
      <c r="D580" s="655">
        <v>2</v>
      </c>
      <c r="E580" s="236"/>
      <c r="F580" s="232" t="s">
        <v>2539</v>
      </c>
      <c r="G580" s="239" t="s">
        <v>2585</v>
      </c>
      <c r="H580" s="652"/>
      <c r="I580" s="656"/>
      <c r="J580" s="654"/>
    </row>
    <row r="581" spans="1:10" x14ac:dyDescent="0.35">
      <c r="A581" s="615" t="s">
        <v>3152</v>
      </c>
      <c r="B581" s="616" t="str">
        <f t="shared" si="9"/>
        <v/>
      </c>
      <c r="C581" s="665"/>
      <c r="D581" s="655">
        <v>2</v>
      </c>
      <c r="E581" s="236"/>
      <c r="F581" s="232" t="s">
        <v>2539</v>
      </c>
      <c r="G581" s="239" t="s">
        <v>2585</v>
      </c>
      <c r="H581" s="652"/>
      <c r="I581" s="656"/>
      <c r="J581" s="654"/>
    </row>
    <row r="582" spans="1:10" ht="48" x14ac:dyDescent="0.35">
      <c r="A582" s="615" t="s">
        <v>3153</v>
      </c>
      <c r="B582" s="616" t="str">
        <f t="shared" si="9"/>
        <v/>
      </c>
      <c r="C582" s="665"/>
      <c r="D582" s="655" t="s">
        <v>75</v>
      </c>
      <c r="E582" s="236"/>
      <c r="F582" s="232" t="s">
        <v>76</v>
      </c>
      <c r="G582" s="657" t="s">
        <v>2591</v>
      </c>
      <c r="H582" s="652"/>
      <c r="I582" s="656"/>
      <c r="J582" s="654"/>
    </row>
    <row r="583" spans="1:10" x14ac:dyDescent="0.35">
      <c r="A583" s="615" t="s">
        <v>3154</v>
      </c>
      <c r="B583" s="616" t="str">
        <f t="shared" si="9"/>
        <v/>
      </c>
      <c r="C583" s="665"/>
      <c r="D583" s="655">
        <v>2</v>
      </c>
      <c r="E583" s="236"/>
      <c r="F583" s="232" t="s">
        <v>2539</v>
      </c>
      <c r="G583" s="239"/>
      <c r="H583" s="652"/>
      <c r="I583" s="656"/>
      <c r="J583" s="654"/>
    </row>
    <row r="584" spans="1:10" x14ac:dyDescent="0.35">
      <c r="A584" s="615" t="s">
        <v>3155</v>
      </c>
      <c r="B584" s="616" t="str">
        <f t="shared" si="9"/>
        <v/>
      </c>
      <c r="C584" s="665"/>
      <c r="D584" s="655">
        <v>0</v>
      </c>
      <c r="E584" s="236"/>
      <c r="F584" s="232" t="s">
        <v>2538</v>
      </c>
      <c r="G584" s="239"/>
      <c r="H584" s="652"/>
      <c r="I584" s="656"/>
      <c r="J584" s="654"/>
    </row>
    <row r="585" spans="1:10" x14ac:dyDescent="0.35">
      <c r="A585" s="615" t="s">
        <v>3156</v>
      </c>
      <c r="B585" s="616" t="str">
        <f t="shared" si="9"/>
        <v/>
      </c>
      <c r="C585" s="665"/>
      <c r="D585" s="655">
        <v>0</v>
      </c>
      <c r="E585" s="236"/>
      <c r="F585" s="232" t="s">
        <v>2538</v>
      </c>
      <c r="G585" s="239"/>
      <c r="H585" s="652"/>
      <c r="I585" s="656"/>
      <c r="J585" s="654"/>
    </row>
    <row r="586" spans="1:10" x14ac:dyDescent="0.35">
      <c r="A586" s="615" t="s">
        <v>3157</v>
      </c>
      <c r="B586" s="616" t="str">
        <f t="shared" si="9"/>
        <v/>
      </c>
      <c r="C586" s="665"/>
      <c r="D586" s="655">
        <v>0</v>
      </c>
      <c r="E586" s="236"/>
      <c r="F586" s="232" t="s">
        <v>2538</v>
      </c>
      <c r="G586" s="239"/>
      <c r="H586" s="652"/>
      <c r="I586" s="656"/>
      <c r="J586" s="654"/>
    </row>
    <row r="587" spans="1:10" x14ac:dyDescent="0.35">
      <c r="A587" s="615" t="s">
        <v>3158</v>
      </c>
      <c r="B587" s="616" t="str">
        <f t="shared" si="9"/>
        <v/>
      </c>
      <c r="C587" s="665"/>
      <c r="D587" s="651">
        <v>2</v>
      </c>
      <c r="E587" s="236"/>
      <c r="F587" s="232" t="s">
        <v>2572</v>
      </c>
      <c r="G587" s="239"/>
      <c r="H587" s="652"/>
      <c r="I587" s="656"/>
      <c r="J587" s="654"/>
    </row>
    <row r="588" spans="1:10" x14ac:dyDescent="0.35">
      <c r="A588" s="615" t="s">
        <v>3159</v>
      </c>
      <c r="B588" s="616" t="str">
        <f t="shared" si="9"/>
        <v/>
      </c>
      <c r="C588" s="665"/>
      <c r="D588" s="651">
        <v>2</v>
      </c>
      <c r="E588" s="236"/>
      <c r="F588" s="232" t="s">
        <v>2572</v>
      </c>
      <c r="G588" s="239"/>
      <c r="H588" s="652"/>
      <c r="I588" s="656"/>
      <c r="J588" s="654"/>
    </row>
    <row r="589" spans="1:10" x14ac:dyDescent="0.35">
      <c r="A589" s="615" t="s">
        <v>3160</v>
      </c>
      <c r="B589" s="616" t="str">
        <f t="shared" si="9"/>
        <v/>
      </c>
      <c r="C589" s="665"/>
      <c r="D589" s="651">
        <v>2</v>
      </c>
      <c r="E589" s="236"/>
      <c r="F589" s="232" t="s">
        <v>2572</v>
      </c>
      <c r="G589" s="239"/>
      <c r="H589" s="652"/>
      <c r="I589" s="656"/>
      <c r="J589" s="654"/>
    </row>
    <row r="590" spans="1:10" x14ac:dyDescent="0.35">
      <c r="A590" s="615" t="s">
        <v>3161</v>
      </c>
      <c r="B590" s="616" t="str">
        <f t="shared" si="9"/>
        <v/>
      </c>
      <c r="C590" s="665"/>
      <c r="D590" s="651">
        <v>2</v>
      </c>
      <c r="E590" s="236"/>
      <c r="F590" s="232" t="s">
        <v>2572</v>
      </c>
      <c r="G590" s="239"/>
      <c r="H590" s="652"/>
      <c r="I590" s="656"/>
      <c r="J590" s="654"/>
    </row>
    <row r="591" spans="1:10" x14ac:dyDescent="0.35">
      <c r="A591" s="615" t="s">
        <v>3162</v>
      </c>
      <c r="B591" s="616" t="str">
        <f t="shared" si="9"/>
        <v/>
      </c>
      <c r="C591" s="665"/>
      <c r="D591" s="651">
        <v>2</v>
      </c>
      <c r="E591" s="236"/>
      <c r="F591" s="232" t="s">
        <v>2572</v>
      </c>
      <c r="G591" s="239"/>
      <c r="H591" s="652"/>
      <c r="I591" s="656"/>
      <c r="J591" s="654"/>
    </row>
    <row r="592" spans="1:10" x14ac:dyDescent="0.35">
      <c r="A592" s="615" t="s">
        <v>3163</v>
      </c>
      <c r="B592" s="616" t="str">
        <f t="shared" si="9"/>
        <v/>
      </c>
      <c r="C592" s="665"/>
      <c r="D592" s="655">
        <v>6</v>
      </c>
      <c r="E592" s="236"/>
      <c r="F592" s="232" t="s">
        <v>2579</v>
      </c>
      <c r="G592" s="239" t="s">
        <v>2583</v>
      </c>
      <c r="H592" s="652"/>
      <c r="I592" s="656"/>
      <c r="J592" s="654"/>
    </row>
    <row r="593" spans="1:10" x14ac:dyDescent="0.35">
      <c r="A593" s="615" t="s">
        <v>3164</v>
      </c>
      <c r="B593" s="616" t="str">
        <f t="shared" si="9"/>
        <v/>
      </c>
      <c r="C593" s="665"/>
      <c r="D593" s="655" t="s">
        <v>75</v>
      </c>
      <c r="E593" s="236"/>
      <c r="F593" s="232" t="s">
        <v>76</v>
      </c>
      <c r="G593" s="239"/>
      <c r="H593" s="652"/>
      <c r="I593" s="656"/>
      <c r="J593" s="654"/>
    </row>
    <row r="594" spans="1:10" x14ac:dyDescent="0.35">
      <c r="A594" s="615" t="s">
        <v>3165</v>
      </c>
      <c r="B594" s="616" t="str">
        <f t="shared" si="9"/>
        <v/>
      </c>
      <c r="C594" s="665"/>
      <c r="D594" s="655">
        <v>2</v>
      </c>
      <c r="E594" s="236"/>
      <c r="F594" s="232" t="s">
        <v>2539</v>
      </c>
      <c r="G594" s="239" t="s">
        <v>2585</v>
      </c>
      <c r="H594" s="652"/>
      <c r="I594" s="656"/>
      <c r="J594" s="654"/>
    </row>
    <row r="595" spans="1:10" x14ac:dyDescent="0.35">
      <c r="A595" s="615" t="s">
        <v>3166</v>
      </c>
      <c r="B595" s="616" t="str">
        <f t="shared" si="9"/>
        <v/>
      </c>
      <c r="C595" s="665"/>
      <c r="D595" s="655">
        <v>2</v>
      </c>
      <c r="E595" s="236"/>
      <c r="F595" s="232" t="s">
        <v>2539</v>
      </c>
      <c r="G595" s="239" t="s">
        <v>2585</v>
      </c>
      <c r="H595" s="652"/>
      <c r="I595" s="656"/>
      <c r="J595" s="654"/>
    </row>
    <row r="596" spans="1:10" x14ac:dyDescent="0.35">
      <c r="A596" s="615" t="s">
        <v>3167</v>
      </c>
      <c r="B596" s="616" t="str">
        <f t="shared" si="9"/>
        <v/>
      </c>
      <c r="C596" s="665"/>
      <c r="D596" s="655">
        <v>2</v>
      </c>
      <c r="E596" s="236"/>
      <c r="F596" s="232" t="s">
        <v>2539</v>
      </c>
      <c r="G596" s="239" t="s">
        <v>2585</v>
      </c>
      <c r="H596" s="652"/>
      <c r="I596" s="656"/>
      <c r="J596" s="654"/>
    </row>
    <row r="597" spans="1:10" x14ac:dyDescent="0.35">
      <c r="A597" s="615" t="s">
        <v>3168</v>
      </c>
      <c r="B597" s="616" t="str">
        <f t="shared" si="9"/>
        <v/>
      </c>
      <c r="C597" s="665"/>
      <c r="D597" s="655">
        <v>2</v>
      </c>
      <c r="E597" s="236"/>
      <c r="F597" s="232" t="s">
        <v>2539</v>
      </c>
      <c r="G597" s="239" t="s">
        <v>2585</v>
      </c>
      <c r="H597" s="652"/>
      <c r="I597" s="656"/>
      <c r="J597" s="654"/>
    </row>
    <row r="598" spans="1:10" x14ac:dyDescent="0.35">
      <c r="A598" s="615" t="s">
        <v>3169</v>
      </c>
      <c r="B598" s="616" t="str">
        <f t="shared" si="9"/>
        <v/>
      </c>
      <c r="C598" s="665"/>
      <c r="D598" s="655">
        <v>2</v>
      </c>
      <c r="E598" s="236"/>
      <c r="F598" s="232" t="s">
        <v>2539</v>
      </c>
      <c r="G598" s="239" t="s">
        <v>2585</v>
      </c>
      <c r="H598" s="652"/>
      <c r="I598" s="656"/>
      <c r="J598" s="654"/>
    </row>
    <row r="599" spans="1:10" x14ac:dyDescent="0.35">
      <c r="A599" s="615" t="s">
        <v>3170</v>
      </c>
      <c r="B599" s="616" t="str">
        <f t="shared" si="9"/>
        <v/>
      </c>
      <c r="C599" s="665"/>
      <c r="D599" s="655">
        <v>2</v>
      </c>
      <c r="E599" s="236"/>
      <c r="F599" s="232" t="s">
        <v>2539</v>
      </c>
      <c r="G599" s="239" t="s">
        <v>2585</v>
      </c>
      <c r="H599" s="652"/>
      <c r="I599" s="656"/>
      <c r="J599" s="654"/>
    </row>
    <row r="600" spans="1:10" ht="48" x14ac:dyDescent="0.35">
      <c r="A600" s="615" t="s">
        <v>3171</v>
      </c>
      <c r="B600" s="616" t="str">
        <f t="shared" si="9"/>
        <v/>
      </c>
      <c r="C600" s="665"/>
      <c r="D600" s="655" t="s">
        <v>75</v>
      </c>
      <c r="E600" s="236"/>
      <c r="F600" s="232" t="s">
        <v>76</v>
      </c>
      <c r="G600" s="657" t="s">
        <v>2591</v>
      </c>
      <c r="H600" s="652"/>
      <c r="I600" s="656"/>
      <c r="J600" s="654"/>
    </row>
    <row r="601" spans="1:10" x14ac:dyDescent="0.35">
      <c r="A601" s="615" t="s">
        <v>3172</v>
      </c>
      <c r="B601" s="616" t="str">
        <f t="shared" si="9"/>
        <v/>
      </c>
      <c r="C601" s="665"/>
      <c r="D601" s="655">
        <v>2</v>
      </c>
      <c r="E601" s="236"/>
      <c r="F601" s="232" t="s">
        <v>2539</v>
      </c>
      <c r="G601" s="239"/>
      <c r="H601" s="652"/>
      <c r="I601" s="656"/>
      <c r="J601" s="654"/>
    </row>
    <row r="602" spans="1:10" x14ac:dyDescent="0.35">
      <c r="A602" s="615" t="s">
        <v>3173</v>
      </c>
      <c r="B602" s="616"/>
      <c r="C602" s="650"/>
      <c r="D602" s="655">
        <v>0</v>
      </c>
      <c r="E602" s="236"/>
      <c r="F602" s="232" t="s">
        <v>2538</v>
      </c>
      <c r="G602" s="239"/>
      <c r="H602" s="652"/>
      <c r="I602" s="653"/>
      <c r="J602" s="654"/>
    </row>
    <row r="603" spans="1:10" x14ac:dyDescent="0.35">
      <c r="A603" s="615" t="s">
        <v>3174</v>
      </c>
      <c r="B603" s="616"/>
      <c r="C603" s="650"/>
      <c r="D603" s="655">
        <v>0</v>
      </c>
      <c r="E603" s="236"/>
      <c r="F603" s="232" t="s">
        <v>2538</v>
      </c>
      <c r="G603" s="239"/>
      <c r="H603" s="652"/>
      <c r="I603" s="653"/>
      <c r="J603" s="654"/>
    </row>
    <row r="604" spans="1:10" x14ac:dyDescent="0.35">
      <c r="A604" s="615" t="s">
        <v>3175</v>
      </c>
      <c r="B604" s="616"/>
      <c r="C604" s="650"/>
      <c r="D604" s="655">
        <v>0</v>
      </c>
      <c r="E604" s="236"/>
      <c r="F604" s="232" t="s">
        <v>2538</v>
      </c>
      <c r="G604" s="239"/>
      <c r="H604" s="652"/>
      <c r="I604" s="653"/>
      <c r="J604" s="654"/>
    </row>
    <row r="605" spans="1:10" x14ac:dyDescent="0.35">
      <c r="A605" s="615" t="s">
        <v>3176</v>
      </c>
      <c r="B605" s="616"/>
      <c r="C605" s="665"/>
      <c r="D605" s="655">
        <v>0</v>
      </c>
      <c r="E605" s="236"/>
      <c r="F605" s="232" t="s">
        <v>2538</v>
      </c>
      <c r="G605" s="239"/>
      <c r="H605" s="652"/>
      <c r="I605" s="656"/>
      <c r="J605" s="654"/>
    </row>
    <row r="606" spans="1:10" x14ac:dyDescent="0.35">
      <c r="A606" s="615" t="s">
        <v>3177</v>
      </c>
      <c r="B606" s="616"/>
      <c r="C606" s="665"/>
      <c r="D606" s="655">
        <v>0</v>
      </c>
      <c r="E606" s="236"/>
      <c r="F606" s="232" t="s">
        <v>2538</v>
      </c>
      <c r="G606" s="239"/>
      <c r="H606" s="652"/>
      <c r="I606" s="656"/>
      <c r="J606" s="654"/>
    </row>
    <row r="607" spans="1:10" x14ac:dyDescent="0.35">
      <c r="A607" s="615" t="s">
        <v>3178</v>
      </c>
      <c r="B607" s="616"/>
      <c r="C607" s="650"/>
      <c r="D607" s="651">
        <v>2</v>
      </c>
      <c r="E607" s="236"/>
      <c r="F607" s="232" t="s">
        <v>2572</v>
      </c>
      <c r="G607" s="239"/>
      <c r="H607" s="652"/>
      <c r="I607" s="653"/>
      <c r="J607" s="654"/>
    </row>
    <row r="608" spans="1:10" x14ac:dyDescent="0.35">
      <c r="A608" s="615" t="s">
        <v>3179</v>
      </c>
      <c r="B608" s="616"/>
      <c r="C608" s="665"/>
      <c r="D608" s="651">
        <v>2</v>
      </c>
      <c r="E608" s="236"/>
      <c r="F608" s="232" t="s">
        <v>2572</v>
      </c>
      <c r="G608" s="239"/>
      <c r="H608" s="652"/>
      <c r="I608" s="656"/>
      <c r="J608" s="654"/>
    </row>
    <row r="609" spans="1:10" ht="36" x14ac:dyDescent="0.35">
      <c r="A609" s="615" t="s">
        <v>3180</v>
      </c>
      <c r="B609" s="616"/>
      <c r="C609" s="665"/>
      <c r="D609" s="651">
        <v>2</v>
      </c>
      <c r="E609" s="236"/>
      <c r="F609" s="232" t="s">
        <v>2572</v>
      </c>
      <c r="G609" s="666" t="s">
        <v>2575</v>
      </c>
      <c r="H609" s="652"/>
      <c r="I609" s="656"/>
      <c r="J609" s="654"/>
    </row>
    <row r="610" spans="1:10" x14ac:dyDescent="0.35">
      <c r="A610" s="615" t="s">
        <v>3181</v>
      </c>
      <c r="B610" s="616"/>
      <c r="C610" s="665"/>
      <c r="D610" s="655">
        <v>2</v>
      </c>
      <c r="E610" s="236"/>
      <c r="F610" s="232" t="s">
        <v>2572</v>
      </c>
      <c r="G610" s="239"/>
      <c r="H610" s="652"/>
      <c r="I610" s="656"/>
      <c r="J610" s="654"/>
    </row>
    <row r="611" spans="1:10" x14ac:dyDescent="0.35">
      <c r="A611" s="615" t="s">
        <v>3182</v>
      </c>
      <c r="B611" s="616"/>
      <c r="C611" s="665"/>
      <c r="D611" s="655">
        <v>2</v>
      </c>
      <c r="E611" s="236"/>
      <c r="F611" s="232" t="s">
        <v>2572</v>
      </c>
      <c r="G611" s="239"/>
      <c r="H611" s="652"/>
      <c r="I611" s="656"/>
      <c r="J611" s="654"/>
    </row>
    <row r="612" spans="1:10" x14ac:dyDescent="0.35">
      <c r="A612" s="615" t="s">
        <v>3183</v>
      </c>
      <c r="B612" s="616"/>
      <c r="C612" s="665"/>
      <c r="D612" s="655">
        <v>6</v>
      </c>
      <c r="E612" s="236"/>
      <c r="F612" s="232" t="s">
        <v>2579</v>
      </c>
      <c r="G612" s="239" t="s">
        <v>2583</v>
      </c>
      <c r="H612" s="652"/>
      <c r="I612" s="656"/>
      <c r="J612" s="654"/>
    </row>
    <row r="613" spans="1:10" x14ac:dyDescent="0.35">
      <c r="A613" s="615" t="s">
        <v>3184</v>
      </c>
      <c r="B613" s="616"/>
      <c r="C613" s="665"/>
      <c r="D613" s="655" t="s">
        <v>75</v>
      </c>
      <c r="E613" s="236"/>
      <c r="F613" s="232" t="s">
        <v>76</v>
      </c>
      <c r="G613" s="239"/>
      <c r="H613" s="652"/>
      <c r="I613" s="656"/>
      <c r="J613" s="654"/>
    </row>
    <row r="614" spans="1:10" x14ac:dyDescent="0.35">
      <c r="A614" s="615" t="s">
        <v>3185</v>
      </c>
      <c r="B614" s="616"/>
      <c r="C614" s="650"/>
      <c r="D614" s="655">
        <v>2</v>
      </c>
      <c r="E614" s="236"/>
      <c r="F614" s="232" t="s">
        <v>2539</v>
      </c>
      <c r="G614" s="239" t="s">
        <v>2585</v>
      </c>
      <c r="H614" s="652"/>
      <c r="I614" s="653"/>
      <c r="J614" s="654"/>
    </row>
    <row r="615" spans="1:10" x14ac:dyDescent="0.35">
      <c r="A615" s="615" t="s">
        <v>3186</v>
      </c>
      <c r="B615" s="616"/>
      <c r="C615" s="650"/>
      <c r="D615" s="655">
        <v>2</v>
      </c>
      <c r="E615" s="236"/>
      <c r="F615" s="232" t="s">
        <v>2539</v>
      </c>
      <c r="G615" s="239" t="s">
        <v>2585</v>
      </c>
      <c r="H615" s="652"/>
      <c r="I615" s="653"/>
      <c r="J615" s="654"/>
    </row>
    <row r="616" spans="1:10" x14ac:dyDescent="0.35">
      <c r="A616" s="615" t="s">
        <v>3187</v>
      </c>
      <c r="B616" s="616"/>
      <c r="C616" s="665"/>
      <c r="D616" s="655">
        <v>2</v>
      </c>
      <c r="E616" s="236"/>
      <c r="F616" s="232" t="s">
        <v>2539</v>
      </c>
      <c r="G616" s="239" t="s">
        <v>2585</v>
      </c>
      <c r="H616" s="652"/>
      <c r="I616" s="656"/>
      <c r="J616" s="654"/>
    </row>
    <row r="617" spans="1:10" x14ac:dyDescent="0.35">
      <c r="A617" s="615" t="s">
        <v>3188</v>
      </c>
      <c r="B617" s="616"/>
      <c r="C617" s="665"/>
      <c r="D617" s="655">
        <v>2</v>
      </c>
      <c r="E617" s="236"/>
      <c r="F617" s="232" t="s">
        <v>2539</v>
      </c>
      <c r="G617" s="239" t="s">
        <v>2585</v>
      </c>
      <c r="H617" s="652"/>
      <c r="I617" s="656"/>
      <c r="J617" s="654"/>
    </row>
    <row r="618" spans="1:10" x14ac:dyDescent="0.35">
      <c r="A618" s="615" t="s">
        <v>3189</v>
      </c>
      <c r="B618" s="616"/>
      <c r="C618" s="665"/>
      <c r="D618" s="655">
        <v>2</v>
      </c>
      <c r="E618" s="236"/>
      <c r="F618" s="232" t="s">
        <v>2539</v>
      </c>
      <c r="G618" s="239" t="s">
        <v>2585</v>
      </c>
      <c r="H618" s="652"/>
      <c r="I618" s="656"/>
      <c r="J618" s="654"/>
    </row>
    <row r="619" spans="1:10" x14ac:dyDescent="0.35">
      <c r="A619" s="615" t="s">
        <v>3190</v>
      </c>
      <c r="B619" s="616"/>
      <c r="C619" s="650"/>
      <c r="D619" s="655">
        <v>2</v>
      </c>
      <c r="E619" s="236"/>
      <c r="F619" s="232" t="s">
        <v>2539</v>
      </c>
      <c r="G619" s="239" t="s">
        <v>2585</v>
      </c>
      <c r="H619" s="652"/>
      <c r="I619" s="653"/>
      <c r="J619" s="654"/>
    </row>
    <row r="620" spans="1:10" ht="48" x14ac:dyDescent="0.35">
      <c r="A620" s="615" t="s">
        <v>3191</v>
      </c>
      <c r="B620" s="616"/>
      <c r="C620" s="650"/>
      <c r="D620" s="655" t="s">
        <v>75</v>
      </c>
      <c r="E620" s="236"/>
      <c r="F620" s="232" t="s">
        <v>76</v>
      </c>
      <c r="G620" s="657" t="s">
        <v>2591</v>
      </c>
      <c r="H620" s="652"/>
      <c r="I620" s="653"/>
      <c r="J620" s="654"/>
    </row>
    <row r="621" spans="1:10" x14ac:dyDescent="0.35">
      <c r="A621" s="615" t="s">
        <v>3192</v>
      </c>
      <c r="B621" s="616"/>
      <c r="C621" s="665"/>
      <c r="D621" s="655">
        <v>2</v>
      </c>
      <c r="E621" s="236"/>
      <c r="F621" s="232" t="s">
        <v>2539</v>
      </c>
      <c r="G621" s="239"/>
      <c r="H621" s="652"/>
      <c r="I621" s="656"/>
      <c r="J621" s="654"/>
    </row>
    <row r="622" spans="1:10" x14ac:dyDescent="0.35">
      <c r="A622" s="615" t="s">
        <v>3193</v>
      </c>
      <c r="B622" s="616" t="str">
        <f t="shared" si="9"/>
        <v/>
      </c>
      <c r="C622" s="665"/>
      <c r="D622" s="655">
        <v>0</v>
      </c>
      <c r="E622" s="236"/>
      <c r="F622" s="232" t="s">
        <v>2538</v>
      </c>
      <c r="G622" s="239"/>
      <c r="H622" s="652"/>
      <c r="I622" s="656"/>
      <c r="J622" s="654"/>
    </row>
    <row r="623" spans="1:10" x14ac:dyDescent="0.35">
      <c r="A623" s="615" t="s">
        <v>3194</v>
      </c>
      <c r="B623" s="616" t="str">
        <f t="shared" si="9"/>
        <v/>
      </c>
      <c r="C623" s="665"/>
      <c r="D623" s="655">
        <v>0</v>
      </c>
      <c r="E623" s="236"/>
      <c r="F623" s="232" t="s">
        <v>2538</v>
      </c>
      <c r="G623" s="239"/>
      <c r="H623" s="652"/>
      <c r="I623" s="656"/>
      <c r="J623" s="654"/>
    </row>
    <row r="624" spans="1:10" x14ac:dyDescent="0.35">
      <c r="A624" s="615" t="s">
        <v>3195</v>
      </c>
      <c r="B624" s="616" t="str">
        <f t="shared" si="9"/>
        <v/>
      </c>
      <c r="C624" s="665"/>
      <c r="D624" s="655">
        <v>0</v>
      </c>
      <c r="E624" s="236"/>
      <c r="F624" s="232" t="s">
        <v>2538</v>
      </c>
      <c r="G624" s="239"/>
      <c r="H624" s="652"/>
      <c r="I624" s="656"/>
      <c r="J624" s="654"/>
    </row>
    <row r="625" spans="1:10" x14ac:dyDescent="0.35">
      <c r="A625" s="615" t="s">
        <v>3196</v>
      </c>
      <c r="B625" s="616" t="str">
        <f t="shared" si="9"/>
        <v/>
      </c>
      <c r="C625" s="665"/>
      <c r="D625" s="651">
        <v>2</v>
      </c>
      <c r="E625" s="236"/>
      <c r="F625" s="232" t="s">
        <v>2572</v>
      </c>
      <c r="G625" s="239"/>
      <c r="H625" s="652"/>
      <c r="I625" s="656"/>
      <c r="J625" s="654"/>
    </row>
    <row r="626" spans="1:10" x14ac:dyDescent="0.35">
      <c r="A626" s="615" t="s">
        <v>3197</v>
      </c>
      <c r="B626" s="616" t="str">
        <f t="shared" si="9"/>
        <v/>
      </c>
      <c r="C626" s="665"/>
      <c r="D626" s="651">
        <v>2</v>
      </c>
      <c r="E626" s="236"/>
      <c r="F626" s="232" t="s">
        <v>2572</v>
      </c>
      <c r="G626" s="239"/>
      <c r="H626" s="652"/>
      <c r="I626" s="656"/>
      <c r="J626" s="654"/>
    </row>
    <row r="627" spans="1:10" x14ac:dyDescent="0.35">
      <c r="A627" s="615" t="s">
        <v>3198</v>
      </c>
      <c r="B627" s="616" t="str">
        <f t="shared" si="9"/>
        <v/>
      </c>
      <c r="C627" s="665"/>
      <c r="D627" s="651">
        <v>2</v>
      </c>
      <c r="E627" s="236"/>
      <c r="F627" s="232" t="s">
        <v>2572</v>
      </c>
      <c r="G627" s="239"/>
      <c r="H627" s="652"/>
      <c r="I627" s="656"/>
      <c r="J627" s="654"/>
    </row>
    <row r="628" spans="1:10" x14ac:dyDescent="0.35">
      <c r="A628" s="615" t="s">
        <v>3199</v>
      </c>
      <c r="B628" s="616" t="str">
        <f t="shared" si="9"/>
        <v/>
      </c>
      <c r="C628" s="665"/>
      <c r="D628" s="651">
        <v>2</v>
      </c>
      <c r="E628" s="236"/>
      <c r="F628" s="232" t="s">
        <v>2572</v>
      </c>
      <c r="G628" s="239"/>
      <c r="H628" s="652"/>
      <c r="I628" s="656"/>
      <c r="J628" s="654"/>
    </row>
    <row r="629" spans="1:10" x14ac:dyDescent="0.35">
      <c r="A629" s="615" t="s">
        <v>3200</v>
      </c>
      <c r="B629" s="616" t="str">
        <f t="shared" si="9"/>
        <v/>
      </c>
      <c r="C629" s="665"/>
      <c r="D629" s="651">
        <v>2</v>
      </c>
      <c r="E629" s="236"/>
      <c r="F629" s="232" t="s">
        <v>2572</v>
      </c>
      <c r="G629" s="239"/>
      <c r="H629" s="652"/>
      <c r="I629" s="656"/>
      <c r="J629" s="654"/>
    </row>
    <row r="630" spans="1:10" x14ac:dyDescent="0.35">
      <c r="A630" s="615" t="s">
        <v>3201</v>
      </c>
      <c r="B630" s="616" t="str">
        <f t="shared" si="9"/>
        <v/>
      </c>
      <c r="C630" s="665"/>
      <c r="D630" s="655">
        <v>6</v>
      </c>
      <c r="E630" s="236"/>
      <c r="F630" s="232" t="s">
        <v>2579</v>
      </c>
      <c r="G630" s="239" t="s">
        <v>2583</v>
      </c>
      <c r="H630" s="652"/>
      <c r="I630" s="656"/>
      <c r="J630" s="654"/>
    </row>
    <row r="631" spans="1:10" x14ac:dyDescent="0.35">
      <c r="A631" s="615" t="s">
        <v>3202</v>
      </c>
      <c r="B631" s="616" t="str">
        <f t="shared" si="9"/>
        <v/>
      </c>
      <c r="C631" s="665"/>
      <c r="D631" s="655" t="s">
        <v>75</v>
      </c>
      <c r="E631" s="236"/>
      <c r="F631" s="232" t="s">
        <v>76</v>
      </c>
      <c r="G631" s="239"/>
      <c r="H631" s="652"/>
      <c r="I631" s="656"/>
      <c r="J631" s="654"/>
    </row>
    <row r="632" spans="1:10" x14ac:dyDescent="0.35">
      <c r="A632" s="615" t="s">
        <v>3203</v>
      </c>
      <c r="B632" s="616" t="str">
        <f t="shared" si="9"/>
        <v/>
      </c>
      <c r="C632" s="665"/>
      <c r="D632" s="655">
        <v>2</v>
      </c>
      <c r="E632" s="236"/>
      <c r="F632" s="232" t="s">
        <v>2539</v>
      </c>
      <c r="G632" s="239" t="s">
        <v>2585</v>
      </c>
      <c r="H632" s="652"/>
      <c r="I632" s="656"/>
      <c r="J632" s="654"/>
    </row>
    <row r="633" spans="1:10" x14ac:dyDescent="0.35">
      <c r="A633" s="615" t="s">
        <v>3204</v>
      </c>
      <c r="B633" s="616" t="str">
        <f t="shared" si="9"/>
        <v/>
      </c>
      <c r="C633" s="665"/>
      <c r="D633" s="655">
        <v>2</v>
      </c>
      <c r="E633" s="236"/>
      <c r="F633" s="232" t="s">
        <v>2539</v>
      </c>
      <c r="G633" s="239" t="s">
        <v>2585</v>
      </c>
      <c r="H633" s="652"/>
      <c r="I633" s="656"/>
      <c r="J633" s="654"/>
    </row>
    <row r="634" spans="1:10" x14ac:dyDescent="0.35">
      <c r="A634" s="615" t="s">
        <v>3205</v>
      </c>
      <c r="B634" s="616" t="str">
        <f t="shared" si="9"/>
        <v/>
      </c>
      <c r="C634" s="665"/>
      <c r="D634" s="655">
        <v>2</v>
      </c>
      <c r="E634" s="236"/>
      <c r="F634" s="232" t="s">
        <v>2539</v>
      </c>
      <c r="G634" s="239" t="s">
        <v>2585</v>
      </c>
      <c r="H634" s="652"/>
      <c r="I634" s="656"/>
      <c r="J634" s="654"/>
    </row>
    <row r="635" spans="1:10" x14ac:dyDescent="0.35">
      <c r="A635" s="615" t="s">
        <v>3206</v>
      </c>
      <c r="B635" s="616" t="str">
        <f t="shared" si="9"/>
        <v/>
      </c>
      <c r="C635" s="665"/>
      <c r="D635" s="655">
        <v>2</v>
      </c>
      <c r="E635" s="236"/>
      <c r="F635" s="232" t="s">
        <v>2539</v>
      </c>
      <c r="G635" s="239" t="s">
        <v>2585</v>
      </c>
      <c r="H635" s="652"/>
      <c r="I635" s="656"/>
      <c r="J635" s="654"/>
    </row>
    <row r="636" spans="1:10" x14ac:dyDescent="0.35">
      <c r="A636" s="615" t="s">
        <v>3207</v>
      </c>
      <c r="B636" s="616" t="str">
        <f t="shared" si="9"/>
        <v/>
      </c>
      <c r="C636" s="665"/>
      <c r="D636" s="655">
        <v>2</v>
      </c>
      <c r="E636" s="236"/>
      <c r="F636" s="232" t="s">
        <v>2539</v>
      </c>
      <c r="G636" s="239" t="s">
        <v>2585</v>
      </c>
      <c r="H636" s="652"/>
      <c r="I636" s="656"/>
      <c r="J636" s="654"/>
    </row>
    <row r="637" spans="1:10" x14ac:dyDescent="0.35">
      <c r="A637" s="615" t="s">
        <v>3208</v>
      </c>
      <c r="B637" s="616" t="str">
        <f t="shared" si="9"/>
        <v/>
      </c>
      <c r="C637" s="665"/>
      <c r="D637" s="655">
        <v>2</v>
      </c>
      <c r="E637" s="236"/>
      <c r="F637" s="232" t="s">
        <v>2539</v>
      </c>
      <c r="G637" s="239" t="s">
        <v>2585</v>
      </c>
      <c r="H637" s="652"/>
      <c r="I637" s="656"/>
      <c r="J637" s="654"/>
    </row>
    <row r="638" spans="1:10" ht="48" x14ac:dyDescent="0.35">
      <c r="A638" s="615" t="s">
        <v>3209</v>
      </c>
      <c r="B638" s="616" t="str">
        <f t="shared" si="9"/>
        <v/>
      </c>
      <c r="C638" s="665"/>
      <c r="D638" s="655" t="s">
        <v>75</v>
      </c>
      <c r="E638" s="236"/>
      <c r="F638" s="232" t="s">
        <v>76</v>
      </c>
      <c r="G638" s="657" t="s">
        <v>2591</v>
      </c>
      <c r="H638" s="652"/>
      <c r="I638" s="656"/>
      <c r="J638" s="654"/>
    </row>
    <row r="639" spans="1:10" x14ac:dyDescent="0.35">
      <c r="A639" s="615" t="s">
        <v>3210</v>
      </c>
      <c r="B639" s="616" t="str">
        <f t="shared" si="9"/>
        <v/>
      </c>
      <c r="C639" s="665"/>
      <c r="D639" s="655">
        <v>2</v>
      </c>
      <c r="E639" s="236"/>
      <c r="F639" s="232" t="s">
        <v>2539</v>
      </c>
      <c r="G639" s="239"/>
      <c r="H639" s="652"/>
      <c r="I639" s="656"/>
      <c r="J639" s="654"/>
    </row>
    <row r="640" spans="1:10" x14ac:dyDescent="0.35">
      <c r="A640" s="615" t="s">
        <v>3211</v>
      </c>
      <c r="B640" s="616" t="str">
        <f t="shared" si="9"/>
        <v/>
      </c>
      <c r="C640" s="665"/>
      <c r="D640" s="655">
        <v>0</v>
      </c>
      <c r="E640" s="236"/>
      <c r="F640" s="232" t="s">
        <v>2538</v>
      </c>
      <c r="G640" s="239"/>
      <c r="H640" s="652"/>
      <c r="I640" s="656"/>
      <c r="J640" s="654"/>
    </row>
    <row r="641" spans="1:10" x14ac:dyDescent="0.35">
      <c r="A641" s="615" t="s">
        <v>3212</v>
      </c>
      <c r="B641" s="616" t="str">
        <f t="shared" si="9"/>
        <v/>
      </c>
      <c r="C641" s="665"/>
      <c r="D641" s="655">
        <v>0</v>
      </c>
      <c r="E641" s="236"/>
      <c r="F641" s="232" t="s">
        <v>2538</v>
      </c>
      <c r="G641" s="239"/>
      <c r="H641" s="652"/>
      <c r="I641" s="656"/>
      <c r="J641" s="654"/>
    </row>
    <row r="642" spans="1:10" x14ac:dyDescent="0.35">
      <c r="A642" s="615" t="s">
        <v>3213</v>
      </c>
      <c r="B642" s="616" t="str">
        <f t="shared" si="9"/>
        <v/>
      </c>
      <c r="C642" s="665"/>
      <c r="D642" s="655">
        <v>0</v>
      </c>
      <c r="E642" s="236"/>
      <c r="F642" s="232" t="s">
        <v>2538</v>
      </c>
      <c r="G642" s="239"/>
      <c r="H642" s="652"/>
      <c r="I642" s="656"/>
      <c r="J642" s="654"/>
    </row>
    <row r="643" spans="1:10" x14ac:dyDescent="0.35">
      <c r="A643" s="615" t="s">
        <v>3214</v>
      </c>
      <c r="B643" s="616" t="str">
        <f t="shared" si="9"/>
        <v/>
      </c>
      <c r="C643" s="665"/>
      <c r="D643" s="651">
        <v>2</v>
      </c>
      <c r="E643" s="236"/>
      <c r="F643" s="232" t="s">
        <v>2572</v>
      </c>
      <c r="G643" s="239"/>
      <c r="H643" s="652"/>
      <c r="I643" s="656"/>
      <c r="J643" s="654"/>
    </row>
    <row r="644" spans="1:10" x14ac:dyDescent="0.35">
      <c r="A644" s="615" t="s">
        <v>3215</v>
      </c>
      <c r="B644" s="616" t="str">
        <f t="shared" ref="B644:B707" si="10">IF(C644="","",IF(D644="Datum",TEXT(DAY(C644),"00")&amp;"."&amp;TEXT(MONTH(C644),"00")&amp;"."&amp;TEXT(YEAR(C644),"0000"),IF(AND(ISNUMBER(C644),D644="x"),TEXT(C644,"@"),IF(ISNUMBER(C644),TEXT(ROUNDDOWN(C644,0),0)&amp;IF(D644=0,"","."&amp;IF(C644-ROUNDDOWN(C644,0)=0,LEFT("0000000000",D644),TEXT((C644-ROUNDDOWN(C644,0))*(1&amp; LEFT("0000000000",$D644)),LEFT("0000000000",$D644)))),C644))))</f>
        <v/>
      </c>
      <c r="C644" s="665"/>
      <c r="D644" s="651">
        <v>2</v>
      </c>
      <c r="E644" s="236"/>
      <c r="F644" s="232" t="s">
        <v>2572</v>
      </c>
      <c r="G644" s="239"/>
      <c r="H644" s="652"/>
      <c r="I644" s="656"/>
      <c r="J644" s="654"/>
    </row>
    <row r="645" spans="1:10" x14ac:dyDescent="0.35">
      <c r="A645" s="615" t="s">
        <v>3216</v>
      </c>
      <c r="B645" s="616" t="str">
        <f t="shared" si="10"/>
        <v/>
      </c>
      <c r="C645" s="665"/>
      <c r="D645" s="651">
        <v>2</v>
      </c>
      <c r="E645" s="236"/>
      <c r="F645" s="232" t="s">
        <v>2572</v>
      </c>
      <c r="G645" s="239"/>
      <c r="H645" s="652"/>
      <c r="I645" s="656"/>
      <c r="J645" s="654"/>
    </row>
    <row r="646" spans="1:10" x14ac:dyDescent="0.35">
      <c r="A646" s="615" t="s">
        <v>3217</v>
      </c>
      <c r="B646" s="616" t="str">
        <f t="shared" si="10"/>
        <v/>
      </c>
      <c r="C646" s="665"/>
      <c r="D646" s="651">
        <v>2</v>
      </c>
      <c r="E646" s="236"/>
      <c r="F646" s="232" t="s">
        <v>2572</v>
      </c>
      <c r="G646" s="239"/>
      <c r="H646" s="652"/>
      <c r="I646" s="656"/>
      <c r="J646" s="654"/>
    </row>
    <row r="647" spans="1:10" x14ac:dyDescent="0.35">
      <c r="A647" s="615" t="s">
        <v>3218</v>
      </c>
      <c r="B647" s="616" t="str">
        <f t="shared" si="10"/>
        <v/>
      </c>
      <c r="C647" s="665"/>
      <c r="D647" s="651">
        <v>2</v>
      </c>
      <c r="E647" s="236"/>
      <c r="F647" s="232" t="s">
        <v>2572</v>
      </c>
      <c r="G647" s="239"/>
      <c r="H647" s="652"/>
      <c r="I647" s="656"/>
      <c r="J647" s="654"/>
    </row>
    <row r="648" spans="1:10" x14ac:dyDescent="0.35">
      <c r="A648" s="615" t="s">
        <v>3219</v>
      </c>
      <c r="B648" s="616" t="str">
        <f t="shared" si="10"/>
        <v/>
      </c>
      <c r="C648" s="665"/>
      <c r="D648" s="655">
        <v>6</v>
      </c>
      <c r="E648" s="236"/>
      <c r="F648" s="232" t="s">
        <v>2579</v>
      </c>
      <c r="G648" s="239" t="s">
        <v>2583</v>
      </c>
      <c r="H648" s="652"/>
      <c r="I648" s="656"/>
      <c r="J648" s="654"/>
    </row>
    <row r="649" spans="1:10" x14ac:dyDescent="0.35">
      <c r="A649" s="615" t="s">
        <v>3220</v>
      </c>
      <c r="B649" s="616" t="str">
        <f t="shared" si="10"/>
        <v/>
      </c>
      <c r="C649" s="665"/>
      <c r="D649" s="655" t="s">
        <v>75</v>
      </c>
      <c r="E649" s="236"/>
      <c r="F649" s="232" t="s">
        <v>76</v>
      </c>
      <c r="G649" s="239"/>
      <c r="H649" s="652"/>
      <c r="I649" s="656"/>
      <c r="J649" s="654"/>
    </row>
    <row r="650" spans="1:10" x14ac:dyDescent="0.35">
      <c r="A650" s="615" t="s">
        <v>3221</v>
      </c>
      <c r="B650" s="616" t="str">
        <f t="shared" si="10"/>
        <v/>
      </c>
      <c r="C650" s="665"/>
      <c r="D650" s="655">
        <v>2</v>
      </c>
      <c r="E650" s="236"/>
      <c r="F650" s="232" t="s">
        <v>2539</v>
      </c>
      <c r="G650" s="239" t="s">
        <v>2585</v>
      </c>
      <c r="H650" s="652"/>
      <c r="I650" s="656"/>
      <c r="J650" s="654"/>
    </row>
    <row r="651" spans="1:10" x14ac:dyDescent="0.35">
      <c r="A651" s="615" t="s">
        <v>3222</v>
      </c>
      <c r="B651" s="616" t="str">
        <f t="shared" si="10"/>
        <v/>
      </c>
      <c r="C651" s="665"/>
      <c r="D651" s="655">
        <v>2</v>
      </c>
      <c r="E651" s="236"/>
      <c r="F651" s="232" t="s">
        <v>2539</v>
      </c>
      <c r="G651" s="239" t="s">
        <v>2585</v>
      </c>
      <c r="H651" s="652"/>
      <c r="I651" s="656"/>
      <c r="J651" s="654"/>
    </row>
    <row r="652" spans="1:10" x14ac:dyDescent="0.35">
      <c r="A652" s="615" t="s">
        <v>3223</v>
      </c>
      <c r="B652" s="616" t="str">
        <f t="shared" si="10"/>
        <v/>
      </c>
      <c r="C652" s="665"/>
      <c r="D652" s="655">
        <v>2</v>
      </c>
      <c r="E652" s="236"/>
      <c r="F652" s="232" t="s">
        <v>2539</v>
      </c>
      <c r="G652" s="239" t="s">
        <v>2585</v>
      </c>
      <c r="H652" s="652"/>
      <c r="I652" s="656"/>
      <c r="J652" s="654"/>
    </row>
    <row r="653" spans="1:10" x14ac:dyDescent="0.35">
      <c r="A653" s="615" t="s">
        <v>3224</v>
      </c>
      <c r="B653" s="616" t="str">
        <f t="shared" si="10"/>
        <v/>
      </c>
      <c r="C653" s="665"/>
      <c r="D653" s="655">
        <v>2</v>
      </c>
      <c r="E653" s="236"/>
      <c r="F653" s="232" t="s">
        <v>2539</v>
      </c>
      <c r="G653" s="239" t="s">
        <v>2585</v>
      </c>
      <c r="H653" s="652"/>
      <c r="I653" s="656"/>
      <c r="J653" s="654"/>
    </row>
    <row r="654" spans="1:10" x14ac:dyDescent="0.35">
      <c r="A654" s="615" t="s">
        <v>3225</v>
      </c>
      <c r="B654" s="616" t="str">
        <f t="shared" si="10"/>
        <v/>
      </c>
      <c r="C654" s="665"/>
      <c r="D654" s="655">
        <v>2</v>
      </c>
      <c r="E654" s="236"/>
      <c r="F654" s="232" t="s">
        <v>2539</v>
      </c>
      <c r="G654" s="239" t="s">
        <v>2585</v>
      </c>
      <c r="H654" s="652"/>
      <c r="I654" s="656"/>
      <c r="J654" s="654"/>
    </row>
    <row r="655" spans="1:10" x14ac:dyDescent="0.35">
      <c r="A655" s="615" t="s">
        <v>3226</v>
      </c>
      <c r="B655" s="616" t="str">
        <f t="shared" si="10"/>
        <v/>
      </c>
      <c r="C655" s="665"/>
      <c r="D655" s="655">
        <v>2</v>
      </c>
      <c r="E655" s="236"/>
      <c r="F655" s="232" t="s">
        <v>2539</v>
      </c>
      <c r="G655" s="239" t="s">
        <v>2585</v>
      </c>
      <c r="H655" s="652"/>
      <c r="I655" s="656"/>
      <c r="J655" s="654"/>
    </row>
    <row r="656" spans="1:10" ht="48" x14ac:dyDescent="0.35">
      <c r="A656" s="615" t="s">
        <v>3227</v>
      </c>
      <c r="B656" s="616" t="str">
        <f t="shared" si="10"/>
        <v/>
      </c>
      <c r="C656" s="665"/>
      <c r="D656" s="655" t="s">
        <v>75</v>
      </c>
      <c r="E656" s="236"/>
      <c r="F656" s="232" t="s">
        <v>76</v>
      </c>
      <c r="G656" s="657" t="s">
        <v>2591</v>
      </c>
      <c r="H656" s="652"/>
      <c r="I656" s="656"/>
      <c r="J656" s="654"/>
    </row>
    <row r="657" spans="1:10" x14ac:dyDescent="0.35">
      <c r="A657" s="615" t="s">
        <v>3228</v>
      </c>
      <c r="B657" s="616" t="str">
        <f t="shared" si="10"/>
        <v/>
      </c>
      <c r="C657" s="665"/>
      <c r="D657" s="655">
        <v>2</v>
      </c>
      <c r="E657" s="236"/>
      <c r="F657" s="232" t="s">
        <v>2539</v>
      </c>
      <c r="G657" s="239"/>
      <c r="H657" s="652"/>
      <c r="I657" s="656"/>
      <c r="J657" s="654"/>
    </row>
    <row r="658" spans="1:10" x14ac:dyDescent="0.35">
      <c r="A658" s="615" t="s">
        <v>3229</v>
      </c>
      <c r="B658" s="616" t="str">
        <f t="shared" si="10"/>
        <v/>
      </c>
      <c r="C658" s="665"/>
      <c r="D658" s="655">
        <v>0</v>
      </c>
      <c r="E658" s="236"/>
      <c r="F658" s="232" t="s">
        <v>2538</v>
      </c>
      <c r="G658" s="239"/>
      <c r="H658" s="652"/>
      <c r="I658" s="656"/>
      <c r="J658" s="654"/>
    </row>
    <row r="659" spans="1:10" x14ac:dyDescent="0.35">
      <c r="A659" s="615" t="s">
        <v>3230</v>
      </c>
      <c r="B659" s="616" t="str">
        <f t="shared" si="10"/>
        <v/>
      </c>
      <c r="C659" s="665"/>
      <c r="D659" s="655">
        <v>0</v>
      </c>
      <c r="E659" s="236"/>
      <c r="F659" s="232" t="s">
        <v>2538</v>
      </c>
      <c r="G659" s="239"/>
      <c r="H659" s="652"/>
      <c r="I659" s="656"/>
      <c r="J659" s="654"/>
    </row>
    <row r="660" spans="1:10" x14ac:dyDescent="0.35">
      <c r="A660" s="615" t="s">
        <v>3231</v>
      </c>
      <c r="B660" s="616" t="str">
        <f t="shared" si="10"/>
        <v/>
      </c>
      <c r="C660" s="665"/>
      <c r="D660" s="655">
        <v>0</v>
      </c>
      <c r="E660" s="236"/>
      <c r="F660" s="232" t="s">
        <v>2538</v>
      </c>
      <c r="G660" s="239"/>
      <c r="H660" s="652"/>
      <c r="I660" s="656"/>
      <c r="J660" s="654"/>
    </row>
    <row r="661" spans="1:10" x14ac:dyDescent="0.35">
      <c r="A661" s="615" t="s">
        <v>3232</v>
      </c>
      <c r="B661" s="616" t="str">
        <f t="shared" si="10"/>
        <v/>
      </c>
      <c r="C661" s="665"/>
      <c r="D661" s="651">
        <v>2</v>
      </c>
      <c r="E661" s="236"/>
      <c r="F661" s="232" t="s">
        <v>2572</v>
      </c>
      <c r="G661" s="239"/>
      <c r="H661" s="652"/>
      <c r="I661" s="656"/>
      <c r="J661" s="654"/>
    </row>
    <row r="662" spans="1:10" x14ac:dyDescent="0.35">
      <c r="A662" s="615" t="s">
        <v>3233</v>
      </c>
      <c r="B662" s="616" t="str">
        <f t="shared" si="10"/>
        <v/>
      </c>
      <c r="C662" s="665"/>
      <c r="D662" s="651">
        <v>2</v>
      </c>
      <c r="E662" s="236"/>
      <c r="F662" s="232" t="s">
        <v>2572</v>
      </c>
      <c r="G662" s="239"/>
      <c r="H662" s="652"/>
      <c r="I662" s="656"/>
      <c r="J662" s="654"/>
    </row>
    <row r="663" spans="1:10" x14ac:dyDescent="0.35">
      <c r="A663" s="615" t="s">
        <v>3234</v>
      </c>
      <c r="B663" s="616" t="str">
        <f t="shared" si="10"/>
        <v/>
      </c>
      <c r="C663" s="665"/>
      <c r="D663" s="651">
        <v>2</v>
      </c>
      <c r="E663" s="236"/>
      <c r="F663" s="232" t="s">
        <v>2572</v>
      </c>
      <c r="G663" s="239"/>
      <c r="H663" s="652"/>
      <c r="I663" s="656"/>
      <c r="J663" s="654"/>
    </row>
    <row r="664" spans="1:10" x14ac:dyDescent="0.35">
      <c r="A664" s="615" t="s">
        <v>3235</v>
      </c>
      <c r="B664" s="616" t="str">
        <f t="shared" si="10"/>
        <v/>
      </c>
      <c r="C664" s="665"/>
      <c r="D664" s="651">
        <v>2</v>
      </c>
      <c r="E664" s="236"/>
      <c r="F664" s="232" t="s">
        <v>2572</v>
      </c>
      <c r="G664" s="239"/>
      <c r="H664" s="652"/>
      <c r="I664" s="656"/>
      <c r="J664" s="654"/>
    </row>
    <row r="665" spans="1:10" x14ac:dyDescent="0.35">
      <c r="A665" s="615" t="s">
        <v>3236</v>
      </c>
      <c r="B665" s="616" t="str">
        <f t="shared" si="10"/>
        <v/>
      </c>
      <c r="C665" s="665"/>
      <c r="D665" s="651">
        <v>2</v>
      </c>
      <c r="E665" s="236"/>
      <c r="F665" s="232" t="s">
        <v>2572</v>
      </c>
      <c r="G665" s="239"/>
      <c r="H665" s="652"/>
      <c r="I665" s="656"/>
      <c r="J665" s="654"/>
    </row>
    <row r="666" spans="1:10" x14ac:dyDescent="0.35">
      <c r="A666" s="615" t="s">
        <v>3237</v>
      </c>
      <c r="B666" s="616" t="str">
        <f t="shared" si="10"/>
        <v/>
      </c>
      <c r="C666" s="665"/>
      <c r="D666" s="655">
        <v>6</v>
      </c>
      <c r="E666" s="236"/>
      <c r="F666" s="232" t="s">
        <v>2579</v>
      </c>
      <c r="G666" s="239" t="s">
        <v>2583</v>
      </c>
      <c r="H666" s="652"/>
      <c r="I666" s="656"/>
      <c r="J666" s="654"/>
    </row>
    <row r="667" spans="1:10" x14ac:dyDescent="0.35">
      <c r="A667" s="615" t="s">
        <v>3238</v>
      </c>
      <c r="B667" s="616" t="str">
        <f t="shared" si="10"/>
        <v/>
      </c>
      <c r="C667" s="665"/>
      <c r="D667" s="655" t="s">
        <v>75</v>
      </c>
      <c r="E667" s="236"/>
      <c r="F667" s="232" t="s">
        <v>76</v>
      </c>
      <c r="G667" s="239"/>
      <c r="H667" s="652"/>
      <c r="I667" s="656"/>
      <c r="J667" s="654"/>
    </row>
    <row r="668" spans="1:10" x14ac:dyDescent="0.35">
      <c r="A668" s="615" t="s">
        <v>3239</v>
      </c>
      <c r="B668" s="616" t="str">
        <f t="shared" si="10"/>
        <v/>
      </c>
      <c r="C668" s="665"/>
      <c r="D668" s="655">
        <v>2</v>
      </c>
      <c r="E668" s="236"/>
      <c r="F668" s="232" t="s">
        <v>2539</v>
      </c>
      <c r="G668" s="239" t="s">
        <v>2585</v>
      </c>
      <c r="H668" s="652"/>
      <c r="I668" s="656"/>
      <c r="J668" s="654"/>
    </row>
    <row r="669" spans="1:10" x14ac:dyDescent="0.35">
      <c r="A669" s="615" t="s">
        <v>3240</v>
      </c>
      <c r="B669" s="616" t="str">
        <f t="shared" si="10"/>
        <v/>
      </c>
      <c r="C669" s="665"/>
      <c r="D669" s="655">
        <v>2</v>
      </c>
      <c r="E669" s="236"/>
      <c r="F669" s="232" t="s">
        <v>2539</v>
      </c>
      <c r="G669" s="239" t="s">
        <v>2585</v>
      </c>
      <c r="H669" s="652"/>
      <c r="I669" s="656"/>
      <c r="J669" s="654"/>
    </row>
    <row r="670" spans="1:10" x14ac:dyDescent="0.35">
      <c r="A670" s="615" t="s">
        <v>3241</v>
      </c>
      <c r="B670" s="616" t="str">
        <f t="shared" si="10"/>
        <v/>
      </c>
      <c r="C670" s="665"/>
      <c r="D670" s="655">
        <v>2</v>
      </c>
      <c r="E670" s="236"/>
      <c r="F670" s="232" t="s">
        <v>2539</v>
      </c>
      <c r="G670" s="239" t="s">
        <v>2585</v>
      </c>
      <c r="H670" s="652"/>
      <c r="I670" s="656"/>
      <c r="J670" s="654"/>
    </row>
    <row r="671" spans="1:10" x14ac:dyDescent="0.35">
      <c r="A671" s="615" t="s">
        <v>3242</v>
      </c>
      <c r="B671" s="616" t="str">
        <f t="shared" si="10"/>
        <v/>
      </c>
      <c r="C671" s="665"/>
      <c r="D671" s="655">
        <v>2</v>
      </c>
      <c r="E671" s="236"/>
      <c r="F671" s="232" t="s">
        <v>2539</v>
      </c>
      <c r="G671" s="239" t="s">
        <v>2585</v>
      </c>
      <c r="H671" s="652"/>
      <c r="I671" s="656"/>
      <c r="J671" s="654"/>
    </row>
    <row r="672" spans="1:10" x14ac:dyDescent="0.35">
      <c r="A672" s="615" t="s">
        <v>3243</v>
      </c>
      <c r="B672" s="616" t="str">
        <f t="shared" si="10"/>
        <v/>
      </c>
      <c r="C672" s="665"/>
      <c r="D672" s="655">
        <v>2</v>
      </c>
      <c r="E672" s="236"/>
      <c r="F672" s="232" t="s">
        <v>2539</v>
      </c>
      <c r="G672" s="239" t="s">
        <v>2585</v>
      </c>
      <c r="H672" s="652"/>
      <c r="I672" s="656"/>
      <c r="J672" s="654"/>
    </row>
    <row r="673" spans="1:10" x14ac:dyDescent="0.35">
      <c r="A673" s="615" t="s">
        <v>3244</v>
      </c>
      <c r="B673" s="616" t="str">
        <f t="shared" si="10"/>
        <v/>
      </c>
      <c r="C673" s="665"/>
      <c r="D673" s="655">
        <v>2</v>
      </c>
      <c r="E673" s="236"/>
      <c r="F673" s="232" t="s">
        <v>2539</v>
      </c>
      <c r="G673" s="239" t="s">
        <v>2585</v>
      </c>
      <c r="H673" s="652"/>
      <c r="I673" s="656"/>
      <c r="J673" s="654"/>
    </row>
    <row r="674" spans="1:10" ht="48" x14ac:dyDescent="0.35">
      <c r="A674" s="615" t="s">
        <v>3245</v>
      </c>
      <c r="B674" s="616" t="str">
        <f t="shared" si="10"/>
        <v/>
      </c>
      <c r="C674" s="665"/>
      <c r="D674" s="655" t="s">
        <v>75</v>
      </c>
      <c r="E674" s="236"/>
      <c r="F674" s="232" t="s">
        <v>76</v>
      </c>
      <c r="G674" s="657" t="s">
        <v>2591</v>
      </c>
      <c r="H674" s="652"/>
      <c r="I674" s="656"/>
      <c r="J674" s="654"/>
    </row>
    <row r="675" spans="1:10" x14ac:dyDescent="0.35">
      <c r="A675" s="615" t="s">
        <v>3246</v>
      </c>
      <c r="B675" s="616" t="str">
        <f t="shared" si="10"/>
        <v/>
      </c>
      <c r="C675" s="665"/>
      <c r="D675" s="655">
        <v>2</v>
      </c>
      <c r="E675" s="236"/>
      <c r="F675" s="232" t="s">
        <v>2539</v>
      </c>
      <c r="G675" s="239"/>
      <c r="H675" s="652"/>
      <c r="I675" s="656"/>
      <c r="J675" s="654"/>
    </row>
    <row r="676" spans="1:10" x14ac:dyDescent="0.35">
      <c r="A676" s="615" t="s">
        <v>3247</v>
      </c>
      <c r="B676" s="616" t="str">
        <f t="shared" si="10"/>
        <v/>
      </c>
      <c r="C676" s="665"/>
      <c r="D676" s="655">
        <v>0</v>
      </c>
      <c r="E676" s="236"/>
      <c r="F676" s="232" t="s">
        <v>2538</v>
      </c>
      <c r="G676" s="239"/>
      <c r="H676" s="652"/>
      <c r="I676" s="656"/>
      <c r="J676" s="654"/>
    </row>
    <row r="677" spans="1:10" x14ac:dyDescent="0.35">
      <c r="A677" s="615" t="s">
        <v>3248</v>
      </c>
      <c r="B677" s="616" t="str">
        <f t="shared" si="10"/>
        <v/>
      </c>
      <c r="C677" s="665"/>
      <c r="D677" s="655">
        <v>0</v>
      </c>
      <c r="E677" s="236"/>
      <c r="F677" s="232" t="s">
        <v>2538</v>
      </c>
      <c r="G677" s="239"/>
      <c r="H677" s="652"/>
      <c r="I677" s="656"/>
      <c r="J677" s="654"/>
    </row>
    <row r="678" spans="1:10" x14ac:dyDescent="0.35">
      <c r="A678" s="615" t="s">
        <v>3249</v>
      </c>
      <c r="B678" s="616" t="str">
        <f t="shared" si="10"/>
        <v/>
      </c>
      <c r="C678" s="665"/>
      <c r="D678" s="655">
        <v>0</v>
      </c>
      <c r="E678" s="236"/>
      <c r="F678" s="232" t="s">
        <v>2538</v>
      </c>
      <c r="G678" s="239"/>
      <c r="H678" s="652"/>
      <c r="I678" s="656"/>
      <c r="J678" s="654"/>
    </row>
    <row r="679" spans="1:10" x14ac:dyDescent="0.35">
      <c r="A679" s="615" t="s">
        <v>3250</v>
      </c>
      <c r="B679" s="616" t="str">
        <f t="shared" si="10"/>
        <v/>
      </c>
      <c r="C679" s="665"/>
      <c r="D679" s="651">
        <v>2</v>
      </c>
      <c r="E679" s="236"/>
      <c r="F679" s="232" t="s">
        <v>2572</v>
      </c>
      <c r="G679" s="239"/>
      <c r="H679" s="652"/>
      <c r="I679" s="656"/>
      <c r="J679" s="654"/>
    </row>
    <row r="680" spans="1:10" x14ac:dyDescent="0.35">
      <c r="A680" s="615" t="s">
        <v>3251</v>
      </c>
      <c r="B680" s="616" t="str">
        <f t="shared" si="10"/>
        <v/>
      </c>
      <c r="C680" s="665"/>
      <c r="D680" s="651">
        <v>2</v>
      </c>
      <c r="E680" s="236"/>
      <c r="F680" s="232" t="s">
        <v>2572</v>
      </c>
      <c r="G680" s="239"/>
      <c r="H680" s="652"/>
      <c r="I680" s="656"/>
      <c r="J680" s="654"/>
    </row>
    <row r="681" spans="1:10" x14ac:dyDescent="0.35">
      <c r="A681" s="615" t="s">
        <v>3252</v>
      </c>
      <c r="B681" s="616" t="str">
        <f t="shared" si="10"/>
        <v/>
      </c>
      <c r="C681" s="665"/>
      <c r="D681" s="651">
        <v>2</v>
      </c>
      <c r="E681" s="236"/>
      <c r="F681" s="232" t="s">
        <v>2572</v>
      </c>
      <c r="G681" s="239"/>
      <c r="H681" s="652"/>
      <c r="I681" s="656"/>
      <c r="J681" s="654"/>
    </row>
    <row r="682" spans="1:10" x14ac:dyDescent="0.35">
      <c r="A682" s="615" t="s">
        <v>3253</v>
      </c>
      <c r="B682" s="616" t="str">
        <f t="shared" si="10"/>
        <v/>
      </c>
      <c r="C682" s="665"/>
      <c r="D682" s="651">
        <v>2</v>
      </c>
      <c r="E682" s="236"/>
      <c r="F682" s="232" t="s">
        <v>2572</v>
      </c>
      <c r="G682" s="239"/>
      <c r="H682" s="652"/>
      <c r="I682" s="656"/>
      <c r="J682" s="654"/>
    </row>
    <row r="683" spans="1:10" x14ac:dyDescent="0.35">
      <c r="A683" s="615" t="s">
        <v>3254</v>
      </c>
      <c r="B683" s="616" t="str">
        <f t="shared" si="10"/>
        <v/>
      </c>
      <c r="C683" s="665"/>
      <c r="D683" s="651">
        <v>2</v>
      </c>
      <c r="E683" s="236"/>
      <c r="F683" s="232" t="s">
        <v>2572</v>
      </c>
      <c r="G683" s="239"/>
      <c r="H683" s="652"/>
      <c r="I683" s="656"/>
      <c r="J683" s="654"/>
    </row>
    <row r="684" spans="1:10" x14ac:dyDescent="0.35">
      <c r="A684" s="615" t="s">
        <v>3255</v>
      </c>
      <c r="B684" s="616" t="str">
        <f t="shared" si="10"/>
        <v/>
      </c>
      <c r="C684" s="665"/>
      <c r="D684" s="655">
        <v>6</v>
      </c>
      <c r="E684" s="236"/>
      <c r="F684" s="232" t="s">
        <v>2579</v>
      </c>
      <c r="G684" s="239" t="s">
        <v>2583</v>
      </c>
      <c r="H684" s="652"/>
      <c r="I684" s="656"/>
      <c r="J684" s="654"/>
    </row>
    <row r="685" spans="1:10" x14ac:dyDescent="0.35">
      <c r="A685" s="615" t="s">
        <v>3256</v>
      </c>
      <c r="B685" s="616" t="str">
        <f t="shared" si="10"/>
        <v/>
      </c>
      <c r="C685" s="665"/>
      <c r="D685" s="655" t="s">
        <v>75</v>
      </c>
      <c r="E685" s="236"/>
      <c r="F685" s="232" t="s">
        <v>76</v>
      </c>
      <c r="G685" s="239"/>
      <c r="H685" s="652"/>
      <c r="I685" s="656"/>
      <c r="J685" s="654"/>
    </row>
    <row r="686" spans="1:10" x14ac:dyDescent="0.35">
      <c r="A686" s="615" t="s">
        <v>3257</v>
      </c>
      <c r="B686" s="616" t="str">
        <f t="shared" si="10"/>
        <v/>
      </c>
      <c r="C686" s="665"/>
      <c r="D686" s="655">
        <v>2</v>
      </c>
      <c r="E686" s="236"/>
      <c r="F686" s="232" t="s">
        <v>2539</v>
      </c>
      <c r="G686" s="239" t="s">
        <v>2585</v>
      </c>
      <c r="H686" s="652"/>
      <c r="I686" s="656"/>
      <c r="J686" s="654"/>
    </row>
    <row r="687" spans="1:10" x14ac:dyDescent="0.35">
      <c r="A687" s="615" t="s">
        <v>3258</v>
      </c>
      <c r="B687" s="616" t="str">
        <f t="shared" si="10"/>
        <v/>
      </c>
      <c r="C687" s="665"/>
      <c r="D687" s="655">
        <v>2</v>
      </c>
      <c r="E687" s="236"/>
      <c r="F687" s="232" t="s">
        <v>2539</v>
      </c>
      <c r="G687" s="239" t="s">
        <v>2585</v>
      </c>
      <c r="H687" s="652"/>
      <c r="I687" s="656"/>
      <c r="J687" s="654"/>
    </row>
    <row r="688" spans="1:10" x14ac:dyDescent="0.35">
      <c r="A688" s="615" t="s">
        <v>3259</v>
      </c>
      <c r="B688" s="616" t="str">
        <f t="shared" si="10"/>
        <v/>
      </c>
      <c r="C688" s="665"/>
      <c r="D688" s="655">
        <v>2</v>
      </c>
      <c r="E688" s="236"/>
      <c r="F688" s="232" t="s">
        <v>2539</v>
      </c>
      <c r="G688" s="239" t="s">
        <v>2585</v>
      </c>
      <c r="H688" s="652"/>
      <c r="I688" s="656"/>
      <c r="J688" s="654"/>
    </row>
    <row r="689" spans="1:10" x14ac:dyDescent="0.35">
      <c r="A689" s="615" t="s">
        <v>3260</v>
      </c>
      <c r="B689" s="616" t="str">
        <f t="shared" si="10"/>
        <v/>
      </c>
      <c r="C689" s="665"/>
      <c r="D689" s="655">
        <v>2</v>
      </c>
      <c r="E689" s="236"/>
      <c r="F689" s="232" t="s">
        <v>2539</v>
      </c>
      <c r="G689" s="239" t="s">
        <v>2585</v>
      </c>
      <c r="H689" s="652"/>
      <c r="I689" s="656"/>
      <c r="J689" s="654"/>
    </row>
    <row r="690" spans="1:10" x14ac:dyDescent="0.35">
      <c r="A690" s="615" t="s">
        <v>3261</v>
      </c>
      <c r="B690" s="616" t="str">
        <f t="shared" si="10"/>
        <v/>
      </c>
      <c r="C690" s="665"/>
      <c r="D690" s="655">
        <v>2</v>
      </c>
      <c r="E690" s="236"/>
      <c r="F690" s="232" t="s">
        <v>2539</v>
      </c>
      <c r="G690" s="239" t="s">
        <v>2585</v>
      </c>
      <c r="H690" s="652"/>
      <c r="I690" s="656"/>
      <c r="J690" s="654"/>
    </row>
    <row r="691" spans="1:10" x14ac:dyDescent="0.35">
      <c r="A691" s="615" t="s">
        <v>3262</v>
      </c>
      <c r="B691" s="616" t="str">
        <f t="shared" si="10"/>
        <v/>
      </c>
      <c r="C691" s="665"/>
      <c r="D691" s="655">
        <v>2</v>
      </c>
      <c r="E691" s="236"/>
      <c r="F691" s="232" t="s">
        <v>2539</v>
      </c>
      <c r="G691" s="239" t="s">
        <v>2585</v>
      </c>
      <c r="H691" s="652"/>
      <c r="I691" s="656"/>
      <c r="J691" s="654"/>
    </row>
    <row r="692" spans="1:10" ht="48" x14ac:dyDescent="0.35">
      <c r="A692" s="615" t="s">
        <v>3263</v>
      </c>
      <c r="B692" s="616" t="str">
        <f t="shared" si="10"/>
        <v/>
      </c>
      <c r="C692" s="665"/>
      <c r="D692" s="655" t="s">
        <v>75</v>
      </c>
      <c r="E692" s="236"/>
      <c r="F692" s="232" t="s">
        <v>76</v>
      </c>
      <c r="G692" s="657" t="s">
        <v>2591</v>
      </c>
      <c r="H692" s="652"/>
      <c r="I692" s="656"/>
      <c r="J692" s="654"/>
    </row>
    <row r="693" spans="1:10" x14ac:dyDescent="0.35">
      <c r="A693" s="615" t="s">
        <v>3264</v>
      </c>
      <c r="B693" s="616" t="str">
        <f t="shared" si="10"/>
        <v/>
      </c>
      <c r="C693" s="665"/>
      <c r="D693" s="655">
        <v>2</v>
      </c>
      <c r="E693" s="236"/>
      <c r="F693" s="232" t="s">
        <v>2539</v>
      </c>
      <c r="G693" s="239"/>
      <c r="H693" s="652"/>
      <c r="I693" s="656"/>
      <c r="J693" s="654"/>
    </row>
    <row r="694" spans="1:10" x14ac:dyDescent="0.35">
      <c r="A694" s="615" t="s">
        <v>3265</v>
      </c>
      <c r="B694" s="616" t="str">
        <f t="shared" si="10"/>
        <v/>
      </c>
      <c r="C694" s="665"/>
      <c r="D694" s="655">
        <v>0</v>
      </c>
      <c r="E694" s="236"/>
      <c r="F694" s="232" t="s">
        <v>2538</v>
      </c>
      <c r="G694" s="239"/>
      <c r="H694" s="652"/>
      <c r="I694" s="656"/>
      <c r="J694" s="654"/>
    </row>
    <row r="695" spans="1:10" x14ac:dyDescent="0.35">
      <c r="A695" s="615" t="s">
        <v>3266</v>
      </c>
      <c r="B695" s="616" t="str">
        <f t="shared" si="10"/>
        <v/>
      </c>
      <c r="C695" s="665"/>
      <c r="D695" s="655">
        <v>0</v>
      </c>
      <c r="E695" s="236"/>
      <c r="F695" s="232" t="s">
        <v>2538</v>
      </c>
      <c r="G695" s="239"/>
      <c r="H695" s="652"/>
      <c r="I695" s="656"/>
      <c r="J695" s="654"/>
    </row>
    <row r="696" spans="1:10" x14ac:dyDescent="0.35">
      <c r="A696" s="615" t="s">
        <v>3267</v>
      </c>
      <c r="B696" s="616" t="str">
        <f t="shared" si="10"/>
        <v/>
      </c>
      <c r="C696" s="665"/>
      <c r="D696" s="655">
        <v>0</v>
      </c>
      <c r="E696" s="236"/>
      <c r="F696" s="232" t="s">
        <v>2538</v>
      </c>
      <c r="G696" s="239"/>
      <c r="H696" s="652"/>
      <c r="I696" s="656"/>
      <c r="J696" s="654"/>
    </row>
    <row r="697" spans="1:10" x14ac:dyDescent="0.35">
      <c r="A697" s="615" t="s">
        <v>3268</v>
      </c>
      <c r="B697" s="616" t="str">
        <f t="shared" si="10"/>
        <v/>
      </c>
      <c r="C697" s="665"/>
      <c r="D697" s="651">
        <v>2</v>
      </c>
      <c r="E697" s="236"/>
      <c r="F697" s="232" t="s">
        <v>2572</v>
      </c>
      <c r="G697" s="239"/>
      <c r="H697" s="652"/>
      <c r="I697" s="656"/>
      <c r="J697" s="654"/>
    </row>
    <row r="698" spans="1:10" x14ac:dyDescent="0.35">
      <c r="A698" s="615" t="s">
        <v>3269</v>
      </c>
      <c r="B698" s="616" t="str">
        <f t="shared" si="10"/>
        <v/>
      </c>
      <c r="C698" s="665"/>
      <c r="D698" s="651">
        <v>2</v>
      </c>
      <c r="E698" s="236"/>
      <c r="F698" s="232" t="s">
        <v>2572</v>
      </c>
      <c r="G698" s="239"/>
      <c r="H698" s="652"/>
      <c r="I698" s="656"/>
      <c r="J698" s="654"/>
    </row>
    <row r="699" spans="1:10" x14ac:dyDescent="0.35">
      <c r="A699" s="615" t="s">
        <v>3270</v>
      </c>
      <c r="B699" s="616" t="str">
        <f t="shared" si="10"/>
        <v/>
      </c>
      <c r="C699" s="665"/>
      <c r="D699" s="651">
        <v>2</v>
      </c>
      <c r="E699" s="236"/>
      <c r="F699" s="232" t="s">
        <v>2572</v>
      </c>
      <c r="G699" s="239"/>
      <c r="H699" s="652"/>
      <c r="I699" s="656"/>
      <c r="J699" s="654"/>
    </row>
    <row r="700" spans="1:10" x14ac:dyDescent="0.35">
      <c r="A700" s="615" t="s">
        <v>3271</v>
      </c>
      <c r="B700" s="616" t="str">
        <f t="shared" si="10"/>
        <v/>
      </c>
      <c r="C700" s="665"/>
      <c r="D700" s="651">
        <v>2</v>
      </c>
      <c r="E700" s="236"/>
      <c r="F700" s="232" t="s">
        <v>2572</v>
      </c>
      <c r="G700" s="239"/>
      <c r="H700" s="652"/>
      <c r="I700" s="656"/>
      <c r="J700" s="654"/>
    </row>
    <row r="701" spans="1:10" x14ac:dyDescent="0.35">
      <c r="A701" s="615" t="s">
        <v>3272</v>
      </c>
      <c r="B701" s="616" t="str">
        <f t="shared" si="10"/>
        <v/>
      </c>
      <c r="C701" s="665"/>
      <c r="D701" s="651">
        <v>2</v>
      </c>
      <c r="E701" s="236"/>
      <c r="F701" s="232" t="s">
        <v>2572</v>
      </c>
      <c r="G701" s="239"/>
      <c r="H701" s="652"/>
      <c r="I701" s="656"/>
      <c r="J701" s="654"/>
    </row>
    <row r="702" spans="1:10" x14ac:dyDescent="0.35">
      <c r="A702" s="615" t="s">
        <v>3273</v>
      </c>
      <c r="B702" s="616" t="str">
        <f t="shared" si="10"/>
        <v/>
      </c>
      <c r="C702" s="665"/>
      <c r="D702" s="655">
        <v>6</v>
      </c>
      <c r="E702" s="236"/>
      <c r="F702" s="232" t="s">
        <v>2579</v>
      </c>
      <c r="G702" s="239" t="s">
        <v>2583</v>
      </c>
      <c r="H702" s="652"/>
      <c r="I702" s="656"/>
      <c r="J702" s="654"/>
    </row>
    <row r="703" spans="1:10" x14ac:dyDescent="0.35">
      <c r="A703" s="615" t="s">
        <v>3274</v>
      </c>
      <c r="B703" s="616" t="str">
        <f t="shared" si="10"/>
        <v/>
      </c>
      <c r="C703" s="665"/>
      <c r="D703" s="655" t="s">
        <v>75</v>
      </c>
      <c r="E703" s="236"/>
      <c r="F703" s="232" t="s">
        <v>76</v>
      </c>
      <c r="G703" s="239"/>
      <c r="H703" s="652"/>
      <c r="I703" s="656"/>
      <c r="J703" s="654"/>
    </row>
    <row r="704" spans="1:10" x14ac:dyDescent="0.35">
      <c r="A704" s="615" t="s">
        <v>3275</v>
      </c>
      <c r="B704" s="616" t="str">
        <f t="shared" si="10"/>
        <v/>
      </c>
      <c r="C704" s="665"/>
      <c r="D704" s="655">
        <v>2</v>
      </c>
      <c r="E704" s="236"/>
      <c r="F704" s="232" t="s">
        <v>2539</v>
      </c>
      <c r="G704" s="239" t="s">
        <v>2585</v>
      </c>
      <c r="H704" s="652"/>
      <c r="I704" s="656"/>
      <c r="J704" s="654"/>
    </row>
    <row r="705" spans="1:10" x14ac:dyDescent="0.35">
      <c r="A705" s="615" t="s">
        <v>3276</v>
      </c>
      <c r="B705" s="616" t="str">
        <f t="shared" si="10"/>
        <v/>
      </c>
      <c r="C705" s="665"/>
      <c r="D705" s="655">
        <v>2</v>
      </c>
      <c r="E705" s="236"/>
      <c r="F705" s="232" t="s">
        <v>2539</v>
      </c>
      <c r="G705" s="239" t="s">
        <v>2585</v>
      </c>
      <c r="H705" s="652"/>
      <c r="I705" s="656"/>
      <c r="J705" s="654"/>
    </row>
    <row r="706" spans="1:10" x14ac:dyDescent="0.35">
      <c r="A706" s="615" t="s">
        <v>3277</v>
      </c>
      <c r="B706" s="616" t="str">
        <f t="shared" si="10"/>
        <v/>
      </c>
      <c r="C706" s="665"/>
      <c r="D706" s="655">
        <v>2</v>
      </c>
      <c r="E706" s="236"/>
      <c r="F706" s="232" t="s">
        <v>2539</v>
      </c>
      <c r="G706" s="239" t="s">
        <v>2585</v>
      </c>
      <c r="H706" s="652"/>
      <c r="I706" s="656"/>
      <c r="J706" s="654"/>
    </row>
    <row r="707" spans="1:10" x14ac:dyDescent="0.35">
      <c r="A707" s="615" t="s">
        <v>3278</v>
      </c>
      <c r="B707" s="616" t="str">
        <f t="shared" si="10"/>
        <v/>
      </c>
      <c r="C707" s="665"/>
      <c r="D707" s="655">
        <v>2</v>
      </c>
      <c r="E707" s="236"/>
      <c r="F707" s="232" t="s">
        <v>2539</v>
      </c>
      <c r="G707" s="239" t="s">
        <v>2585</v>
      </c>
      <c r="H707" s="652"/>
      <c r="I707" s="656"/>
      <c r="J707" s="654"/>
    </row>
    <row r="708" spans="1:10" x14ac:dyDescent="0.35">
      <c r="A708" s="615" t="s">
        <v>3279</v>
      </c>
      <c r="B708" s="616" t="str">
        <f t="shared" ref="B708:B771" si="11">IF(C708="","",IF(D708="Datum",TEXT(DAY(C708),"00")&amp;"."&amp;TEXT(MONTH(C708),"00")&amp;"."&amp;TEXT(YEAR(C708),"0000"),IF(AND(ISNUMBER(C708),D708="x"),TEXT(C708,"@"),IF(ISNUMBER(C708),TEXT(ROUNDDOWN(C708,0),0)&amp;IF(D708=0,"","."&amp;IF(C708-ROUNDDOWN(C708,0)=0,LEFT("0000000000",D708),TEXT((C708-ROUNDDOWN(C708,0))*(1&amp; LEFT("0000000000",$D708)),LEFT("0000000000",$D708)))),C708))))</f>
        <v/>
      </c>
      <c r="C708" s="665"/>
      <c r="D708" s="655">
        <v>2</v>
      </c>
      <c r="E708" s="236"/>
      <c r="F708" s="232" t="s">
        <v>2539</v>
      </c>
      <c r="G708" s="239" t="s">
        <v>2585</v>
      </c>
      <c r="H708" s="652"/>
      <c r="I708" s="656"/>
      <c r="J708" s="654"/>
    </row>
    <row r="709" spans="1:10" x14ac:dyDescent="0.35">
      <c r="A709" s="615" t="s">
        <v>3280</v>
      </c>
      <c r="B709" s="616" t="str">
        <f t="shared" si="11"/>
        <v/>
      </c>
      <c r="C709" s="665"/>
      <c r="D709" s="655">
        <v>2</v>
      </c>
      <c r="E709" s="236"/>
      <c r="F709" s="232" t="s">
        <v>2539</v>
      </c>
      <c r="G709" s="239" t="s">
        <v>2585</v>
      </c>
      <c r="H709" s="652"/>
      <c r="I709" s="656"/>
      <c r="J709" s="654"/>
    </row>
    <row r="710" spans="1:10" ht="48" x14ac:dyDescent="0.35">
      <c r="A710" s="615" t="s">
        <v>3281</v>
      </c>
      <c r="B710" s="616" t="str">
        <f t="shared" si="11"/>
        <v/>
      </c>
      <c r="C710" s="665"/>
      <c r="D710" s="655" t="s">
        <v>75</v>
      </c>
      <c r="E710" s="236"/>
      <c r="F710" s="232" t="s">
        <v>76</v>
      </c>
      <c r="G710" s="657" t="s">
        <v>2591</v>
      </c>
      <c r="H710" s="652"/>
      <c r="I710" s="656"/>
      <c r="J710" s="654"/>
    </row>
    <row r="711" spans="1:10" x14ac:dyDescent="0.35">
      <c r="A711" s="615" t="s">
        <v>3282</v>
      </c>
      <c r="B711" s="616" t="str">
        <f t="shared" si="11"/>
        <v/>
      </c>
      <c r="C711" s="665"/>
      <c r="D711" s="655">
        <v>2</v>
      </c>
      <c r="E711" s="236"/>
      <c r="F711" s="232" t="s">
        <v>2539</v>
      </c>
      <c r="G711" s="239"/>
      <c r="H711" s="652"/>
      <c r="I711" s="656"/>
      <c r="J711" s="654"/>
    </row>
    <row r="712" spans="1:10" x14ac:dyDescent="0.35">
      <c r="A712" s="615" t="s">
        <v>3283</v>
      </c>
      <c r="B712" s="616" t="str">
        <f t="shared" si="11"/>
        <v/>
      </c>
      <c r="C712" s="665"/>
      <c r="D712" s="655">
        <v>0</v>
      </c>
      <c r="E712" s="236"/>
      <c r="F712" s="232" t="s">
        <v>2538</v>
      </c>
      <c r="G712" s="239"/>
      <c r="H712" s="652"/>
      <c r="I712" s="656"/>
      <c r="J712" s="654"/>
    </row>
    <row r="713" spans="1:10" x14ac:dyDescent="0.35">
      <c r="A713" s="615" t="s">
        <v>3284</v>
      </c>
      <c r="B713" s="616" t="str">
        <f t="shared" si="11"/>
        <v/>
      </c>
      <c r="C713" s="665"/>
      <c r="D713" s="655">
        <v>0</v>
      </c>
      <c r="E713" s="236"/>
      <c r="F713" s="232" t="s">
        <v>2538</v>
      </c>
      <c r="G713" s="239"/>
      <c r="H713" s="652"/>
      <c r="I713" s="656"/>
      <c r="J713" s="654"/>
    </row>
    <row r="714" spans="1:10" x14ac:dyDescent="0.35">
      <c r="A714" s="615" t="s">
        <v>3285</v>
      </c>
      <c r="B714" s="616" t="str">
        <f t="shared" si="11"/>
        <v/>
      </c>
      <c r="C714" s="665"/>
      <c r="D714" s="655">
        <v>0</v>
      </c>
      <c r="E714" s="236"/>
      <c r="F714" s="232" t="s">
        <v>2538</v>
      </c>
      <c r="G714" s="239"/>
      <c r="H714" s="652"/>
      <c r="I714" s="656"/>
      <c r="J714" s="654"/>
    </row>
    <row r="715" spans="1:10" x14ac:dyDescent="0.35">
      <c r="A715" s="615" t="s">
        <v>3286</v>
      </c>
      <c r="B715" s="616" t="str">
        <f t="shared" si="11"/>
        <v/>
      </c>
      <c r="C715" s="665"/>
      <c r="D715" s="651">
        <v>2</v>
      </c>
      <c r="E715" s="236"/>
      <c r="F715" s="232" t="s">
        <v>2572</v>
      </c>
      <c r="G715" s="239"/>
      <c r="H715" s="652"/>
      <c r="I715" s="656"/>
      <c r="J715" s="654"/>
    </row>
    <row r="716" spans="1:10" x14ac:dyDescent="0.35">
      <c r="A716" s="615" t="s">
        <v>3287</v>
      </c>
      <c r="B716" s="616" t="str">
        <f t="shared" si="11"/>
        <v/>
      </c>
      <c r="C716" s="665"/>
      <c r="D716" s="651">
        <v>2</v>
      </c>
      <c r="E716" s="236"/>
      <c r="F716" s="232" t="s">
        <v>2572</v>
      </c>
      <c r="G716" s="239"/>
      <c r="H716" s="652"/>
      <c r="I716" s="656"/>
      <c r="J716" s="654"/>
    </row>
    <row r="717" spans="1:10" x14ac:dyDescent="0.35">
      <c r="A717" s="615" t="s">
        <v>3288</v>
      </c>
      <c r="B717" s="616" t="str">
        <f t="shared" si="11"/>
        <v/>
      </c>
      <c r="C717" s="665"/>
      <c r="D717" s="651">
        <v>2</v>
      </c>
      <c r="E717" s="236"/>
      <c r="F717" s="232" t="s">
        <v>2572</v>
      </c>
      <c r="G717" s="239"/>
      <c r="H717" s="652"/>
      <c r="I717" s="656"/>
      <c r="J717" s="654"/>
    </row>
    <row r="718" spans="1:10" x14ac:dyDescent="0.35">
      <c r="A718" s="615" t="s">
        <v>3289</v>
      </c>
      <c r="B718" s="616" t="str">
        <f t="shared" si="11"/>
        <v/>
      </c>
      <c r="C718" s="665"/>
      <c r="D718" s="651">
        <v>2</v>
      </c>
      <c r="E718" s="236"/>
      <c r="F718" s="232" t="s">
        <v>2572</v>
      </c>
      <c r="G718" s="239"/>
      <c r="H718" s="652"/>
      <c r="I718" s="656"/>
      <c r="J718" s="654"/>
    </row>
    <row r="719" spans="1:10" x14ac:dyDescent="0.35">
      <c r="A719" s="615" t="s">
        <v>3290</v>
      </c>
      <c r="B719" s="616" t="str">
        <f t="shared" si="11"/>
        <v/>
      </c>
      <c r="C719" s="665"/>
      <c r="D719" s="651">
        <v>2</v>
      </c>
      <c r="E719" s="236"/>
      <c r="F719" s="232" t="s">
        <v>2572</v>
      </c>
      <c r="G719" s="239"/>
      <c r="H719" s="652"/>
      <c r="I719" s="656"/>
      <c r="J719" s="654"/>
    </row>
    <row r="720" spans="1:10" x14ac:dyDescent="0.35">
      <c r="A720" s="615" t="s">
        <v>3291</v>
      </c>
      <c r="B720" s="616" t="str">
        <f t="shared" si="11"/>
        <v/>
      </c>
      <c r="C720" s="665"/>
      <c r="D720" s="655">
        <v>6</v>
      </c>
      <c r="E720" s="236"/>
      <c r="F720" s="232" t="s">
        <v>2579</v>
      </c>
      <c r="G720" s="239" t="s">
        <v>2583</v>
      </c>
      <c r="H720" s="652"/>
      <c r="I720" s="656"/>
      <c r="J720" s="654"/>
    </row>
    <row r="721" spans="1:10" x14ac:dyDescent="0.35">
      <c r="A721" s="615" t="s">
        <v>3292</v>
      </c>
      <c r="B721" s="616" t="str">
        <f t="shared" si="11"/>
        <v/>
      </c>
      <c r="C721" s="665"/>
      <c r="D721" s="655" t="s">
        <v>75</v>
      </c>
      <c r="E721" s="236"/>
      <c r="F721" s="232" t="s">
        <v>76</v>
      </c>
      <c r="G721" s="239"/>
      <c r="H721" s="652"/>
      <c r="I721" s="656"/>
      <c r="J721" s="654"/>
    </row>
    <row r="722" spans="1:10" x14ac:dyDescent="0.35">
      <c r="A722" s="615" t="s">
        <v>3293</v>
      </c>
      <c r="B722" s="616" t="str">
        <f t="shared" si="11"/>
        <v/>
      </c>
      <c r="C722" s="665"/>
      <c r="D722" s="655">
        <v>2</v>
      </c>
      <c r="E722" s="236"/>
      <c r="F722" s="232" t="s">
        <v>2539</v>
      </c>
      <c r="G722" s="239" t="s">
        <v>2585</v>
      </c>
      <c r="H722" s="652"/>
      <c r="I722" s="656"/>
      <c r="J722" s="654"/>
    </row>
    <row r="723" spans="1:10" x14ac:dyDescent="0.35">
      <c r="A723" s="615" t="s">
        <v>3294</v>
      </c>
      <c r="B723" s="616" t="str">
        <f t="shared" si="11"/>
        <v/>
      </c>
      <c r="C723" s="665"/>
      <c r="D723" s="655">
        <v>2</v>
      </c>
      <c r="E723" s="236"/>
      <c r="F723" s="232" t="s">
        <v>2539</v>
      </c>
      <c r="G723" s="239" t="s">
        <v>2585</v>
      </c>
      <c r="H723" s="652"/>
      <c r="I723" s="656"/>
      <c r="J723" s="654"/>
    </row>
    <row r="724" spans="1:10" x14ac:dyDescent="0.35">
      <c r="A724" s="615" t="s">
        <v>3295</v>
      </c>
      <c r="B724" s="616" t="str">
        <f t="shared" si="11"/>
        <v/>
      </c>
      <c r="C724" s="665"/>
      <c r="D724" s="655">
        <v>2</v>
      </c>
      <c r="E724" s="236"/>
      <c r="F724" s="232" t="s">
        <v>2539</v>
      </c>
      <c r="G724" s="239" t="s">
        <v>2585</v>
      </c>
      <c r="H724" s="652"/>
      <c r="I724" s="656"/>
      <c r="J724" s="654"/>
    </row>
    <row r="725" spans="1:10" x14ac:dyDescent="0.35">
      <c r="A725" s="615" t="s">
        <v>3296</v>
      </c>
      <c r="B725" s="616" t="str">
        <f t="shared" si="11"/>
        <v/>
      </c>
      <c r="C725" s="665"/>
      <c r="D725" s="655">
        <v>2</v>
      </c>
      <c r="E725" s="236"/>
      <c r="F725" s="232" t="s">
        <v>2539</v>
      </c>
      <c r="G725" s="239" t="s">
        <v>2585</v>
      </c>
      <c r="H725" s="652"/>
      <c r="I725" s="656"/>
      <c r="J725" s="654"/>
    </row>
    <row r="726" spans="1:10" x14ac:dyDescent="0.35">
      <c r="A726" s="615" t="s">
        <v>3297</v>
      </c>
      <c r="B726" s="616" t="str">
        <f t="shared" si="11"/>
        <v/>
      </c>
      <c r="C726" s="665"/>
      <c r="D726" s="655">
        <v>2</v>
      </c>
      <c r="E726" s="236"/>
      <c r="F726" s="232" t="s">
        <v>2539</v>
      </c>
      <c r="G726" s="239" t="s">
        <v>2585</v>
      </c>
      <c r="H726" s="652"/>
      <c r="I726" s="656"/>
      <c r="J726" s="654"/>
    </row>
    <row r="727" spans="1:10" x14ac:dyDescent="0.35">
      <c r="A727" s="615" t="s">
        <v>3298</v>
      </c>
      <c r="B727" s="616" t="str">
        <f t="shared" si="11"/>
        <v/>
      </c>
      <c r="C727" s="665"/>
      <c r="D727" s="655">
        <v>2</v>
      </c>
      <c r="E727" s="236"/>
      <c r="F727" s="232" t="s">
        <v>2539</v>
      </c>
      <c r="G727" s="239" t="s">
        <v>2585</v>
      </c>
      <c r="H727" s="652"/>
      <c r="I727" s="656"/>
      <c r="J727" s="654"/>
    </row>
    <row r="728" spans="1:10" ht="48" x14ac:dyDescent="0.35">
      <c r="A728" s="615" t="s">
        <v>3299</v>
      </c>
      <c r="B728" s="616" t="str">
        <f t="shared" si="11"/>
        <v/>
      </c>
      <c r="C728" s="665"/>
      <c r="D728" s="655" t="s">
        <v>75</v>
      </c>
      <c r="E728" s="236"/>
      <c r="F728" s="232" t="s">
        <v>76</v>
      </c>
      <c r="G728" s="657" t="s">
        <v>2591</v>
      </c>
      <c r="H728" s="652"/>
      <c r="I728" s="656"/>
      <c r="J728" s="654"/>
    </row>
    <row r="729" spans="1:10" x14ac:dyDescent="0.35">
      <c r="A729" s="615" t="s">
        <v>3300</v>
      </c>
      <c r="B729" s="616" t="str">
        <f t="shared" si="11"/>
        <v/>
      </c>
      <c r="C729" s="665"/>
      <c r="D729" s="655">
        <v>2</v>
      </c>
      <c r="E729" s="236"/>
      <c r="F729" s="232" t="s">
        <v>2539</v>
      </c>
      <c r="G729" s="239"/>
      <c r="H729" s="652"/>
      <c r="I729" s="656"/>
      <c r="J729" s="654"/>
    </row>
    <row r="730" spans="1:10" x14ac:dyDescent="0.35">
      <c r="A730" s="615" t="s">
        <v>3301</v>
      </c>
      <c r="B730" s="616" t="str">
        <f t="shared" si="11"/>
        <v/>
      </c>
      <c r="C730" s="665"/>
      <c r="D730" s="655">
        <v>0</v>
      </c>
      <c r="E730" s="236"/>
      <c r="F730" s="232" t="s">
        <v>2538</v>
      </c>
      <c r="G730" s="239"/>
      <c r="H730" s="652"/>
      <c r="I730" s="656"/>
      <c r="J730" s="654"/>
    </row>
    <row r="731" spans="1:10" x14ac:dyDescent="0.35">
      <c r="A731" s="615" t="s">
        <v>3302</v>
      </c>
      <c r="B731" s="616" t="str">
        <f t="shared" si="11"/>
        <v/>
      </c>
      <c r="C731" s="665"/>
      <c r="D731" s="655">
        <v>0</v>
      </c>
      <c r="E731" s="236"/>
      <c r="F731" s="232" t="s">
        <v>2538</v>
      </c>
      <c r="G731" s="239"/>
      <c r="H731" s="652"/>
      <c r="I731" s="656"/>
      <c r="J731" s="654"/>
    </row>
    <row r="732" spans="1:10" x14ac:dyDescent="0.35">
      <c r="A732" s="615" t="s">
        <v>3303</v>
      </c>
      <c r="B732" s="616" t="str">
        <f t="shared" si="11"/>
        <v/>
      </c>
      <c r="C732" s="665"/>
      <c r="D732" s="655">
        <v>0</v>
      </c>
      <c r="E732" s="236"/>
      <c r="F732" s="232" t="s">
        <v>2538</v>
      </c>
      <c r="G732" s="239"/>
      <c r="H732" s="652"/>
      <c r="I732" s="656"/>
      <c r="J732" s="654"/>
    </row>
    <row r="733" spans="1:10" x14ac:dyDescent="0.35">
      <c r="A733" s="615" t="s">
        <v>3304</v>
      </c>
      <c r="B733" s="616" t="str">
        <f t="shared" si="11"/>
        <v/>
      </c>
      <c r="C733" s="665"/>
      <c r="D733" s="651">
        <v>2</v>
      </c>
      <c r="E733" s="236"/>
      <c r="F733" s="232" t="s">
        <v>2572</v>
      </c>
      <c r="G733" s="239"/>
      <c r="H733" s="652"/>
      <c r="I733" s="656"/>
      <c r="J733" s="654"/>
    </row>
    <row r="734" spans="1:10" x14ac:dyDescent="0.35">
      <c r="A734" s="615" t="s">
        <v>3305</v>
      </c>
      <c r="B734" s="616" t="str">
        <f t="shared" si="11"/>
        <v/>
      </c>
      <c r="C734" s="665"/>
      <c r="D734" s="651">
        <v>2</v>
      </c>
      <c r="E734" s="236"/>
      <c r="F734" s="232" t="s">
        <v>2572</v>
      </c>
      <c r="G734" s="239"/>
      <c r="H734" s="652"/>
      <c r="I734" s="656"/>
      <c r="J734" s="654"/>
    </row>
    <row r="735" spans="1:10" x14ac:dyDescent="0.35">
      <c r="A735" s="615" t="s">
        <v>3306</v>
      </c>
      <c r="B735" s="616" t="str">
        <f t="shared" si="11"/>
        <v/>
      </c>
      <c r="C735" s="665"/>
      <c r="D735" s="651">
        <v>2</v>
      </c>
      <c r="E735" s="236"/>
      <c r="F735" s="232" t="s">
        <v>2572</v>
      </c>
      <c r="G735" s="239"/>
      <c r="H735" s="652"/>
      <c r="I735" s="656"/>
      <c r="J735" s="654"/>
    </row>
    <row r="736" spans="1:10" x14ac:dyDescent="0.35">
      <c r="A736" s="615" t="s">
        <v>3307</v>
      </c>
      <c r="B736" s="616" t="str">
        <f t="shared" si="11"/>
        <v/>
      </c>
      <c r="C736" s="665"/>
      <c r="D736" s="651">
        <v>2</v>
      </c>
      <c r="E736" s="236"/>
      <c r="F736" s="232" t="s">
        <v>2572</v>
      </c>
      <c r="G736" s="239"/>
      <c r="H736" s="652"/>
      <c r="I736" s="656"/>
      <c r="J736" s="654"/>
    </row>
    <row r="737" spans="1:10" x14ac:dyDescent="0.35">
      <c r="A737" s="615" t="s">
        <v>3308</v>
      </c>
      <c r="B737" s="616" t="str">
        <f t="shared" si="11"/>
        <v/>
      </c>
      <c r="C737" s="665"/>
      <c r="D737" s="651">
        <v>2</v>
      </c>
      <c r="E737" s="236"/>
      <c r="F737" s="232" t="s">
        <v>2572</v>
      </c>
      <c r="G737" s="239"/>
      <c r="H737" s="652"/>
      <c r="I737" s="656"/>
      <c r="J737" s="654"/>
    </row>
    <row r="738" spans="1:10" x14ac:dyDescent="0.35">
      <c r="A738" s="615" t="s">
        <v>3309</v>
      </c>
      <c r="B738" s="616" t="str">
        <f t="shared" si="11"/>
        <v/>
      </c>
      <c r="C738" s="665"/>
      <c r="D738" s="655">
        <v>6</v>
      </c>
      <c r="E738" s="236"/>
      <c r="F738" s="232" t="s">
        <v>2579</v>
      </c>
      <c r="G738" s="239" t="s">
        <v>2583</v>
      </c>
      <c r="H738" s="652"/>
      <c r="I738" s="656"/>
      <c r="J738" s="654"/>
    </row>
    <row r="739" spans="1:10" x14ac:dyDescent="0.35">
      <c r="A739" s="615" t="s">
        <v>3310</v>
      </c>
      <c r="B739" s="616" t="str">
        <f t="shared" si="11"/>
        <v/>
      </c>
      <c r="C739" s="665"/>
      <c r="D739" s="655" t="s">
        <v>75</v>
      </c>
      <c r="E739" s="236"/>
      <c r="F739" s="232" t="s">
        <v>76</v>
      </c>
      <c r="G739" s="239"/>
      <c r="H739" s="652"/>
      <c r="I739" s="656"/>
      <c r="J739" s="654"/>
    </row>
    <row r="740" spans="1:10" x14ac:dyDescent="0.35">
      <c r="A740" s="615" t="s">
        <v>3311</v>
      </c>
      <c r="B740" s="616" t="str">
        <f t="shared" si="11"/>
        <v/>
      </c>
      <c r="C740" s="665"/>
      <c r="D740" s="655">
        <v>2</v>
      </c>
      <c r="E740" s="236"/>
      <c r="F740" s="232" t="s">
        <v>2539</v>
      </c>
      <c r="G740" s="239" t="s">
        <v>2585</v>
      </c>
      <c r="H740" s="652"/>
      <c r="I740" s="656"/>
      <c r="J740" s="654"/>
    </row>
    <row r="741" spans="1:10" x14ac:dyDescent="0.35">
      <c r="A741" s="615" t="s">
        <v>3312</v>
      </c>
      <c r="B741" s="616" t="str">
        <f t="shared" si="11"/>
        <v/>
      </c>
      <c r="C741" s="665"/>
      <c r="D741" s="655">
        <v>2</v>
      </c>
      <c r="E741" s="236"/>
      <c r="F741" s="232" t="s">
        <v>2539</v>
      </c>
      <c r="G741" s="239" t="s">
        <v>2585</v>
      </c>
      <c r="H741" s="652"/>
      <c r="I741" s="656"/>
      <c r="J741" s="654"/>
    </row>
    <row r="742" spans="1:10" x14ac:dyDescent="0.35">
      <c r="A742" s="615" t="s">
        <v>3313</v>
      </c>
      <c r="B742" s="616" t="str">
        <f t="shared" si="11"/>
        <v/>
      </c>
      <c r="C742" s="665"/>
      <c r="D742" s="655">
        <v>2</v>
      </c>
      <c r="E742" s="236"/>
      <c r="F742" s="232" t="s">
        <v>2539</v>
      </c>
      <c r="G742" s="239" t="s">
        <v>2585</v>
      </c>
      <c r="H742" s="652"/>
      <c r="I742" s="656"/>
      <c r="J742" s="654"/>
    </row>
    <row r="743" spans="1:10" x14ac:dyDescent="0.35">
      <c r="A743" s="615" t="s">
        <v>3314</v>
      </c>
      <c r="B743" s="616" t="str">
        <f t="shared" si="11"/>
        <v/>
      </c>
      <c r="C743" s="665"/>
      <c r="D743" s="655">
        <v>2</v>
      </c>
      <c r="E743" s="236"/>
      <c r="F743" s="232" t="s">
        <v>2539</v>
      </c>
      <c r="G743" s="239" t="s">
        <v>2585</v>
      </c>
      <c r="H743" s="652"/>
      <c r="I743" s="656"/>
      <c r="J743" s="654"/>
    </row>
    <row r="744" spans="1:10" x14ac:dyDescent="0.35">
      <c r="A744" s="615" t="s">
        <v>3315</v>
      </c>
      <c r="B744" s="616" t="str">
        <f t="shared" si="11"/>
        <v/>
      </c>
      <c r="C744" s="665"/>
      <c r="D744" s="655">
        <v>2</v>
      </c>
      <c r="E744" s="236"/>
      <c r="F744" s="232" t="s">
        <v>2539</v>
      </c>
      <c r="G744" s="239" t="s">
        <v>2585</v>
      </c>
      <c r="H744" s="652"/>
      <c r="I744" s="656"/>
      <c r="J744" s="654"/>
    </row>
    <row r="745" spans="1:10" x14ac:dyDescent="0.35">
      <c r="A745" s="615" t="s">
        <v>3316</v>
      </c>
      <c r="B745" s="616" t="str">
        <f t="shared" si="11"/>
        <v/>
      </c>
      <c r="C745" s="665"/>
      <c r="D745" s="655">
        <v>2</v>
      </c>
      <c r="E745" s="236"/>
      <c r="F745" s="232" t="s">
        <v>2539</v>
      </c>
      <c r="G745" s="239" t="s">
        <v>2585</v>
      </c>
      <c r="H745" s="652"/>
      <c r="I745" s="656"/>
      <c r="J745" s="654"/>
    </row>
    <row r="746" spans="1:10" ht="48" x14ac:dyDescent="0.35">
      <c r="A746" s="615" t="s">
        <v>3317</v>
      </c>
      <c r="B746" s="616" t="str">
        <f t="shared" si="11"/>
        <v/>
      </c>
      <c r="C746" s="665"/>
      <c r="D746" s="655" t="s">
        <v>75</v>
      </c>
      <c r="E746" s="236"/>
      <c r="F746" s="232" t="s">
        <v>76</v>
      </c>
      <c r="G746" s="657" t="s">
        <v>2591</v>
      </c>
      <c r="H746" s="652"/>
      <c r="I746" s="656"/>
      <c r="J746" s="654"/>
    </row>
    <row r="747" spans="1:10" x14ac:dyDescent="0.35">
      <c r="A747" s="615" t="s">
        <v>3318</v>
      </c>
      <c r="B747" s="616" t="str">
        <f t="shared" si="11"/>
        <v/>
      </c>
      <c r="C747" s="665"/>
      <c r="D747" s="655">
        <v>2</v>
      </c>
      <c r="E747" s="236"/>
      <c r="F747" s="232" t="s">
        <v>2539</v>
      </c>
      <c r="G747" s="239"/>
      <c r="H747" s="652"/>
      <c r="I747" s="656"/>
      <c r="J747" s="654"/>
    </row>
    <row r="748" spans="1:10" x14ac:dyDescent="0.35">
      <c r="A748" s="615" t="s">
        <v>3319</v>
      </c>
      <c r="B748" s="616" t="str">
        <f t="shared" si="11"/>
        <v/>
      </c>
      <c r="C748" s="665"/>
      <c r="D748" s="655">
        <v>0</v>
      </c>
      <c r="E748" s="236"/>
      <c r="F748" s="232" t="s">
        <v>2538</v>
      </c>
      <c r="G748" s="239"/>
      <c r="H748" s="652"/>
      <c r="I748" s="656"/>
      <c r="J748" s="654"/>
    </row>
    <row r="749" spans="1:10" x14ac:dyDescent="0.35">
      <c r="A749" s="615" t="s">
        <v>3320</v>
      </c>
      <c r="B749" s="616" t="str">
        <f t="shared" si="11"/>
        <v/>
      </c>
      <c r="C749" s="665"/>
      <c r="D749" s="655">
        <v>0</v>
      </c>
      <c r="E749" s="236"/>
      <c r="F749" s="232" t="s">
        <v>2538</v>
      </c>
      <c r="G749" s="239"/>
      <c r="H749" s="652"/>
      <c r="I749" s="656"/>
      <c r="J749" s="654"/>
    </row>
    <row r="750" spans="1:10" x14ac:dyDescent="0.35">
      <c r="A750" s="615" t="s">
        <v>3321</v>
      </c>
      <c r="B750" s="616" t="str">
        <f t="shared" si="11"/>
        <v/>
      </c>
      <c r="C750" s="665"/>
      <c r="D750" s="655">
        <v>0</v>
      </c>
      <c r="E750" s="236"/>
      <c r="F750" s="232" t="s">
        <v>2538</v>
      </c>
      <c r="G750" s="239"/>
      <c r="H750" s="652"/>
      <c r="I750" s="656"/>
      <c r="J750" s="654"/>
    </row>
    <row r="751" spans="1:10" x14ac:dyDescent="0.35">
      <c r="A751" s="615" t="s">
        <v>3322</v>
      </c>
      <c r="B751" s="616" t="str">
        <f t="shared" si="11"/>
        <v/>
      </c>
      <c r="C751" s="665"/>
      <c r="D751" s="651">
        <v>2</v>
      </c>
      <c r="E751" s="236"/>
      <c r="F751" s="232" t="s">
        <v>2572</v>
      </c>
      <c r="G751" s="239"/>
      <c r="H751" s="652"/>
      <c r="I751" s="656"/>
      <c r="J751" s="654"/>
    </row>
    <row r="752" spans="1:10" x14ac:dyDescent="0.35">
      <c r="A752" s="615" t="s">
        <v>3323</v>
      </c>
      <c r="B752" s="616" t="str">
        <f t="shared" si="11"/>
        <v/>
      </c>
      <c r="C752" s="665"/>
      <c r="D752" s="651">
        <v>2</v>
      </c>
      <c r="E752" s="236"/>
      <c r="F752" s="232" t="s">
        <v>2572</v>
      </c>
      <c r="G752" s="239"/>
      <c r="H752" s="652"/>
      <c r="I752" s="656"/>
      <c r="J752" s="654"/>
    </row>
    <row r="753" spans="1:10" x14ac:dyDescent="0.35">
      <c r="A753" s="615" t="s">
        <v>3324</v>
      </c>
      <c r="B753" s="616" t="str">
        <f t="shared" si="11"/>
        <v/>
      </c>
      <c r="C753" s="665"/>
      <c r="D753" s="651">
        <v>2</v>
      </c>
      <c r="E753" s="236"/>
      <c r="F753" s="232" t="s">
        <v>2572</v>
      </c>
      <c r="G753" s="239"/>
      <c r="H753" s="652"/>
      <c r="I753" s="656"/>
      <c r="J753" s="654"/>
    </row>
    <row r="754" spans="1:10" x14ac:dyDescent="0.35">
      <c r="A754" s="615" t="s">
        <v>3325</v>
      </c>
      <c r="B754" s="616" t="str">
        <f t="shared" si="11"/>
        <v/>
      </c>
      <c r="C754" s="665"/>
      <c r="D754" s="651">
        <v>2</v>
      </c>
      <c r="E754" s="236"/>
      <c r="F754" s="232" t="s">
        <v>2572</v>
      </c>
      <c r="G754" s="239"/>
      <c r="H754" s="652"/>
      <c r="I754" s="656"/>
      <c r="J754" s="654"/>
    </row>
    <row r="755" spans="1:10" x14ac:dyDescent="0.35">
      <c r="A755" s="615" t="s">
        <v>3326</v>
      </c>
      <c r="B755" s="616" t="str">
        <f t="shared" si="11"/>
        <v/>
      </c>
      <c r="C755" s="665"/>
      <c r="D755" s="651">
        <v>2</v>
      </c>
      <c r="E755" s="236"/>
      <c r="F755" s="232" t="s">
        <v>2572</v>
      </c>
      <c r="G755" s="239"/>
      <c r="H755" s="652"/>
      <c r="I755" s="656"/>
      <c r="J755" s="654"/>
    </row>
    <row r="756" spans="1:10" x14ac:dyDescent="0.35">
      <c r="A756" s="615" t="s">
        <v>3327</v>
      </c>
      <c r="B756" s="616" t="str">
        <f t="shared" si="11"/>
        <v/>
      </c>
      <c r="C756" s="665"/>
      <c r="D756" s="655">
        <v>6</v>
      </c>
      <c r="E756" s="236"/>
      <c r="F756" s="232" t="s">
        <v>2579</v>
      </c>
      <c r="G756" s="239" t="s">
        <v>2583</v>
      </c>
      <c r="H756" s="652"/>
      <c r="I756" s="656"/>
      <c r="J756" s="654"/>
    </row>
    <row r="757" spans="1:10" x14ac:dyDescent="0.35">
      <c r="A757" s="615" t="s">
        <v>3328</v>
      </c>
      <c r="B757" s="616" t="str">
        <f t="shared" si="11"/>
        <v/>
      </c>
      <c r="C757" s="665"/>
      <c r="D757" s="655" t="s">
        <v>75</v>
      </c>
      <c r="E757" s="236"/>
      <c r="F757" s="232" t="s">
        <v>76</v>
      </c>
      <c r="G757" s="239"/>
      <c r="H757" s="652"/>
      <c r="I757" s="656"/>
      <c r="J757" s="654"/>
    </row>
    <row r="758" spans="1:10" x14ac:dyDescent="0.35">
      <c r="A758" s="615" t="s">
        <v>3329</v>
      </c>
      <c r="B758" s="616" t="str">
        <f t="shared" si="11"/>
        <v/>
      </c>
      <c r="C758" s="665"/>
      <c r="D758" s="655">
        <v>2</v>
      </c>
      <c r="E758" s="236"/>
      <c r="F758" s="232" t="s">
        <v>2539</v>
      </c>
      <c r="G758" s="239" t="s">
        <v>2585</v>
      </c>
      <c r="H758" s="652"/>
      <c r="I758" s="656"/>
      <c r="J758" s="654"/>
    </row>
    <row r="759" spans="1:10" x14ac:dyDescent="0.35">
      <c r="A759" s="615" t="s">
        <v>3330</v>
      </c>
      <c r="B759" s="616" t="str">
        <f t="shared" si="11"/>
        <v/>
      </c>
      <c r="C759" s="665"/>
      <c r="D759" s="655">
        <v>2</v>
      </c>
      <c r="E759" s="236"/>
      <c r="F759" s="232" t="s">
        <v>2539</v>
      </c>
      <c r="G759" s="239" t="s">
        <v>2585</v>
      </c>
      <c r="H759" s="652"/>
      <c r="I759" s="656"/>
      <c r="J759" s="654"/>
    </row>
    <row r="760" spans="1:10" x14ac:dyDescent="0.35">
      <c r="A760" s="615" t="s">
        <v>3331</v>
      </c>
      <c r="B760" s="616" t="str">
        <f t="shared" si="11"/>
        <v/>
      </c>
      <c r="C760" s="665"/>
      <c r="D760" s="655">
        <v>2</v>
      </c>
      <c r="E760" s="236"/>
      <c r="F760" s="232" t="s">
        <v>2539</v>
      </c>
      <c r="G760" s="239" t="s">
        <v>2585</v>
      </c>
      <c r="H760" s="652"/>
      <c r="I760" s="656"/>
      <c r="J760" s="654"/>
    </row>
    <row r="761" spans="1:10" x14ac:dyDescent="0.35">
      <c r="A761" s="615" t="s">
        <v>3332</v>
      </c>
      <c r="B761" s="616" t="str">
        <f t="shared" si="11"/>
        <v/>
      </c>
      <c r="C761" s="665"/>
      <c r="D761" s="655">
        <v>2</v>
      </c>
      <c r="E761" s="236"/>
      <c r="F761" s="232" t="s">
        <v>2539</v>
      </c>
      <c r="G761" s="239" t="s">
        <v>2585</v>
      </c>
      <c r="H761" s="652"/>
      <c r="I761" s="656"/>
      <c r="J761" s="654"/>
    </row>
    <row r="762" spans="1:10" x14ac:dyDescent="0.35">
      <c r="A762" s="615" t="s">
        <v>3333</v>
      </c>
      <c r="B762" s="616" t="str">
        <f t="shared" si="11"/>
        <v/>
      </c>
      <c r="C762" s="665"/>
      <c r="D762" s="655">
        <v>2</v>
      </c>
      <c r="E762" s="236"/>
      <c r="F762" s="232" t="s">
        <v>2539</v>
      </c>
      <c r="G762" s="239" t="s">
        <v>2585</v>
      </c>
      <c r="H762" s="652"/>
      <c r="I762" s="656"/>
      <c r="J762" s="654"/>
    </row>
    <row r="763" spans="1:10" x14ac:dyDescent="0.35">
      <c r="A763" s="615" t="s">
        <v>3334</v>
      </c>
      <c r="B763" s="616" t="str">
        <f t="shared" si="11"/>
        <v/>
      </c>
      <c r="C763" s="665"/>
      <c r="D763" s="655">
        <v>2</v>
      </c>
      <c r="E763" s="236"/>
      <c r="F763" s="232" t="s">
        <v>2539</v>
      </c>
      <c r="G763" s="239" t="s">
        <v>2585</v>
      </c>
      <c r="H763" s="652"/>
      <c r="I763" s="656"/>
      <c r="J763" s="654"/>
    </row>
    <row r="764" spans="1:10" ht="48" x14ac:dyDescent="0.35">
      <c r="A764" s="615" t="s">
        <v>3335</v>
      </c>
      <c r="B764" s="616" t="str">
        <f t="shared" si="11"/>
        <v/>
      </c>
      <c r="C764" s="665"/>
      <c r="D764" s="655" t="s">
        <v>75</v>
      </c>
      <c r="E764" s="236"/>
      <c r="F764" s="232" t="s">
        <v>76</v>
      </c>
      <c r="G764" s="657" t="s">
        <v>2591</v>
      </c>
      <c r="H764" s="652"/>
      <c r="I764" s="656"/>
      <c r="J764" s="654"/>
    </row>
    <row r="765" spans="1:10" x14ac:dyDescent="0.35">
      <c r="A765" s="615" t="s">
        <v>3336</v>
      </c>
      <c r="B765" s="616" t="str">
        <f t="shared" si="11"/>
        <v/>
      </c>
      <c r="C765" s="665"/>
      <c r="D765" s="655">
        <v>2</v>
      </c>
      <c r="E765" s="236"/>
      <c r="F765" s="232" t="s">
        <v>2539</v>
      </c>
      <c r="G765" s="239"/>
      <c r="H765" s="652"/>
      <c r="I765" s="656"/>
      <c r="J765" s="654"/>
    </row>
    <row r="766" spans="1:10" x14ac:dyDescent="0.35">
      <c r="A766" s="615" t="s">
        <v>3337</v>
      </c>
      <c r="B766" s="616" t="str">
        <f t="shared" si="11"/>
        <v/>
      </c>
      <c r="C766" s="665"/>
      <c r="D766" s="655">
        <v>0</v>
      </c>
      <c r="E766" s="236"/>
      <c r="F766" s="232" t="s">
        <v>2538</v>
      </c>
      <c r="G766" s="239"/>
      <c r="H766" s="652"/>
      <c r="I766" s="656"/>
      <c r="J766" s="654"/>
    </row>
    <row r="767" spans="1:10" x14ac:dyDescent="0.35">
      <c r="A767" s="615" t="s">
        <v>3338</v>
      </c>
      <c r="B767" s="616" t="str">
        <f t="shared" si="11"/>
        <v/>
      </c>
      <c r="C767" s="665"/>
      <c r="D767" s="655">
        <v>0</v>
      </c>
      <c r="E767" s="236"/>
      <c r="F767" s="232" t="s">
        <v>2538</v>
      </c>
      <c r="G767" s="239"/>
      <c r="H767" s="652"/>
      <c r="I767" s="656"/>
      <c r="J767" s="654"/>
    </row>
    <row r="768" spans="1:10" x14ac:dyDescent="0.35">
      <c r="A768" s="615" t="s">
        <v>3339</v>
      </c>
      <c r="B768" s="616" t="str">
        <f t="shared" si="11"/>
        <v/>
      </c>
      <c r="C768" s="665"/>
      <c r="D768" s="655">
        <v>0</v>
      </c>
      <c r="E768" s="236"/>
      <c r="F768" s="232" t="s">
        <v>2538</v>
      </c>
      <c r="G768" s="239"/>
      <c r="H768" s="652"/>
      <c r="I768" s="656"/>
      <c r="J768" s="654"/>
    </row>
    <row r="769" spans="1:10" x14ac:dyDescent="0.35">
      <c r="A769" s="615" t="s">
        <v>3340</v>
      </c>
      <c r="B769" s="616" t="str">
        <f t="shared" si="11"/>
        <v/>
      </c>
      <c r="C769" s="665"/>
      <c r="D769" s="651">
        <v>2</v>
      </c>
      <c r="E769" s="236"/>
      <c r="F769" s="232" t="s">
        <v>2572</v>
      </c>
      <c r="G769" s="239"/>
      <c r="H769" s="652"/>
      <c r="I769" s="656"/>
      <c r="J769" s="654"/>
    </row>
    <row r="770" spans="1:10" x14ac:dyDescent="0.35">
      <c r="A770" s="615" t="s">
        <v>3341</v>
      </c>
      <c r="B770" s="616" t="str">
        <f t="shared" si="11"/>
        <v/>
      </c>
      <c r="C770" s="665"/>
      <c r="D770" s="651">
        <v>2</v>
      </c>
      <c r="E770" s="236"/>
      <c r="F770" s="232" t="s">
        <v>2572</v>
      </c>
      <c r="G770" s="239"/>
      <c r="H770" s="652"/>
      <c r="I770" s="656"/>
      <c r="J770" s="654"/>
    </row>
    <row r="771" spans="1:10" x14ac:dyDescent="0.35">
      <c r="A771" s="615" t="s">
        <v>3342</v>
      </c>
      <c r="B771" s="616" t="str">
        <f t="shared" si="11"/>
        <v/>
      </c>
      <c r="C771" s="665"/>
      <c r="D771" s="651">
        <v>2</v>
      </c>
      <c r="E771" s="236"/>
      <c r="F771" s="232" t="s">
        <v>2572</v>
      </c>
      <c r="G771" s="239"/>
      <c r="H771" s="652"/>
      <c r="I771" s="656"/>
      <c r="J771" s="654"/>
    </row>
    <row r="772" spans="1:10" x14ac:dyDescent="0.35">
      <c r="A772" s="615" t="s">
        <v>3343</v>
      </c>
      <c r="B772" s="616" t="str">
        <f t="shared" ref="B772:B835" si="12">IF(C772="","",IF(D772="Datum",TEXT(DAY(C772),"00")&amp;"."&amp;TEXT(MONTH(C772),"00")&amp;"."&amp;TEXT(YEAR(C772),"0000"),IF(AND(ISNUMBER(C772),D772="x"),TEXT(C772,"@"),IF(ISNUMBER(C772),TEXT(ROUNDDOWN(C772,0),0)&amp;IF(D772=0,"","."&amp;IF(C772-ROUNDDOWN(C772,0)=0,LEFT("0000000000",D772),TEXT((C772-ROUNDDOWN(C772,0))*(1&amp; LEFT("0000000000",$D772)),LEFT("0000000000",$D772)))),C772))))</f>
        <v/>
      </c>
      <c r="C772" s="665"/>
      <c r="D772" s="651">
        <v>2</v>
      </c>
      <c r="E772" s="236"/>
      <c r="F772" s="232" t="s">
        <v>2572</v>
      </c>
      <c r="G772" s="239"/>
      <c r="H772" s="652"/>
      <c r="I772" s="656"/>
      <c r="J772" s="654"/>
    </row>
    <row r="773" spans="1:10" x14ac:dyDescent="0.35">
      <c r="A773" s="615" t="s">
        <v>3344</v>
      </c>
      <c r="B773" s="616" t="str">
        <f t="shared" si="12"/>
        <v/>
      </c>
      <c r="C773" s="665"/>
      <c r="D773" s="651">
        <v>2</v>
      </c>
      <c r="E773" s="236"/>
      <c r="F773" s="232" t="s">
        <v>2572</v>
      </c>
      <c r="G773" s="239"/>
      <c r="H773" s="652"/>
      <c r="I773" s="656"/>
      <c r="J773" s="654"/>
    </row>
    <row r="774" spans="1:10" x14ac:dyDescent="0.35">
      <c r="A774" s="615" t="s">
        <v>3345</v>
      </c>
      <c r="B774" s="616" t="str">
        <f t="shared" si="12"/>
        <v/>
      </c>
      <c r="C774" s="665"/>
      <c r="D774" s="655">
        <v>6</v>
      </c>
      <c r="E774" s="236"/>
      <c r="F774" s="232" t="s">
        <v>2579</v>
      </c>
      <c r="G774" s="239" t="s">
        <v>2583</v>
      </c>
      <c r="H774" s="652"/>
      <c r="I774" s="656"/>
      <c r="J774" s="654"/>
    </row>
    <row r="775" spans="1:10" x14ac:dyDescent="0.35">
      <c r="A775" s="615" t="s">
        <v>3346</v>
      </c>
      <c r="B775" s="616" t="str">
        <f t="shared" si="12"/>
        <v/>
      </c>
      <c r="C775" s="665"/>
      <c r="D775" s="655" t="s">
        <v>75</v>
      </c>
      <c r="E775" s="236"/>
      <c r="F775" s="232" t="s">
        <v>76</v>
      </c>
      <c r="G775" s="239"/>
      <c r="H775" s="652"/>
      <c r="I775" s="656"/>
      <c r="J775" s="654"/>
    </row>
    <row r="776" spans="1:10" x14ac:dyDescent="0.35">
      <c r="A776" s="615" t="s">
        <v>3347</v>
      </c>
      <c r="B776" s="616" t="str">
        <f t="shared" si="12"/>
        <v/>
      </c>
      <c r="C776" s="665"/>
      <c r="D776" s="655">
        <v>2</v>
      </c>
      <c r="E776" s="236"/>
      <c r="F776" s="232" t="s">
        <v>2539</v>
      </c>
      <c r="G776" s="239" t="s">
        <v>2585</v>
      </c>
      <c r="H776" s="652"/>
      <c r="I776" s="656"/>
      <c r="J776" s="654"/>
    </row>
    <row r="777" spans="1:10" x14ac:dyDescent="0.35">
      <c r="A777" s="615" t="s">
        <v>3348</v>
      </c>
      <c r="B777" s="616" t="str">
        <f t="shared" si="12"/>
        <v/>
      </c>
      <c r="C777" s="665"/>
      <c r="D777" s="655">
        <v>2</v>
      </c>
      <c r="E777" s="236"/>
      <c r="F777" s="232" t="s">
        <v>2539</v>
      </c>
      <c r="G777" s="239" t="s">
        <v>2585</v>
      </c>
      <c r="H777" s="652"/>
      <c r="I777" s="656"/>
      <c r="J777" s="654"/>
    </row>
    <row r="778" spans="1:10" x14ac:dyDescent="0.35">
      <c r="A778" s="615" t="s">
        <v>3349</v>
      </c>
      <c r="B778" s="616" t="str">
        <f t="shared" si="12"/>
        <v/>
      </c>
      <c r="C778" s="665"/>
      <c r="D778" s="655">
        <v>2</v>
      </c>
      <c r="E778" s="236"/>
      <c r="F778" s="232" t="s">
        <v>2539</v>
      </c>
      <c r="G778" s="239" t="s">
        <v>2585</v>
      </c>
      <c r="H778" s="652"/>
      <c r="I778" s="656"/>
      <c r="J778" s="654"/>
    </row>
    <row r="779" spans="1:10" x14ac:dyDescent="0.35">
      <c r="A779" s="615" t="s">
        <v>3350</v>
      </c>
      <c r="B779" s="616" t="str">
        <f t="shared" si="12"/>
        <v/>
      </c>
      <c r="C779" s="665"/>
      <c r="D779" s="655">
        <v>2</v>
      </c>
      <c r="E779" s="236"/>
      <c r="F779" s="232" t="s">
        <v>2539</v>
      </c>
      <c r="G779" s="239" t="s">
        <v>2585</v>
      </c>
      <c r="H779" s="652"/>
      <c r="I779" s="656"/>
      <c r="J779" s="654"/>
    </row>
    <row r="780" spans="1:10" x14ac:dyDescent="0.35">
      <c r="A780" s="615" t="s">
        <v>3351</v>
      </c>
      <c r="B780" s="616" t="str">
        <f t="shared" si="12"/>
        <v/>
      </c>
      <c r="C780" s="665"/>
      <c r="D780" s="655">
        <v>2</v>
      </c>
      <c r="E780" s="236"/>
      <c r="F780" s="232" t="s">
        <v>2539</v>
      </c>
      <c r="G780" s="239" t="s">
        <v>2585</v>
      </c>
      <c r="H780" s="652"/>
      <c r="I780" s="656"/>
      <c r="J780" s="654"/>
    </row>
    <row r="781" spans="1:10" x14ac:dyDescent="0.35">
      <c r="A781" s="615" t="s">
        <v>3352</v>
      </c>
      <c r="B781" s="616" t="str">
        <f t="shared" si="12"/>
        <v/>
      </c>
      <c r="C781" s="665"/>
      <c r="D781" s="655">
        <v>2</v>
      </c>
      <c r="E781" s="236"/>
      <c r="F781" s="232" t="s">
        <v>2539</v>
      </c>
      <c r="G781" s="239" t="s">
        <v>2585</v>
      </c>
      <c r="H781" s="652"/>
      <c r="I781" s="656"/>
      <c r="J781" s="654"/>
    </row>
    <row r="782" spans="1:10" ht="48" x14ac:dyDescent="0.35">
      <c r="A782" s="615" t="s">
        <v>3353</v>
      </c>
      <c r="B782" s="616" t="str">
        <f t="shared" si="12"/>
        <v/>
      </c>
      <c r="C782" s="665"/>
      <c r="D782" s="655" t="s">
        <v>75</v>
      </c>
      <c r="E782" s="236"/>
      <c r="F782" s="232" t="s">
        <v>76</v>
      </c>
      <c r="G782" s="657" t="s">
        <v>2591</v>
      </c>
      <c r="H782" s="652"/>
      <c r="I782" s="656"/>
      <c r="J782" s="654"/>
    </row>
    <row r="783" spans="1:10" x14ac:dyDescent="0.35">
      <c r="A783" s="615" t="s">
        <v>3354</v>
      </c>
      <c r="B783" s="616" t="str">
        <f t="shared" si="12"/>
        <v/>
      </c>
      <c r="C783" s="665"/>
      <c r="D783" s="655">
        <v>2</v>
      </c>
      <c r="E783" s="236"/>
      <c r="F783" s="232" t="s">
        <v>2539</v>
      </c>
      <c r="G783" s="239"/>
      <c r="H783" s="652"/>
      <c r="I783" s="656"/>
      <c r="J783" s="654"/>
    </row>
    <row r="784" spans="1:10" x14ac:dyDescent="0.35">
      <c r="A784" s="615" t="s">
        <v>3355</v>
      </c>
      <c r="B784" s="616" t="str">
        <f t="shared" si="12"/>
        <v/>
      </c>
      <c r="C784" s="665"/>
      <c r="D784" s="655">
        <v>0</v>
      </c>
      <c r="E784" s="236"/>
      <c r="F784" s="232" t="s">
        <v>2538</v>
      </c>
      <c r="G784" s="239"/>
      <c r="H784" s="652"/>
      <c r="I784" s="656"/>
      <c r="J784" s="654"/>
    </row>
    <row r="785" spans="1:10" x14ac:dyDescent="0.35">
      <c r="A785" s="615" t="s">
        <v>3356</v>
      </c>
      <c r="B785" s="616" t="str">
        <f t="shared" si="12"/>
        <v/>
      </c>
      <c r="C785" s="665"/>
      <c r="D785" s="655">
        <v>0</v>
      </c>
      <c r="E785" s="236"/>
      <c r="F785" s="232" t="s">
        <v>2538</v>
      </c>
      <c r="G785" s="239"/>
      <c r="H785" s="652"/>
      <c r="I785" s="656"/>
      <c r="J785" s="654"/>
    </row>
    <row r="786" spans="1:10" x14ac:dyDescent="0.35">
      <c r="A786" s="615" t="s">
        <v>3357</v>
      </c>
      <c r="B786" s="616" t="str">
        <f t="shared" si="12"/>
        <v/>
      </c>
      <c r="C786" s="665"/>
      <c r="D786" s="655">
        <v>0</v>
      </c>
      <c r="E786" s="236"/>
      <c r="F786" s="232" t="s">
        <v>2538</v>
      </c>
      <c r="G786" s="239"/>
      <c r="H786" s="652"/>
      <c r="I786" s="656"/>
      <c r="J786" s="654"/>
    </row>
    <row r="787" spans="1:10" x14ac:dyDescent="0.35">
      <c r="A787" s="615" t="s">
        <v>3358</v>
      </c>
      <c r="B787" s="616" t="str">
        <f t="shared" si="12"/>
        <v/>
      </c>
      <c r="C787" s="665"/>
      <c r="D787" s="651">
        <v>2</v>
      </c>
      <c r="E787" s="236"/>
      <c r="F787" s="232" t="s">
        <v>2572</v>
      </c>
      <c r="G787" s="239"/>
      <c r="H787" s="652"/>
      <c r="I787" s="656"/>
      <c r="J787" s="654"/>
    </row>
    <row r="788" spans="1:10" x14ac:dyDescent="0.35">
      <c r="A788" s="615" t="s">
        <v>3359</v>
      </c>
      <c r="B788" s="616" t="str">
        <f t="shared" si="12"/>
        <v/>
      </c>
      <c r="C788" s="665"/>
      <c r="D788" s="651">
        <v>2</v>
      </c>
      <c r="E788" s="236"/>
      <c r="F788" s="232" t="s">
        <v>2572</v>
      </c>
      <c r="G788" s="239"/>
      <c r="H788" s="652"/>
      <c r="I788" s="656"/>
      <c r="J788" s="654"/>
    </row>
    <row r="789" spans="1:10" x14ac:dyDescent="0.35">
      <c r="A789" s="615" t="s">
        <v>3360</v>
      </c>
      <c r="B789" s="616" t="str">
        <f t="shared" si="12"/>
        <v/>
      </c>
      <c r="C789" s="665"/>
      <c r="D789" s="651">
        <v>2</v>
      </c>
      <c r="E789" s="236"/>
      <c r="F789" s="232" t="s">
        <v>2572</v>
      </c>
      <c r="G789" s="239"/>
      <c r="H789" s="652"/>
      <c r="I789" s="656"/>
      <c r="J789" s="654"/>
    </row>
    <row r="790" spans="1:10" x14ac:dyDescent="0.35">
      <c r="A790" s="615" t="s">
        <v>3361</v>
      </c>
      <c r="B790" s="616" t="str">
        <f t="shared" si="12"/>
        <v/>
      </c>
      <c r="C790" s="665"/>
      <c r="D790" s="651">
        <v>2</v>
      </c>
      <c r="E790" s="236"/>
      <c r="F790" s="232" t="s">
        <v>2572</v>
      </c>
      <c r="G790" s="239"/>
      <c r="H790" s="652"/>
      <c r="I790" s="656"/>
      <c r="J790" s="654"/>
    </row>
    <row r="791" spans="1:10" x14ac:dyDescent="0.35">
      <c r="A791" s="615" t="s">
        <v>3362</v>
      </c>
      <c r="B791" s="616" t="str">
        <f t="shared" si="12"/>
        <v/>
      </c>
      <c r="C791" s="665"/>
      <c r="D791" s="651">
        <v>2</v>
      </c>
      <c r="E791" s="236"/>
      <c r="F791" s="232" t="s">
        <v>2572</v>
      </c>
      <c r="G791" s="239"/>
      <c r="H791" s="652"/>
      <c r="I791" s="656"/>
      <c r="J791" s="654"/>
    </row>
    <row r="792" spans="1:10" x14ac:dyDescent="0.35">
      <c r="A792" s="615" t="s">
        <v>3363</v>
      </c>
      <c r="B792" s="616" t="str">
        <f t="shared" si="12"/>
        <v/>
      </c>
      <c r="C792" s="665"/>
      <c r="D792" s="655">
        <v>6</v>
      </c>
      <c r="E792" s="236"/>
      <c r="F792" s="232" t="s">
        <v>2579</v>
      </c>
      <c r="G792" s="239" t="s">
        <v>2583</v>
      </c>
      <c r="H792" s="652"/>
      <c r="I792" s="656"/>
      <c r="J792" s="654"/>
    </row>
    <row r="793" spans="1:10" x14ac:dyDescent="0.35">
      <c r="A793" s="615" t="s">
        <v>3364</v>
      </c>
      <c r="B793" s="616" t="str">
        <f t="shared" si="12"/>
        <v/>
      </c>
      <c r="C793" s="665"/>
      <c r="D793" s="655" t="s">
        <v>75</v>
      </c>
      <c r="E793" s="236"/>
      <c r="F793" s="232" t="s">
        <v>76</v>
      </c>
      <c r="G793" s="239"/>
      <c r="H793" s="652"/>
      <c r="I793" s="656"/>
      <c r="J793" s="654"/>
    </row>
    <row r="794" spans="1:10" x14ac:dyDescent="0.35">
      <c r="A794" s="615" t="s">
        <v>3365</v>
      </c>
      <c r="B794" s="616" t="str">
        <f t="shared" si="12"/>
        <v/>
      </c>
      <c r="C794" s="665"/>
      <c r="D794" s="655">
        <v>2</v>
      </c>
      <c r="E794" s="236"/>
      <c r="F794" s="232" t="s">
        <v>2539</v>
      </c>
      <c r="G794" s="239" t="s">
        <v>2585</v>
      </c>
      <c r="H794" s="652"/>
      <c r="I794" s="656"/>
      <c r="J794" s="654"/>
    </row>
    <row r="795" spans="1:10" x14ac:dyDescent="0.35">
      <c r="A795" s="615" t="s">
        <v>3366</v>
      </c>
      <c r="B795" s="616" t="str">
        <f t="shared" si="12"/>
        <v/>
      </c>
      <c r="C795" s="665"/>
      <c r="D795" s="655">
        <v>2</v>
      </c>
      <c r="E795" s="236"/>
      <c r="F795" s="232" t="s">
        <v>2539</v>
      </c>
      <c r="G795" s="239" t="s">
        <v>2585</v>
      </c>
      <c r="H795" s="652"/>
      <c r="I795" s="656"/>
      <c r="J795" s="654"/>
    </row>
    <row r="796" spans="1:10" x14ac:dyDescent="0.35">
      <c r="A796" s="615" t="s">
        <v>3367</v>
      </c>
      <c r="B796" s="616" t="str">
        <f t="shared" si="12"/>
        <v/>
      </c>
      <c r="C796" s="665"/>
      <c r="D796" s="655">
        <v>2</v>
      </c>
      <c r="E796" s="236"/>
      <c r="F796" s="232" t="s">
        <v>2539</v>
      </c>
      <c r="G796" s="239" t="s">
        <v>2585</v>
      </c>
      <c r="H796" s="652"/>
      <c r="I796" s="656"/>
      <c r="J796" s="654"/>
    </row>
    <row r="797" spans="1:10" x14ac:dyDescent="0.35">
      <c r="A797" s="615" t="s">
        <v>3368</v>
      </c>
      <c r="B797" s="616" t="str">
        <f t="shared" si="12"/>
        <v/>
      </c>
      <c r="C797" s="665"/>
      <c r="D797" s="655">
        <v>2</v>
      </c>
      <c r="E797" s="236"/>
      <c r="F797" s="232" t="s">
        <v>2539</v>
      </c>
      <c r="G797" s="239" t="s">
        <v>2585</v>
      </c>
      <c r="H797" s="652"/>
      <c r="I797" s="656"/>
      <c r="J797" s="654"/>
    </row>
    <row r="798" spans="1:10" x14ac:dyDescent="0.35">
      <c r="A798" s="615" t="s">
        <v>3369</v>
      </c>
      <c r="B798" s="616" t="str">
        <f t="shared" si="12"/>
        <v/>
      </c>
      <c r="C798" s="665"/>
      <c r="D798" s="655">
        <v>2</v>
      </c>
      <c r="E798" s="236"/>
      <c r="F798" s="232" t="s">
        <v>2539</v>
      </c>
      <c r="G798" s="239" t="s">
        <v>2585</v>
      </c>
      <c r="H798" s="652"/>
      <c r="I798" s="656"/>
      <c r="J798" s="654"/>
    </row>
    <row r="799" spans="1:10" x14ac:dyDescent="0.35">
      <c r="A799" s="615" t="s">
        <v>3370</v>
      </c>
      <c r="B799" s="616" t="str">
        <f t="shared" si="12"/>
        <v/>
      </c>
      <c r="C799" s="665"/>
      <c r="D799" s="655">
        <v>2</v>
      </c>
      <c r="E799" s="236"/>
      <c r="F799" s="232" t="s">
        <v>2539</v>
      </c>
      <c r="G799" s="239" t="s">
        <v>2585</v>
      </c>
      <c r="H799" s="652"/>
      <c r="I799" s="656"/>
      <c r="J799" s="654"/>
    </row>
    <row r="800" spans="1:10" ht="48" x14ac:dyDescent="0.35">
      <c r="A800" s="615" t="s">
        <v>3371</v>
      </c>
      <c r="B800" s="616" t="str">
        <f t="shared" si="12"/>
        <v/>
      </c>
      <c r="C800" s="665"/>
      <c r="D800" s="655" t="s">
        <v>75</v>
      </c>
      <c r="E800" s="236"/>
      <c r="F800" s="232" t="s">
        <v>76</v>
      </c>
      <c r="G800" s="657" t="s">
        <v>2591</v>
      </c>
      <c r="H800" s="652"/>
      <c r="I800" s="656"/>
      <c r="J800" s="654"/>
    </row>
    <row r="801" spans="1:10" x14ac:dyDescent="0.35">
      <c r="A801" s="615" t="s">
        <v>3372</v>
      </c>
      <c r="B801" s="616" t="str">
        <f t="shared" si="12"/>
        <v/>
      </c>
      <c r="C801" s="665"/>
      <c r="D801" s="655">
        <v>2</v>
      </c>
      <c r="E801" s="236"/>
      <c r="F801" s="232" t="s">
        <v>2539</v>
      </c>
      <c r="G801" s="239"/>
      <c r="H801" s="652"/>
      <c r="I801" s="656"/>
      <c r="J801" s="654"/>
    </row>
    <row r="802" spans="1:10" x14ac:dyDescent="0.35">
      <c r="A802" s="615" t="s">
        <v>3373</v>
      </c>
      <c r="B802" s="616"/>
      <c r="C802" s="650"/>
      <c r="D802" s="655">
        <v>0</v>
      </c>
      <c r="E802" s="236"/>
      <c r="F802" s="232" t="s">
        <v>2538</v>
      </c>
      <c r="G802" s="239"/>
      <c r="H802" s="652"/>
      <c r="I802" s="653"/>
      <c r="J802" s="654"/>
    </row>
    <row r="803" spans="1:10" x14ac:dyDescent="0.35">
      <c r="A803" s="615" t="s">
        <v>3374</v>
      </c>
      <c r="B803" s="616"/>
      <c r="C803" s="650"/>
      <c r="D803" s="655">
        <v>0</v>
      </c>
      <c r="E803" s="236"/>
      <c r="F803" s="232" t="s">
        <v>2538</v>
      </c>
      <c r="G803" s="239"/>
      <c r="H803" s="652"/>
      <c r="I803" s="653"/>
      <c r="J803" s="654"/>
    </row>
    <row r="804" spans="1:10" x14ac:dyDescent="0.35">
      <c r="A804" s="615" t="s">
        <v>3375</v>
      </c>
      <c r="B804" s="616"/>
      <c r="C804" s="650"/>
      <c r="D804" s="655">
        <v>0</v>
      </c>
      <c r="E804" s="236"/>
      <c r="F804" s="232" t="s">
        <v>2538</v>
      </c>
      <c r="G804" s="239"/>
      <c r="H804" s="652"/>
      <c r="I804" s="653"/>
      <c r="J804" s="654"/>
    </row>
    <row r="805" spans="1:10" x14ac:dyDescent="0.35">
      <c r="A805" s="615" t="s">
        <v>3376</v>
      </c>
      <c r="B805" s="616"/>
      <c r="C805" s="665"/>
      <c r="D805" s="655">
        <v>0</v>
      </c>
      <c r="E805" s="236"/>
      <c r="F805" s="232" t="s">
        <v>2538</v>
      </c>
      <c r="G805" s="239"/>
      <c r="H805" s="652"/>
      <c r="I805" s="656"/>
      <c r="J805" s="654"/>
    </row>
    <row r="806" spans="1:10" x14ac:dyDescent="0.35">
      <c r="A806" s="615" t="s">
        <v>3377</v>
      </c>
      <c r="B806" s="616"/>
      <c r="C806" s="665"/>
      <c r="D806" s="655">
        <v>0</v>
      </c>
      <c r="E806" s="236"/>
      <c r="F806" s="232" t="s">
        <v>2538</v>
      </c>
      <c r="G806" s="239"/>
      <c r="H806" s="652"/>
      <c r="I806" s="656"/>
      <c r="J806" s="654"/>
    </row>
    <row r="807" spans="1:10" x14ac:dyDescent="0.35">
      <c r="A807" s="615" t="s">
        <v>3378</v>
      </c>
      <c r="B807" s="616"/>
      <c r="C807" s="650"/>
      <c r="D807" s="651">
        <v>2</v>
      </c>
      <c r="E807" s="236"/>
      <c r="F807" s="232" t="s">
        <v>2572</v>
      </c>
      <c r="G807" s="239"/>
      <c r="H807" s="652"/>
      <c r="I807" s="653"/>
      <c r="J807" s="654"/>
    </row>
    <row r="808" spans="1:10" x14ac:dyDescent="0.35">
      <c r="A808" s="615" t="s">
        <v>3379</v>
      </c>
      <c r="B808" s="616"/>
      <c r="C808" s="665"/>
      <c r="D808" s="651">
        <v>2</v>
      </c>
      <c r="E808" s="236"/>
      <c r="F808" s="232" t="s">
        <v>2572</v>
      </c>
      <c r="G808" s="239"/>
      <c r="H808" s="652"/>
      <c r="I808" s="656"/>
      <c r="J808" s="654"/>
    </row>
    <row r="809" spans="1:10" ht="36" x14ac:dyDescent="0.35">
      <c r="A809" s="615" t="s">
        <v>3380</v>
      </c>
      <c r="B809" s="616"/>
      <c r="C809" s="665"/>
      <c r="D809" s="651">
        <v>2</v>
      </c>
      <c r="E809" s="236"/>
      <c r="F809" s="232" t="s">
        <v>2572</v>
      </c>
      <c r="G809" s="666" t="s">
        <v>2575</v>
      </c>
      <c r="H809" s="652"/>
      <c r="I809" s="656"/>
      <c r="J809" s="654"/>
    </row>
    <row r="810" spans="1:10" x14ac:dyDescent="0.35">
      <c r="A810" s="615" t="s">
        <v>3381</v>
      </c>
      <c r="B810" s="616"/>
      <c r="C810" s="665"/>
      <c r="D810" s="655">
        <v>2</v>
      </c>
      <c r="E810" s="236"/>
      <c r="F810" s="232" t="s">
        <v>2572</v>
      </c>
      <c r="G810" s="239"/>
      <c r="H810" s="652"/>
      <c r="I810" s="656"/>
      <c r="J810" s="654"/>
    </row>
    <row r="811" spans="1:10" x14ac:dyDescent="0.35">
      <c r="A811" s="615" t="s">
        <v>3382</v>
      </c>
      <c r="B811" s="616"/>
      <c r="C811" s="665"/>
      <c r="D811" s="655">
        <v>2</v>
      </c>
      <c r="E811" s="236"/>
      <c r="F811" s="232" t="s">
        <v>2572</v>
      </c>
      <c r="G811" s="239"/>
      <c r="H811" s="652"/>
      <c r="I811" s="656"/>
      <c r="J811" s="654"/>
    </row>
    <row r="812" spans="1:10" x14ac:dyDescent="0.35">
      <c r="A812" s="615" t="s">
        <v>3383</v>
      </c>
      <c r="B812" s="616"/>
      <c r="C812" s="665"/>
      <c r="D812" s="655">
        <v>6</v>
      </c>
      <c r="E812" s="236"/>
      <c r="F812" s="232" t="s">
        <v>2579</v>
      </c>
      <c r="G812" s="239" t="s">
        <v>2583</v>
      </c>
      <c r="H812" s="652"/>
      <c r="I812" s="656"/>
      <c r="J812" s="654"/>
    </row>
    <row r="813" spans="1:10" x14ac:dyDescent="0.35">
      <c r="A813" s="615" t="s">
        <v>3384</v>
      </c>
      <c r="B813" s="616"/>
      <c r="C813" s="665"/>
      <c r="D813" s="655" t="s">
        <v>75</v>
      </c>
      <c r="E813" s="236"/>
      <c r="F813" s="232" t="s">
        <v>76</v>
      </c>
      <c r="G813" s="239"/>
      <c r="H813" s="652"/>
      <c r="I813" s="656"/>
      <c r="J813" s="654"/>
    </row>
    <row r="814" spans="1:10" x14ac:dyDescent="0.35">
      <c r="A814" s="615" t="s">
        <v>3385</v>
      </c>
      <c r="B814" s="616"/>
      <c r="C814" s="650"/>
      <c r="D814" s="655">
        <v>2</v>
      </c>
      <c r="E814" s="236"/>
      <c r="F814" s="232" t="s">
        <v>2539</v>
      </c>
      <c r="G814" s="239" t="s">
        <v>2585</v>
      </c>
      <c r="H814" s="652"/>
      <c r="I814" s="653"/>
      <c r="J814" s="654"/>
    </row>
    <row r="815" spans="1:10" x14ac:dyDescent="0.35">
      <c r="A815" s="615" t="s">
        <v>3386</v>
      </c>
      <c r="B815" s="616"/>
      <c r="C815" s="650"/>
      <c r="D815" s="655">
        <v>2</v>
      </c>
      <c r="E815" s="236"/>
      <c r="F815" s="232" t="s">
        <v>2539</v>
      </c>
      <c r="G815" s="239" t="s">
        <v>2585</v>
      </c>
      <c r="H815" s="652"/>
      <c r="I815" s="653"/>
      <c r="J815" s="654"/>
    </row>
    <row r="816" spans="1:10" x14ac:dyDescent="0.35">
      <c r="A816" s="615" t="s">
        <v>3387</v>
      </c>
      <c r="B816" s="616"/>
      <c r="C816" s="665"/>
      <c r="D816" s="655">
        <v>2</v>
      </c>
      <c r="E816" s="236"/>
      <c r="F816" s="232" t="s">
        <v>2539</v>
      </c>
      <c r="G816" s="239" t="s">
        <v>2585</v>
      </c>
      <c r="H816" s="652"/>
      <c r="I816" s="656"/>
      <c r="J816" s="654"/>
    </row>
    <row r="817" spans="1:10" x14ac:dyDescent="0.35">
      <c r="A817" s="615" t="s">
        <v>3388</v>
      </c>
      <c r="B817" s="616"/>
      <c r="C817" s="665"/>
      <c r="D817" s="655">
        <v>2</v>
      </c>
      <c r="E817" s="236"/>
      <c r="F817" s="232" t="s">
        <v>2539</v>
      </c>
      <c r="G817" s="239" t="s">
        <v>2585</v>
      </c>
      <c r="H817" s="652"/>
      <c r="I817" s="656"/>
      <c r="J817" s="654"/>
    </row>
    <row r="818" spans="1:10" x14ac:dyDescent="0.35">
      <c r="A818" s="615" t="s">
        <v>3389</v>
      </c>
      <c r="B818" s="616"/>
      <c r="C818" s="665"/>
      <c r="D818" s="655">
        <v>2</v>
      </c>
      <c r="E818" s="236"/>
      <c r="F818" s="232" t="s">
        <v>2539</v>
      </c>
      <c r="G818" s="239" t="s">
        <v>2585</v>
      </c>
      <c r="H818" s="652"/>
      <c r="I818" s="656"/>
      <c r="J818" s="654"/>
    </row>
    <row r="819" spans="1:10" x14ac:dyDescent="0.35">
      <c r="A819" s="615" t="s">
        <v>3390</v>
      </c>
      <c r="B819" s="616"/>
      <c r="C819" s="650"/>
      <c r="D819" s="655">
        <v>2</v>
      </c>
      <c r="E819" s="236"/>
      <c r="F819" s="232" t="s">
        <v>2539</v>
      </c>
      <c r="G819" s="239" t="s">
        <v>2585</v>
      </c>
      <c r="H819" s="652"/>
      <c r="I819" s="653"/>
      <c r="J819" s="654"/>
    </row>
    <row r="820" spans="1:10" ht="48" x14ac:dyDescent="0.35">
      <c r="A820" s="615" t="s">
        <v>3391</v>
      </c>
      <c r="B820" s="616"/>
      <c r="C820" s="650"/>
      <c r="D820" s="655" t="s">
        <v>75</v>
      </c>
      <c r="E820" s="236"/>
      <c r="F820" s="232" t="s">
        <v>76</v>
      </c>
      <c r="G820" s="657" t="s">
        <v>2591</v>
      </c>
      <c r="H820" s="652"/>
      <c r="I820" s="653"/>
      <c r="J820" s="654"/>
    </row>
    <row r="821" spans="1:10" x14ac:dyDescent="0.35">
      <c r="A821" s="615" t="s">
        <v>3392</v>
      </c>
      <c r="B821" s="616"/>
      <c r="C821" s="665"/>
      <c r="D821" s="655">
        <v>2</v>
      </c>
      <c r="E821" s="236"/>
      <c r="F821" s="232" t="s">
        <v>2539</v>
      </c>
      <c r="G821" s="239"/>
      <c r="H821" s="652"/>
      <c r="I821" s="656"/>
      <c r="J821" s="654"/>
    </row>
    <row r="822" spans="1:10" x14ac:dyDescent="0.35">
      <c r="A822" s="615" t="s">
        <v>3393</v>
      </c>
      <c r="B822" s="616" t="str">
        <f t="shared" si="12"/>
        <v/>
      </c>
      <c r="C822" s="665"/>
      <c r="D822" s="655">
        <v>0</v>
      </c>
      <c r="E822" s="236"/>
      <c r="F822" s="232" t="s">
        <v>2538</v>
      </c>
      <c r="G822" s="239"/>
      <c r="H822" s="652"/>
      <c r="I822" s="656"/>
      <c r="J822" s="654"/>
    </row>
    <row r="823" spans="1:10" x14ac:dyDescent="0.35">
      <c r="A823" s="615" t="s">
        <v>3394</v>
      </c>
      <c r="B823" s="616" t="str">
        <f t="shared" si="12"/>
        <v/>
      </c>
      <c r="C823" s="665"/>
      <c r="D823" s="655">
        <v>0</v>
      </c>
      <c r="E823" s="236"/>
      <c r="F823" s="232" t="s">
        <v>2538</v>
      </c>
      <c r="G823" s="239"/>
      <c r="H823" s="652"/>
      <c r="I823" s="656"/>
      <c r="J823" s="654"/>
    </row>
    <row r="824" spans="1:10" x14ac:dyDescent="0.35">
      <c r="A824" s="615" t="s">
        <v>3395</v>
      </c>
      <c r="B824" s="616" t="str">
        <f t="shared" si="12"/>
        <v/>
      </c>
      <c r="C824" s="665"/>
      <c r="D824" s="655">
        <v>0</v>
      </c>
      <c r="E824" s="236"/>
      <c r="F824" s="232" t="s">
        <v>2538</v>
      </c>
      <c r="G824" s="239"/>
      <c r="H824" s="652"/>
      <c r="I824" s="656"/>
      <c r="J824" s="654"/>
    </row>
    <row r="825" spans="1:10" x14ac:dyDescent="0.35">
      <c r="A825" s="615" t="s">
        <v>3396</v>
      </c>
      <c r="B825" s="616" t="str">
        <f t="shared" si="12"/>
        <v/>
      </c>
      <c r="C825" s="665"/>
      <c r="D825" s="651">
        <v>2</v>
      </c>
      <c r="E825" s="236"/>
      <c r="F825" s="232" t="s">
        <v>2572</v>
      </c>
      <c r="G825" s="239"/>
      <c r="H825" s="652"/>
      <c r="I825" s="656"/>
      <c r="J825" s="654"/>
    </row>
    <row r="826" spans="1:10" x14ac:dyDescent="0.35">
      <c r="A826" s="615" t="s">
        <v>3397</v>
      </c>
      <c r="B826" s="616" t="str">
        <f t="shared" si="12"/>
        <v/>
      </c>
      <c r="C826" s="665"/>
      <c r="D826" s="651">
        <v>2</v>
      </c>
      <c r="E826" s="236"/>
      <c r="F826" s="232" t="s">
        <v>2572</v>
      </c>
      <c r="G826" s="239"/>
      <c r="H826" s="652"/>
      <c r="I826" s="656"/>
      <c r="J826" s="654"/>
    </row>
    <row r="827" spans="1:10" x14ac:dyDescent="0.35">
      <c r="A827" s="615" t="s">
        <v>3398</v>
      </c>
      <c r="B827" s="616" t="str">
        <f t="shared" si="12"/>
        <v/>
      </c>
      <c r="C827" s="665"/>
      <c r="D827" s="651">
        <v>2</v>
      </c>
      <c r="E827" s="236"/>
      <c r="F827" s="232" t="s">
        <v>2572</v>
      </c>
      <c r="G827" s="239"/>
      <c r="H827" s="652"/>
      <c r="I827" s="656"/>
      <c r="J827" s="654"/>
    </row>
    <row r="828" spans="1:10" x14ac:dyDescent="0.35">
      <c r="A828" s="615" t="s">
        <v>3399</v>
      </c>
      <c r="B828" s="616" t="str">
        <f t="shared" si="12"/>
        <v/>
      </c>
      <c r="C828" s="665"/>
      <c r="D828" s="651">
        <v>2</v>
      </c>
      <c r="E828" s="236"/>
      <c r="F828" s="232" t="s">
        <v>2572</v>
      </c>
      <c r="G828" s="239"/>
      <c r="H828" s="652"/>
      <c r="I828" s="656"/>
      <c r="J828" s="654"/>
    </row>
    <row r="829" spans="1:10" x14ac:dyDescent="0.35">
      <c r="A829" s="615" t="s">
        <v>3400</v>
      </c>
      <c r="B829" s="616" t="str">
        <f t="shared" si="12"/>
        <v/>
      </c>
      <c r="C829" s="665"/>
      <c r="D829" s="651">
        <v>2</v>
      </c>
      <c r="E829" s="236"/>
      <c r="F829" s="232" t="s">
        <v>2572</v>
      </c>
      <c r="G829" s="239"/>
      <c r="H829" s="652"/>
      <c r="I829" s="656"/>
      <c r="J829" s="654"/>
    </row>
    <row r="830" spans="1:10" x14ac:dyDescent="0.35">
      <c r="A830" s="615" t="s">
        <v>3401</v>
      </c>
      <c r="B830" s="616" t="str">
        <f t="shared" si="12"/>
        <v/>
      </c>
      <c r="C830" s="665"/>
      <c r="D830" s="655">
        <v>6</v>
      </c>
      <c r="E830" s="236"/>
      <c r="F830" s="232" t="s">
        <v>2579</v>
      </c>
      <c r="G830" s="239" t="s">
        <v>2583</v>
      </c>
      <c r="H830" s="652"/>
      <c r="I830" s="656"/>
      <c r="J830" s="654"/>
    </row>
    <row r="831" spans="1:10" x14ac:dyDescent="0.35">
      <c r="A831" s="615" t="s">
        <v>3402</v>
      </c>
      <c r="B831" s="616" t="str">
        <f t="shared" si="12"/>
        <v/>
      </c>
      <c r="C831" s="665"/>
      <c r="D831" s="655" t="s">
        <v>75</v>
      </c>
      <c r="E831" s="236"/>
      <c r="F831" s="232" t="s">
        <v>76</v>
      </c>
      <c r="G831" s="239"/>
      <c r="H831" s="652"/>
      <c r="I831" s="656"/>
      <c r="J831" s="654"/>
    </row>
    <row r="832" spans="1:10" x14ac:dyDescent="0.35">
      <c r="A832" s="615" t="s">
        <v>3403</v>
      </c>
      <c r="B832" s="616" t="str">
        <f t="shared" si="12"/>
        <v/>
      </c>
      <c r="C832" s="665"/>
      <c r="D832" s="655">
        <v>2</v>
      </c>
      <c r="E832" s="236"/>
      <c r="F832" s="232" t="s">
        <v>2539</v>
      </c>
      <c r="G832" s="239" t="s">
        <v>2585</v>
      </c>
      <c r="H832" s="652"/>
      <c r="I832" s="656"/>
      <c r="J832" s="654"/>
    </row>
    <row r="833" spans="1:10" x14ac:dyDescent="0.35">
      <c r="A833" s="615" t="s">
        <v>3404</v>
      </c>
      <c r="B833" s="616" t="str">
        <f t="shared" si="12"/>
        <v/>
      </c>
      <c r="C833" s="665"/>
      <c r="D833" s="655">
        <v>2</v>
      </c>
      <c r="E833" s="236"/>
      <c r="F833" s="232" t="s">
        <v>2539</v>
      </c>
      <c r="G833" s="239" t="s">
        <v>2585</v>
      </c>
      <c r="H833" s="652"/>
      <c r="I833" s="656"/>
      <c r="J833" s="654"/>
    </row>
    <row r="834" spans="1:10" x14ac:dyDescent="0.35">
      <c r="A834" s="615" t="s">
        <v>3405</v>
      </c>
      <c r="B834" s="616" t="str">
        <f t="shared" si="12"/>
        <v/>
      </c>
      <c r="C834" s="665"/>
      <c r="D834" s="655">
        <v>2</v>
      </c>
      <c r="E834" s="236"/>
      <c r="F834" s="232" t="s">
        <v>2539</v>
      </c>
      <c r="G834" s="239" t="s">
        <v>2585</v>
      </c>
      <c r="H834" s="652"/>
      <c r="I834" s="656"/>
      <c r="J834" s="654"/>
    </row>
    <row r="835" spans="1:10" x14ac:dyDescent="0.35">
      <c r="A835" s="615" t="s">
        <v>3406</v>
      </c>
      <c r="B835" s="616" t="str">
        <f t="shared" si="12"/>
        <v/>
      </c>
      <c r="C835" s="665"/>
      <c r="D835" s="655">
        <v>2</v>
      </c>
      <c r="E835" s="236"/>
      <c r="F835" s="232" t="s">
        <v>2539</v>
      </c>
      <c r="G835" s="239" t="s">
        <v>2585</v>
      </c>
      <c r="H835" s="652"/>
      <c r="I835" s="656"/>
      <c r="J835" s="654"/>
    </row>
    <row r="836" spans="1:10" x14ac:dyDescent="0.35">
      <c r="A836" s="615" t="s">
        <v>3407</v>
      </c>
      <c r="B836" s="616" t="str">
        <f t="shared" ref="B836:B899" si="13">IF(C836="","",IF(D836="Datum",TEXT(DAY(C836),"00")&amp;"."&amp;TEXT(MONTH(C836),"00")&amp;"."&amp;TEXT(YEAR(C836),"0000"),IF(AND(ISNUMBER(C836),D836="x"),TEXT(C836,"@"),IF(ISNUMBER(C836),TEXT(ROUNDDOWN(C836,0),0)&amp;IF(D836=0,"","."&amp;IF(C836-ROUNDDOWN(C836,0)=0,LEFT("0000000000",D836),TEXT((C836-ROUNDDOWN(C836,0))*(1&amp; LEFT("0000000000",$D836)),LEFT("0000000000",$D836)))),C836))))</f>
        <v/>
      </c>
      <c r="C836" s="665"/>
      <c r="D836" s="655">
        <v>2</v>
      </c>
      <c r="E836" s="236"/>
      <c r="F836" s="232" t="s">
        <v>2539</v>
      </c>
      <c r="G836" s="239" t="s">
        <v>2585</v>
      </c>
      <c r="H836" s="652"/>
      <c r="I836" s="656"/>
      <c r="J836" s="654"/>
    </row>
    <row r="837" spans="1:10" x14ac:dyDescent="0.35">
      <c r="A837" s="615" t="s">
        <v>3408</v>
      </c>
      <c r="B837" s="616" t="str">
        <f t="shared" si="13"/>
        <v/>
      </c>
      <c r="C837" s="665"/>
      <c r="D837" s="655">
        <v>2</v>
      </c>
      <c r="E837" s="236"/>
      <c r="F837" s="232" t="s">
        <v>2539</v>
      </c>
      <c r="G837" s="239" t="s">
        <v>2585</v>
      </c>
      <c r="H837" s="652"/>
      <c r="I837" s="656"/>
      <c r="J837" s="654"/>
    </row>
    <row r="838" spans="1:10" ht="48" x14ac:dyDescent="0.35">
      <c r="A838" s="615" t="s">
        <v>3409</v>
      </c>
      <c r="B838" s="616" t="str">
        <f t="shared" si="13"/>
        <v/>
      </c>
      <c r="C838" s="665"/>
      <c r="D838" s="655" t="s">
        <v>75</v>
      </c>
      <c r="E838" s="236"/>
      <c r="F838" s="232" t="s">
        <v>76</v>
      </c>
      <c r="G838" s="657" t="s">
        <v>2591</v>
      </c>
      <c r="H838" s="652"/>
      <c r="I838" s="656"/>
      <c r="J838" s="654"/>
    </row>
    <row r="839" spans="1:10" x14ac:dyDescent="0.35">
      <c r="A839" s="615" t="s">
        <v>3410</v>
      </c>
      <c r="B839" s="616" t="str">
        <f t="shared" si="13"/>
        <v/>
      </c>
      <c r="C839" s="665"/>
      <c r="D839" s="655">
        <v>2</v>
      </c>
      <c r="E839" s="236"/>
      <c r="F839" s="232" t="s">
        <v>2539</v>
      </c>
      <c r="G839" s="239"/>
      <c r="H839" s="652"/>
      <c r="I839" s="656"/>
      <c r="J839" s="654"/>
    </row>
    <row r="840" spans="1:10" x14ac:dyDescent="0.35">
      <c r="A840" s="615" t="s">
        <v>3411</v>
      </c>
      <c r="B840" s="616" t="str">
        <f t="shared" si="13"/>
        <v/>
      </c>
      <c r="C840" s="665"/>
      <c r="D840" s="655">
        <v>0</v>
      </c>
      <c r="E840" s="236"/>
      <c r="F840" s="232" t="s">
        <v>2538</v>
      </c>
      <c r="G840" s="239"/>
      <c r="H840" s="652"/>
      <c r="I840" s="656"/>
      <c r="J840" s="654"/>
    </row>
    <row r="841" spans="1:10" x14ac:dyDescent="0.35">
      <c r="A841" s="615" t="s">
        <v>3412</v>
      </c>
      <c r="B841" s="616" t="str">
        <f t="shared" si="13"/>
        <v/>
      </c>
      <c r="C841" s="665"/>
      <c r="D841" s="655">
        <v>0</v>
      </c>
      <c r="E841" s="236"/>
      <c r="F841" s="232" t="s">
        <v>2538</v>
      </c>
      <c r="G841" s="239"/>
      <c r="H841" s="652"/>
      <c r="I841" s="656"/>
      <c r="J841" s="654"/>
    </row>
    <row r="842" spans="1:10" x14ac:dyDescent="0.35">
      <c r="A842" s="615" t="s">
        <v>3413</v>
      </c>
      <c r="B842" s="616" t="str">
        <f t="shared" si="13"/>
        <v/>
      </c>
      <c r="C842" s="665"/>
      <c r="D842" s="655">
        <v>0</v>
      </c>
      <c r="E842" s="236"/>
      <c r="F842" s="232" t="s">
        <v>2538</v>
      </c>
      <c r="G842" s="239"/>
      <c r="H842" s="652"/>
      <c r="I842" s="656"/>
      <c r="J842" s="654"/>
    </row>
    <row r="843" spans="1:10" x14ac:dyDescent="0.35">
      <c r="A843" s="615" t="s">
        <v>3414</v>
      </c>
      <c r="B843" s="616" t="str">
        <f t="shared" si="13"/>
        <v/>
      </c>
      <c r="C843" s="665"/>
      <c r="D843" s="651">
        <v>2</v>
      </c>
      <c r="E843" s="236"/>
      <c r="F843" s="232" t="s">
        <v>2572</v>
      </c>
      <c r="G843" s="239"/>
      <c r="H843" s="652"/>
      <c r="I843" s="656"/>
      <c r="J843" s="654"/>
    </row>
    <row r="844" spans="1:10" x14ac:dyDescent="0.35">
      <c r="A844" s="615" t="s">
        <v>3415</v>
      </c>
      <c r="B844" s="616" t="str">
        <f t="shared" si="13"/>
        <v/>
      </c>
      <c r="C844" s="665"/>
      <c r="D844" s="651">
        <v>2</v>
      </c>
      <c r="E844" s="236"/>
      <c r="F844" s="232" t="s">
        <v>2572</v>
      </c>
      <c r="G844" s="239"/>
      <c r="H844" s="652"/>
      <c r="I844" s="656"/>
      <c r="J844" s="654"/>
    </row>
    <row r="845" spans="1:10" x14ac:dyDescent="0.35">
      <c r="A845" s="615" t="s">
        <v>3416</v>
      </c>
      <c r="B845" s="616" t="str">
        <f t="shared" si="13"/>
        <v/>
      </c>
      <c r="C845" s="665"/>
      <c r="D845" s="651">
        <v>2</v>
      </c>
      <c r="E845" s="236"/>
      <c r="F845" s="232" t="s">
        <v>2572</v>
      </c>
      <c r="G845" s="239"/>
      <c r="H845" s="652"/>
      <c r="I845" s="656"/>
      <c r="J845" s="654"/>
    </row>
    <row r="846" spans="1:10" x14ac:dyDescent="0.35">
      <c r="A846" s="615" t="s">
        <v>3417</v>
      </c>
      <c r="B846" s="616" t="str">
        <f t="shared" si="13"/>
        <v/>
      </c>
      <c r="C846" s="665"/>
      <c r="D846" s="651">
        <v>2</v>
      </c>
      <c r="E846" s="236"/>
      <c r="F846" s="232" t="s">
        <v>2572</v>
      </c>
      <c r="G846" s="239"/>
      <c r="H846" s="652"/>
      <c r="I846" s="656"/>
      <c r="J846" s="654"/>
    </row>
    <row r="847" spans="1:10" x14ac:dyDescent="0.35">
      <c r="A847" s="615" t="s">
        <v>3418</v>
      </c>
      <c r="B847" s="616" t="str">
        <f t="shared" si="13"/>
        <v/>
      </c>
      <c r="C847" s="665"/>
      <c r="D847" s="651">
        <v>2</v>
      </c>
      <c r="E847" s="236"/>
      <c r="F847" s="232" t="s">
        <v>2572</v>
      </c>
      <c r="G847" s="239"/>
      <c r="H847" s="652"/>
      <c r="I847" s="656"/>
      <c r="J847" s="654"/>
    </row>
    <row r="848" spans="1:10" x14ac:dyDescent="0.35">
      <c r="A848" s="615" t="s">
        <v>3419</v>
      </c>
      <c r="B848" s="616" t="str">
        <f t="shared" si="13"/>
        <v/>
      </c>
      <c r="C848" s="665"/>
      <c r="D848" s="655">
        <v>6</v>
      </c>
      <c r="E848" s="236"/>
      <c r="F848" s="232" t="s">
        <v>2579</v>
      </c>
      <c r="G848" s="239" t="s">
        <v>2583</v>
      </c>
      <c r="H848" s="652"/>
      <c r="I848" s="656"/>
      <c r="J848" s="654"/>
    </row>
    <row r="849" spans="1:10" x14ac:dyDescent="0.35">
      <c r="A849" s="615" t="s">
        <v>3420</v>
      </c>
      <c r="B849" s="616" t="str">
        <f t="shared" si="13"/>
        <v/>
      </c>
      <c r="C849" s="665"/>
      <c r="D849" s="655" t="s">
        <v>75</v>
      </c>
      <c r="E849" s="236"/>
      <c r="F849" s="232" t="s">
        <v>76</v>
      </c>
      <c r="G849" s="239"/>
      <c r="H849" s="652"/>
      <c r="I849" s="656"/>
      <c r="J849" s="654"/>
    </row>
    <row r="850" spans="1:10" x14ac:dyDescent="0.35">
      <c r="A850" s="615" t="s">
        <v>3421</v>
      </c>
      <c r="B850" s="616" t="str">
        <f t="shared" si="13"/>
        <v/>
      </c>
      <c r="C850" s="665"/>
      <c r="D850" s="655">
        <v>2</v>
      </c>
      <c r="E850" s="236"/>
      <c r="F850" s="232" t="s">
        <v>2539</v>
      </c>
      <c r="G850" s="239" t="s">
        <v>2585</v>
      </c>
      <c r="H850" s="652"/>
      <c r="I850" s="656"/>
      <c r="J850" s="654"/>
    </row>
    <row r="851" spans="1:10" x14ac:dyDescent="0.35">
      <c r="A851" s="615" t="s">
        <v>3422</v>
      </c>
      <c r="B851" s="616" t="str">
        <f t="shared" si="13"/>
        <v/>
      </c>
      <c r="C851" s="665"/>
      <c r="D851" s="655">
        <v>2</v>
      </c>
      <c r="E851" s="236"/>
      <c r="F851" s="232" t="s">
        <v>2539</v>
      </c>
      <c r="G851" s="239" t="s">
        <v>2585</v>
      </c>
      <c r="H851" s="652"/>
      <c r="I851" s="656"/>
      <c r="J851" s="654"/>
    </row>
    <row r="852" spans="1:10" x14ac:dyDescent="0.35">
      <c r="A852" s="615" t="s">
        <v>3423</v>
      </c>
      <c r="B852" s="616" t="str">
        <f t="shared" si="13"/>
        <v/>
      </c>
      <c r="C852" s="665"/>
      <c r="D852" s="655">
        <v>2</v>
      </c>
      <c r="E852" s="236"/>
      <c r="F852" s="232" t="s">
        <v>2539</v>
      </c>
      <c r="G852" s="239" t="s">
        <v>2585</v>
      </c>
      <c r="H852" s="652"/>
      <c r="I852" s="656"/>
      <c r="J852" s="654"/>
    </row>
    <row r="853" spans="1:10" x14ac:dyDescent="0.35">
      <c r="A853" s="615" t="s">
        <v>3424</v>
      </c>
      <c r="B853" s="616" t="str">
        <f t="shared" si="13"/>
        <v/>
      </c>
      <c r="C853" s="665"/>
      <c r="D853" s="655">
        <v>2</v>
      </c>
      <c r="E853" s="236"/>
      <c r="F853" s="232" t="s">
        <v>2539</v>
      </c>
      <c r="G853" s="239" t="s">
        <v>2585</v>
      </c>
      <c r="H853" s="652"/>
      <c r="I853" s="656"/>
      <c r="J853" s="654"/>
    </row>
    <row r="854" spans="1:10" x14ac:dyDescent="0.35">
      <c r="A854" s="615" t="s">
        <v>3425</v>
      </c>
      <c r="B854" s="616" t="str">
        <f t="shared" si="13"/>
        <v/>
      </c>
      <c r="C854" s="665"/>
      <c r="D854" s="655">
        <v>2</v>
      </c>
      <c r="E854" s="236"/>
      <c r="F854" s="232" t="s">
        <v>2539</v>
      </c>
      <c r="G854" s="239" t="s">
        <v>2585</v>
      </c>
      <c r="H854" s="652"/>
      <c r="I854" s="656"/>
      <c r="J854" s="654"/>
    </row>
    <row r="855" spans="1:10" x14ac:dyDescent="0.35">
      <c r="A855" s="615" t="s">
        <v>3426</v>
      </c>
      <c r="B855" s="616" t="str">
        <f t="shared" si="13"/>
        <v/>
      </c>
      <c r="C855" s="665"/>
      <c r="D855" s="655">
        <v>2</v>
      </c>
      <c r="E855" s="236"/>
      <c r="F855" s="232" t="s">
        <v>2539</v>
      </c>
      <c r="G855" s="239" t="s">
        <v>2585</v>
      </c>
      <c r="H855" s="652"/>
      <c r="I855" s="656"/>
      <c r="J855" s="654"/>
    </row>
    <row r="856" spans="1:10" ht="48" x14ac:dyDescent="0.35">
      <c r="A856" s="615" t="s">
        <v>3427</v>
      </c>
      <c r="B856" s="616" t="str">
        <f t="shared" si="13"/>
        <v/>
      </c>
      <c r="C856" s="665"/>
      <c r="D856" s="655" t="s">
        <v>75</v>
      </c>
      <c r="E856" s="236"/>
      <c r="F856" s="232" t="s">
        <v>76</v>
      </c>
      <c r="G856" s="657" t="s">
        <v>2591</v>
      </c>
      <c r="H856" s="652"/>
      <c r="I856" s="656"/>
      <c r="J856" s="654"/>
    </row>
    <row r="857" spans="1:10" x14ac:dyDescent="0.35">
      <c r="A857" s="615" t="s">
        <v>3428</v>
      </c>
      <c r="B857" s="616" t="str">
        <f t="shared" si="13"/>
        <v/>
      </c>
      <c r="C857" s="665"/>
      <c r="D857" s="655">
        <v>2</v>
      </c>
      <c r="E857" s="236"/>
      <c r="F857" s="232" t="s">
        <v>2539</v>
      </c>
      <c r="G857" s="239"/>
      <c r="H857" s="652"/>
      <c r="I857" s="656"/>
      <c r="J857" s="654"/>
    </row>
    <row r="858" spans="1:10" x14ac:dyDescent="0.35">
      <c r="A858" s="615" t="s">
        <v>3429</v>
      </c>
      <c r="B858" s="616" t="str">
        <f t="shared" si="13"/>
        <v/>
      </c>
      <c r="C858" s="665"/>
      <c r="D858" s="655">
        <v>0</v>
      </c>
      <c r="E858" s="236"/>
      <c r="F858" s="232" t="s">
        <v>2538</v>
      </c>
      <c r="G858" s="239"/>
      <c r="H858" s="652"/>
      <c r="I858" s="656"/>
      <c r="J858" s="654"/>
    </row>
    <row r="859" spans="1:10" x14ac:dyDescent="0.35">
      <c r="A859" s="615" t="s">
        <v>3430</v>
      </c>
      <c r="B859" s="616" t="str">
        <f t="shared" si="13"/>
        <v/>
      </c>
      <c r="C859" s="665"/>
      <c r="D859" s="655">
        <v>0</v>
      </c>
      <c r="E859" s="236"/>
      <c r="F859" s="232" t="s">
        <v>2538</v>
      </c>
      <c r="G859" s="239"/>
      <c r="H859" s="652"/>
      <c r="I859" s="656"/>
      <c r="J859" s="654"/>
    </row>
    <row r="860" spans="1:10" x14ac:dyDescent="0.35">
      <c r="A860" s="615" t="s">
        <v>3431</v>
      </c>
      <c r="B860" s="616" t="str">
        <f t="shared" si="13"/>
        <v/>
      </c>
      <c r="C860" s="665"/>
      <c r="D860" s="655">
        <v>0</v>
      </c>
      <c r="E860" s="236"/>
      <c r="F860" s="232" t="s">
        <v>2538</v>
      </c>
      <c r="G860" s="239"/>
      <c r="H860" s="652"/>
      <c r="I860" s="656"/>
      <c r="J860" s="654"/>
    </row>
    <row r="861" spans="1:10" x14ac:dyDescent="0.35">
      <c r="A861" s="615" t="s">
        <v>3432</v>
      </c>
      <c r="B861" s="616" t="str">
        <f t="shared" si="13"/>
        <v/>
      </c>
      <c r="C861" s="665"/>
      <c r="D861" s="651">
        <v>2</v>
      </c>
      <c r="E861" s="236"/>
      <c r="F861" s="232" t="s">
        <v>2572</v>
      </c>
      <c r="G861" s="239"/>
      <c r="H861" s="652"/>
      <c r="I861" s="656"/>
      <c r="J861" s="654"/>
    </row>
    <row r="862" spans="1:10" x14ac:dyDescent="0.35">
      <c r="A862" s="615" t="s">
        <v>3433</v>
      </c>
      <c r="B862" s="616" t="str">
        <f t="shared" si="13"/>
        <v/>
      </c>
      <c r="C862" s="665"/>
      <c r="D862" s="651">
        <v>2</v>
      </c>
      <c r="E862" s="236"/>
      <c r="F862" s="232" t="s">
        <v>2572</v>
      </c>
      <c r="G862" s="239"/>
      <c r="H862" s="652"/>
      <c r="I862" s="656"/>
      <c r="J862" s="654"/>
    </row>
    <row r="863" spans="1:10" x14ac:dyDescent="0.35">
      <c r="A863" s="615" t="s">
        <v>3434</v>
      </c>
      <c r="B863" s="616" t="str">
        <f t="shared" si="13"/>
        <v/>
      </c>
      <c r="C863" s="665"/>
      <c r="D863" s="651">
        <v>2</v>
      </c>
      <c r="E863" s="236"/>
      <c r="F863" s="232" t="s">
        <v>2572</v>
      </c>
      <c r="G863" s="239"/>
      <c r="H863" s="652"/>
      <c r="I863" s="656"/>
      <c r="J863" s="654"/>
    </row>
    <row r="864" spans="1:10" x14ac:dyDescent="0.35">
      <c r="A864" s="615" t="s">
        <v>3435</v>
      </c>
      <c r="B864" s="616" t="str">
        <f t="shared" si="13"/>
        <v/>
      </c>
      <c r="C864" s="665"/>
      <c r="D864" s="651">
        <v>2</v>
      </c>
      <c r="E864" s="236"/>
      <c r="F864" s="232" t="s">
        <v>2572</v>
      </c>
      <c r="G864" s="239"/>
      <c r="H864" s="652"/>
      <c r="I864" s="656"/>
      <c r="J864" s="654"/>
    </row>
    <row r="865" spans="1:10" x14ac:dyDescent="0.35">
      <c r="A865" s="615" t="s">
        <v>3436</v>
      </c>
      <c r="B865" s="616" t="str">
        <f t="shared" si="13"/>
        <v/>
      </c>
      <c r="C865" s="665"/>
      <c r="D865" s="651">
        <v>2</v>
      </c>
      <c r="E865" s="236"/>
      <c r="F865" s="232" t="s">
        <v>2572</v>
      </c>
      <c r="G865" s="239"/>
      <c r="H865" s="652"/>
      <c r="I865" s="656"/>
      <c r="J865" s="654"/>
    </row>
    <row r="866" spans="1:10" x14ac:dyDescent="0.35">
      <c r="A866" s="615" t="s">
        <v>3437</v>
      </c>
      <c r="B866" s="616" t="str">
        <f t="shared" si="13"/>
        <v/>
      </c>
      <c r="C866" s="665"/>
      <c r="D866" s="655">
        <v>6</v>
      </c>
      <c r="E866" s="236"/>
      <c r="F866" s="232" t="s">
        <v>2579</v>
      </c>
      <c r="G866" s="239" t="s">
        <v>2583</v>
      </c>
      <c r="H866" s="652"/>
      <c r="I866" s="656"/>
      <c r="J866" s="654"/>
    </row>
    <row r="867" spans="1:10" x14ac:dyDescent="0.35">
      <c r="A867" s="615" t="s">
        <v>3438</v>
      </c>
      <c r="B867" s="616" t="str">
        <f t="shared" si="13"/>
        <v/>
      </c>
      <c r="C867" s="665"/>
      <c r="D867" s="655" t="s">
        <v>75</v>
      </c>
      <c r="E867" s="236"/>
      <c r="F867" s="232" t="s">
        <v>76</v>
      </c>
      <c r="G867" s="239"/>
      <c r="H867" s="652"/>
      <c r="I867" s="656"/>
      <c r="J867" s="654"/>
    </row>
    <row r="868" spans="1:10" x14ac:dyDescent="0.35">
      <c r="A868" s="615" t="s">
        <v>3439</v>
      </c>
      <c r="B868" s="616" t="str">
        <f t="shared" si="13"/>
        <v/>
      </c>
      <c r="C868" s="665"/>
      <c r="D868" s="655">
        <v>2</v>
      </c>
      <c r="E868" s="236"/>
      <c r="F868" s="232" t="s">
        <v>2539</v>
      </c>
      <c r="G868" s="239" t="s">
        <v>2585</v>
      </c>
      <c r="H868" s="652"/>
      <c r="I868" s="656"/>
      <c r="J868" s="654"/>
    </row>
    <row r="869" spans="1:10" x14ac:dyDescent="0.35">
      <c r="A869" s="615" t="s">
        <v>3440</v>
      </c>
      <c r="B869" s="616" t="str">
        <f t="shared" si="13"/>
        <v/>
      </c>
      <c r="C869" s="665"/>
      <c r="D869" s="655">
        <v>2</v>
      </c>
      <c r="E869" s="236"/>
      <c r="F869" s="232" t="s">
        <v>2539</v>
      </c>
      <c r="G869" s="239" t="s">
        <v>2585</v>
      </c>
      <c r="H869" s="652"/>
      <c r="I869" s="656"/>
      <c r="J869" s="654"/>
    </row>
    <row r="870" spans="1:10" x14ac:dyDescent="0.35">
      <c r="A870" s="615" t="s">
        <v>3441</v>
      </c>
      <c r="B870" s="616" t="str">
        <f t="shared" si="13"/>
        <v/>
      </c>
      <c r="C870" s="665"/>
      <c r="D870" s="655">
        <v>2</v>
      </c>
      <c r="E870" s="236"/>
      <c r="F870" s="232" t="s">
        <v>2539</v>
      </c>
      <c r="G870" s="239" t="s">
        <v>2585</v>
      </c>
      <c r="H870" s="652"/>
      <c r="I870" s="656"/>
      <c r="J870" s="654"/>
    </row>
    <row r="871" spans="1:10" x14ac:dyDescent="0.35">
      <c r="A871" s="615" t="s">
        <v>3442</v>
      </c>
      <c r="B871" s="616" t="str">
        <f t="shared" si="13"/>
        <v/>
      </c>
      <c r="C871" s="665"/>
      <c r="D871" s="655">
        <v>2</v>
      </c>
      <c r="E871" s="236"/>
      <c r="F871" s="232" t="s">
        <v>2539</v>
      </c>
      <c r="G871" s="239" t="s">
        <v>2585</v>
      </c>
      <c r="H871" s="652"/>
      <c r="I871" s="656"/>
      <c r="J871" s="654"/>
    </row>
    <row r="872" spans="1:10" x14ac:dyDescent="0.35">
      <c r="A872" s="615" t="s">
        <v>3443</v>
      </c>
      <c r="B872" s="616" t="str">
        <f t="shared" si="13"/>
        <v/>
      </c>
      <c r="C872" s="665"/>
      <c r="D872" s="655">
        <v>2</v>
      </c>
      <c r="E872" s="236"/>
      <c r="F872" s="232" t="s">
        <v>2539</v>
      </c>
      <c r="G872" s="239" t="s">
        <v>2585</v>
      </c>
      <c r="H872" s="652"/>
      <c r="I872" s="656"/>
      <c r="J872" s="654"/>
    </row>
    <row r="873" spans="1:10" x14ac:dyDescent="0.35">
      <c r="A873" s="615" t="s">
        <v>3444</v>
      </c>
      <c r="B873" s="616" t="str">
        <f t="shared" si="13"/>
        <v/>
      </c>
      <c r="C873" s="665"/>
      <c r="D873" s="655">
        <v>2</v>
      </c>
      <c r="E873" s="236"/>
      <c r="F873" s="232" t="s">
        <v>2539</v>
      </c>
      <c r="G873" s="239" t="s">
        <v>2585</v>
      </c>
      <c r="H873" s="652"/>
      <c r="I873" s="656"/>
      <c r="J873" s="654"/>
    </row>
    <row r="874" spans="1:10" ht="48" x14ac:dyDescent="0.35">
      <c r="A874" s="615" t="s">
        <v>3445</v>
      </c>
      <c r="B874" s="616" t="str">
        <f t="shared" si="13"/>
        <v/>
      </c>
      <c r="C874" s="665"/>
      <c r="D874" s="655" t="s">
        <v>75</v>
      </c>
      <c r="E874" s="236"/>
      <c r="F874" s="232" t="s">
        <v>76</v>
      </c>
      <c r="G874" s="657" t="s">
        <v>2591</v>
      </c>
      <c r="H874" s="652"/>
      <c r="I874" s="656"/>
      <c r="J874" s="654"/>
    </row>
    <row r="875" spans="1:10" x14ac:dyDescent="0.35">
      <c r="A875" s="615" t="s">
        <v>3446</v>
      </c>
      <c r="B875" s="616" t="str">
        <f t="shared" si="13"/>
        <v/>
      </c>
      <c r="C875" s="665"/>
      <c r="D875" s="655">
        <v>2</v>
      </c>
      <c r="E875" s="236"/>
      <c r="F875" s="232" t="s">
        <v>2539</v>
      </c>
      <c r="G875" s="239"/>
      <c r="H875" s="652"/>
      <c r="I875" s="656"/>
      <c r="J875" s="654"/>
    </row>
    <row r="876" spans="1:10" x14ac:dyDescent="0.35">
      <c r="A876" s="615" t="s">
        <v>3447</v>
      </c>
      <c r="B876" s="616" t="str">
        <f t="shared" si="13"/>
        <v/>
      </c>
      <c r="C876" s="665"/>
      <c r="D876" s="655">
        <v>0</v>
      </c>
      <c r="E876" s="236"/>
      <c r="F876" s="232" t="s">
        <v>2538</v>
      </c>
      <c r="G876" s="239"/>
      <c r="H876" s="652"/>
      <c r="I876" s="656"/>
      <c r="J876" s="654"/>
    </row>
    <row r="877" spans="1:10" x14ac:dyDescent="0.35">
      <c r="A877" s="615" t="s">
        <v>3448</v>
      </c>
      <c r="B877" s="616" t="str">
        <f t="shared" si="13"/>
        <v/>
      </c>
      <c r="C877" s="665"/>
      <c r="D877" s="655">
        <v>0</v>
      </c>
      <c r="E877" s="236"/>
      <c r="F877" s="232" t="s">
        <v>2538</v>
      </c>
      <c r="G877" s="239"/>
      <c r="H877" s="652"/>
      <c r="I877" s="656"/>
      <c r="J877" s="654"/>
    </row>
    <row r="878" spans="1:10" x14ac:dyDescent="0.35">
      <c r="A878" s="615" t="s">
        <v>3449</v>
      </c>
      <c r="B878" s="616" t="str">
        <f t="shared" si="13"/>
        <v/>
      </c>
      <c r="C878" s="665"/>
      <c r="D878" s="655">
        <v>0</v>
      </c>
      <c r="E878" s="236"/>
      <c r="F878" s="232" t="s">
        <v>2538</v>
      </c>
      <c r="G878" s="239"/>
      <c r="H878" s="652"/>
      <c r="I878" s="656"/>
      <c r="J878" s="654"/>
    </row>
    <row r="879" spans="1:10" x14ac:dyDescent="0.35">
      <c r="A879" s="615" t="s">
        <v>3450</v>
      </c>
      <c r="B879" s="616" t="str">
        <f t="shared" si="13"/>
        <v/>
      </c>
      <c r="C879" s="665"/>
      <c r="D879" s="651">
        <v>2</v>
      </c>
      <c r="E879" s="236"/>
      <c r="F879" s="232" t="s">
        <v>2572</v>
      </c>
      <c r="G879" s="239"/>
      <c r="H879" s="652"/>
      <c r="I879" s="656"/>
      <c r="J879" s="654"/>
    </row>
    <row r="880" spans="1:10" x14ac:dyDescent="0.35">
      <c r="A880" s="615" t="s">
        <v>3451</v>
      </c>
      <c r="B880" s="616" t="str">
        <f t="shared" si="13"/>
        <v/>
      </c>
      <c r="C880" s="665"/>
      <c r="D880" s="651">
        <v>2</v>
      </c>
      <c r="E880" s="236"/>
      <c r="F880" s="232" t="s">
        <v>2572</v>
      </c>
      <c r="G880" s="239"/>
      <c r="H880" s="652"/>
      <c r="I880" s="656"/>
      <c r="J880" s="654"/>
    </row>
    <row r="881" spans="1:10" x14ac:dyDescent="0.35">
      <c r="A881" s="615" t="s">
        <v>3452</v>
      </c>
      <c r="B881" s="616" t="str">
        <f t="shared" si="13"/>
        <v/>
      </c>
      <c r="C881" s="665"/>
      <c r="D881" s="651">
        <v>2</v>
      </c>
      <c r="E881" s="236"/>
      <c r="F881" s="232" t="s">
        <v>2572</v>
      </c>
      <c r="G881" s="239"/>
      <c r="H881" s="652"/>
      <c r="I881" s="656"/>
      <c r="J881" s="654"/>
    </row>
    <row r="882" spans="1:10" x14ac:dyDescent="0.35">
      <c r="A882" s="615" t="s">
        <v>3453</v>
      </c>
      <c r="B882" s="616" t="str">
        <f t="shared" si="13"/>
        <v/>
      </c>
      <c r="C882" s="665"/>
      <c r="D882" s="651">
        <v>2</v>
      </c>
      <c r="E882" s="236"/>
      <c r="F882" s="232" t="s">
        <v>2572</v>
      </c>
      <c r="G882" s="239"/>
      <c r="H882" s="652"/>
      <c r="I882" s="656"/>
      <c r="J882" s="654"/>
    </row>
    <row r="883" spans="1:10" x14ac:dyDescent="0.35">
      <c r="A883" s="615" t="s">
        <v>3454</v>
      </c>
      <c r="B883" s="616" t="str">
        <f t="shared" si="13"/>
        <v/>
      </c>
      <c r="C883" s="665"/>
      <c r="D883" s="651">
        <v>2</v>
      </c>
      <c r="E883" s="236"/>
      <c r="F883" s="232" t="s">
        <v>2572</v>
      </c>
      <c r="G883" s="239"/>
      <c r="H883" s="652"/>
      <c r="I883" s="656"/>
      <c r="J883" s="654"/>
    </row>
    <row r="884" spans="1:10" x14ac:dyDescent="0.35">
      <c r="A884" s="615" t="s">
        <v>3455</v>
      </c>
      <c r="B884" s="616" t="str">
        <f t="shared" si="13"/>
        <v/>
      </c>
      <c r="C884" s="665"/>
      <c r="D884" s="655">
        <v>6</v>
      </c>
      <c r="E884" s="236"/>
      <c r="F884" s="232" t="s">
        <v>2579</v>
      </c>
      <c r="G884" s="239" t="s">
        <v>2583</v>
      </c>
      <c r="H884" s="652"/>
      <c r="I884" s="656"/>
      <c r="J884" s="654"/>
    </row>
    <row r="885" spans="1:10" x14ac:dyDescent="0.35">
      <c r="A885" s="615" t="s">
        <v>3456</v>
      </c>
      <c r="B885" s="616" t="str">
        <f t="shared" si="13"/>
        <v/>
      </c>
      <c r="C885" s="665"/>
      <c r="D885" s="655" t="s">
        <v>75</v>
      </c>
      <c r="E885" s="236"/>
      <c r="F885" s="232" t="s">
        <v>76</v>
      </c>
      <c r="G885" s="239"/>
      <c r="H885" s="652"/>
      <c r="I885" s="656"/>
      <c r="J885" s="654"/>
    </row>
    <row r="886" spans="1:10" x14ac:dyDescent="0.35">
      <c r="A886" s="615" t="s">
        <v>3457</v>
      </c>
      <c r="B886" s="616" t="str">
        <f t="shared" si="13"/>
        <v/>
      </c>
      <c r="C886" s="665"/>
      <c r="D886" s="655">
        <v>2</v>
      </c>
      <c r="E886" s="236"/>
      <c r="F886" s="232" t="s">
        <v>2539</v>
      </c>
      <c r="G886" s="239" t="s">
        <v>2585</v>
      </c>
      <c r="H886" s="652"/>
      <c r="I886" s="656"/>
      <c r="J886" s="654"/>
    </row>
    <row r="887" spans="1:10" x14ac:dyDescent="0.35">
      <c r="A887" s="615" t="s">
        <v>3458</v>
      </c>
      <c r="B887" s="616" t="str">
        <f t="shared" si="13"/>
        <v/>
      </c>
      <c r="C887" s="665"/>
      <c r="D887" s="655">
        <v>2</v>
      </c>
      <c r="E887" s="236"/>
      <c r="F887" s="232" t="s">
        <v>2539</v>
      </c>
      <c r="G887" s="239" t="s">
        <v>2585</v>
      </c>
      <c r="H887" s="652"/>
      <c r="I887" s="656"/>
      <c r="J887" s="654"/>
    </row>
    <row r="888" spans="1:10" x14ac:dyDescent="0.35">
      <c r="A888" s="615" t="s">
        <v>3459</v>
      </c>
      <c r="B888" s="616" t="str">
        <f t="shared" si="13"/>
        <v/>
      </c>
      <c r="C888" s="665"/>
      <c r="D888" s="655">
        <v>2</v>
      </c>
      <c r="E888" s="236"/>
      <c r="F888" s="232" t="s">
        <v>2539</v>
      </c>
      <c r="G888" s="239" t="s">
        <v>2585</v>
      </c>
      <c r="H888" s="652"/>
      <c r="I888" s="656"/>
      <c r="J888" s="654"/>
    </row>
    <row r="889" spans="1:10" x14ac:dyDescent="0.35">
      <c r="A889" s="615" t="s">
        <v>3460</v>
      </c>
      <c r="B889" s="616" t="str">
        <f t="shared" si="13"/>
        <v/>
      </c>
      <c r="C889" s="665"/>
      <c r="D889" s="655">
        <v>2</v>
      </c>
      <c r="E889" s="236"/>
      <c r="F889" s="232" t="s">
        <v>2539</v>
      </c>
      <c r="G889" s="239" t="s">
        <v>2585</v>
      </c>
      <c r="H889" s="652"/>
      <c r="I889" s="656"/>
      <c r="J889" s="654"/>
    </row>
    <row r="890" spans="1:10" x14ac:dyDescent="0.35">
      <c r="A890" s="615" t="s">
        <v>3461</v>
      </c>
      <c r="B890" s="616" t="str">
        <f t="shared" si="13"/>
        <v/>
      </c>
      <c r="C890" s="665"/>
      <c r="D890" s="655">
        <v>2</v>
      </c>
      <c r="E890" s="236"/>
      <c r="F890" s="232" t="s">
        <v>2539</v>
      </c>
      <c r="G890" s="239" t="s">
        <v>2585</v>
      </c>
      <c r="H890" s="652"/>
      <c r="I890" s="656"/>
      <c r="J890" s="654"/>
    </row>
    <row r="891" spans="1:10" x14ac:dyDescent="0.35">
      <c r="A891" s="615" t="s">
        <v>3462</v>
      </c>
      <c r="B891" s="616" t="str">
        <f t="shared" si="13"/>
        <v/>
      </c>
      <c r="C891" s="665"/>
      <c r="D891" s="655">
        <v>2</v>
      </c>
      <c r="E891" s="236"/>
      <c r="F891" s="232" t="s">
        <v>2539</v>
      </c>
      <c r="G891" s="239" t="s">
        <v>2585</v>
      </c>
      <c r="H891" s="652"/>
      <c r="I891" s="656"/>
      <c r="J891" s="654"/>
    </row>
    <row r="892" spans="1:10" ht="48" x14ac:dyDescent="0.35">
      <c r="A892" s="615" t="s">
        <v>3463</v>
      </c>
      <c r="B892" s="616" t="str">
        <f t="shared" si="13"/>
        <v/>
      </c>
      <c r="C892" s="665"/>
      <c r="D892" s="655" t="s">
        <v>75</v>
      </c>
      <c r="E892" s="236"/>
      <c r="F892" s="232" t="s">
        <v>76</v>
      </c>
      <c r="G892" s="657" t="s">
        <v>2591</v>
      </c>
      <c r="H892" s="652"/>
      <c r="I892" s="656"/>
      <c r="J892" s="654"/>
    </row>
    <row r="893" spans="1:10" x14ac:dyDescent="0.35">
      <c r="A893" s="615" t="s">
        <v>3464</v>
      </c>
      <c r="B893" s="616" t="str">
        <f t="shared" si="13"/>
        <v/>
      </c>
      <c r="C893" s="665"/>
      <c r="D893" s="655">
        <v>2</v>
      </c>
      <c r="E893" s="236"/>
      <c r="F893" s="232" t="s">
        <v>2539</v>
      </c>
      <c r="G893" s="239"/>
      <c r="H893" s="652"/>
      <c r="I893" s="656"/>
      <c r="J893" s="654"/>
    </row>
    <row r="894" spans="1:10" x14ac:dyDescent="0.35">
      <c r="A894" s="615" t="s">
        <v>3465</v>
      </c>
      <c r="B894" s="616" t="str">
        <f t="shared" si="13"/>
        <v/>
      </c>
      <c r="C894" s="665"/>
      <c r="D894" s="655">
        <v>0</v>
      </c>
      <c r="E894" s="236"/>
      <c r="F894" s="232" t="s">
        <v>2538</v>
      </c>
      <c r="G894" s="239"/>
      <c r="H894" s="652"/>
      <c r="I894" s="656"/>
      <c r="J894" s="654"/>
    </row>
    <row r="895" spans="1:10" x14ac:dyDescent="0.35">
      <c r="A895" s="615" t="s">
        <v>3466</v>
      </c>
      <c r="B895" s="616" t="str">
        <f t="shared" si="13"/>
        <v/>
      </c>
      <c r="C895" s="665"/>
      <c r="D895" s="655">
        <v>0</v>
      </c>
      <c r="E895" s="236"/>
      <c r="F895" s="232" t="s">
        <v>2538</v>
      </c>
      <c r="G895" s="239"/>
      <c r="H895" s="652"/>
      <c r="I895" s="656"/>
      <c r="J895" s="654"/>
    </row>
    <row r="896" spans="1:10" x14ac:dyDescent="0.35">
      <c r="A896" s="615" t="s">
        <v>3467</v>
      </c>
      <c r="B896" s="616" t="str">
        <f t="shared" si="13"/>
        <v/>
      </c>
      <c r="C896" s="665"/>
      <c r="D896" s="655">
        <v>0</v>
      </c>
      <c r="E896" s="236"/>
      <c r="F896" s="232" t="s">
        <v>2538</v>
      </c>
      <c r="G896" s="239"/>
      <c r="H896" s="652"/>
      <c r="I896" s="656"/>
      <c r="J896" s="654"/>
    </row>
    <row r="897" spans="1:10" x14ac:dyDescent="0.35">
      <c r="A897" s="615" t="s">
        <v>3468</v>
      </c>
      <c r="B897" s="616" t="str">
        <f t="shared" si="13"/>
        <v/>
      </c>
      <c r="C897" s="665"/>
      <c r="D897" s="651">
        <v>2</v>
      </c>
      <c r="E897" s="236"/>
      <c r="F897" s="232" t="s">
        <v>2572</v>
      </c>
      <c r="G897" s="239"/>
      <c r="H897" s="652"/>
      <c r="I897" s="656"/>
      <c r="J897" s="654"/>
    </row>
    <row r="898" spans="1:10" x14ac:dyDescent="0.35">
      <c r="A898" s="615" t="s">
        <v>3469</v>
      </c>
      <c r="B898" s="616" t="str">
        <f t="shared" si="13"/>
        <v/>
      </c>
      <c r="C898" s="665"/>
      <c r="D898" s="651">
        <v>2</v>
      </c>
      <c r="E898" s="236"/>
      <c r="F898" s="232" t="s">
        <v>2572</v>
      </c>
      <c r="G898" s="239"/>
      <c r="H898" s="652"/>
      <c r="I898" s="656"/>
      <c r="J898" s="654"/>
    </row>
    <row r="899" spans="1:10" x14ac:dyDescent="0.35">
      <c r="A899" s="615" t="s">
        <v>3470</v>
      </c>
      <c r="B899" s="616" t="str">
        <f t="shared" si="13"/>
        <v/>
      </c>
      <c r="C899" s="665"/>
      <c r="D899" s="651">
        <v>2</v>
      </c>
      <c r="E899" s="236"/>
      <c r="F899" s="232" t="s">
        <v>2572</v>
      </c>
      <c r="G899" s="239"/>
      <c r="H899" s="652"/>
      <c r="I899" s="656"/>
      <c r="J899" s="654"/>
    </row>
    <row r="900" spans="1:10" x14ac:dyDescent="0.35">
      <c r="A900" s="615" t="s">
        <v>3471</v>
      </c>
      <c r="B900" s="616" t="str">
        <f t="shared" ref="B900:B963" si="14">IF(C900="","",IF(D900="Datum",TEXT(DAY(C900),"00")&amp;"."&amp;TEXT(MONTH(C900),"00")&amp;"."&amp;TEXT(YEAR(C900),"0000"),IF(AND(ISNUMBER(C900),D900="x"),TEXT(C900,"@"),IF(ISNUMBER(C900),TEXT(ROUNDDOWN(C900,0),0)&amp;IF(D900=0,"","."&amp;IF(C900-ROUNDDOWN(C900,0)=0,LEFT("0000000000",D900),TEXT((C900-ROUNDDOWN(C900,0))*(1&amp; LEFT("0000000000",$D900)),LEFT("0000000000",$D900)))),C900))))</f>
        <v/>
      </c>
      <c r="C900" s="665"/>
      <c r="D900" s="651">
        <v>2</v>
      </c>
      <c r="E900" s="236"/>
      <c r="F900" s="232" t="s">
        <v>2572</v>
      </c>
      <c r="G900" s="239"/>
      <c r="H900" s="652"/>
      <c r="I900" s="656"/>
      <c r="J900" s="654"/>
    </row>
    <row r="901" spans="1:10" x14ac:dyDescent="0.35">
      <c r="A901" s="615" t="s">
        <v>3472</v>
      </c>
      <c r="B901" s="616" t="str">
        <f t="shared" si="14"/>
        <v/>
      </c>
      <c r="C901" s="665"/>
      <c r="D901" s="651">
        <v>2</v>
      </c>
      <c r="E901" s="236"/>
      <c r="F901" s="232" t="s">
        <v>2572</v>
      </c>
      <c r="G901" s="239"/>
      <c r="H901" s="652"/>
      <c r="I901" s="656"/>
      <c r="J901" s="654"/>
    </row>
    <row r="902" spans="1:10" x14ac:dyDescent="0.35">
      <c r="A902" s="615" t="s">
        <v>3473</v>
      </c>
      <c r="B902" s="616" t="str">
        <f t="shared" si="14"/>
        <v/>
      </c>
      <c r="C902" s="665"/>
      <c r="D902" s="655">
        <v>6</v>
      </c>
      <c r="E902" s="236"/>
      <c r="F902" s="232" t="s">
        <v>2579</v>
      </c>
      <c r="G902" s="239" t="s">
        <v>2583</v>
      </c>
      <c r="H902" s="652"/>
      <c r="I902" s="656"/>
      <c r="J902" s="654"/>
    </row>
    <row r="903" spans="1:10" x14ac:dyDescent="0.35">
      <c r="A903" s="615" t="s">
        <v>3474</v>
      </c>
      <c r="B903" s="616" t="str">
        <f t="shared" si="14"/>
        <v/>
      </c>
      <c r="C903" s="665"/>
      <c r="D903" s="655" t="s">
        <v>75</v>
      </c>
      <c r="E903" s="236"/>
      <c r="F903" s="232" t="s">
        <v>76</v>
      </c>
      <c r="G903" s="239"/>
      <c r="H903" s="652"/>
      <c r="I903" s="656"/>
      <c r="J903" s="654"/>
    </row>
    <row r="904" spans="1:10" x14ac:dyDescent="0.35">
      <c r="A904" s="615" t="s">
        <v>3475</v>
      </c>
      <c r="B904" s="616" t="str">
        <f t="shared" si="14"/>
        <v/>
      </c>
      <c r="C904" s="665"/>
      <c r="D904" s="655">
        <v>2</v>
      </c>
      <c r="E904" s="236"/>
      <c r="F904" s="232" t="s">
        <v>2539</v>
      </c>
      <c r="G904" s="239" t="s">
        <v>2585</v>
      </c>
      <c r="H904" s="652"/>
      <c r="I904" s="656"/>
      <c r="J904" s="654"/>
    </row>
    <row r="905" spans="1:10" x14ac:dyDescent="0.35">
      <c r="A905" s="615" t="s">
        <v>3476</v>
      </c>
      <c r="B905" s="616" t="str">
        <f t="shared" si="14"/>
        <v/>
      </c>
      <c r="C905" s="665"/>
      <c r="D905" s="655">
        <v>2</v>
      </c>
      <c r="E905" s="236"/>
      <c r="F905" s="232" t="s">
        <v>2539</v>
      </c>
      <c r="G905" s="239" t="s">
        <v>2585</v>
      </c>
      <c r="H905" s="652"/>
      <c r="I905" s="656"/>
      <c r="J905" s="654"/>
    </row>
    <row r="906" spans="1:10" x14ac:dyDescent="0.35">
      <c r="A906" s="615" t="s">
        <v>3477</v>
      </c>
      <c r="B906" s="616" t="str">
        <f t="shared" si="14"/>
        <v/>
      </c>
      <c r="C906" s="665"/>
      <c r="D906" s="655">
        <v>2</v>
      </c>
      <c r="E906" s="236"/>
      <c r="F906" s="232" t="s">
        <v>2539</v>
      </c>
      <c r="G906" s="239" t="s">
        <v>2585</v>
      </c>
      <c r="H906" s="652"/>
      <c r="I906" s="656"/>
      <c r="J906" s="654"/>
    </row>
    <row r="907" spans="1:10" x14ac:dyDescent="0.35">
      <c r="A907" s="615" t="s">
        <v>3478</v>
      </c>
      <c r="B907" s="616" t="str">
        <f t="shared" si="14"/>
        <v/>
      </c>
      <c r="C907" s="665"/>
      <c r="D907" s="655">
        <v>2</v>
      </c>
      <c r="E907" s="236"/>
      <c r="F907" s="232" t="s">
        <v>2539</v>
      </c>
      <c r="G907" s="239" t="s">
        <v>2585</v>
      </c>
      <c r="H907" s="652"/>
      <c r="I907" s="656"/>
      <c r="J907" s="654"/>
    </row>
    <row r="908" spans="1:10" x14ac:dyDescent="0.35">
      <c r="A908" s="615" t="s">
        <v>3479</v>
      </c>
      <c r="B908" s="616" t="str">
        <f t="shared" si="14"/>
        <v/>
      </c>
      <c r="C908" s="665"/>
      <c r="D908" s="655">
        <v>2</v>
      </c>
      <c r="E908" s="236"/>
      <c r="F908" s="232" t="s">
        <v>2539</v>
      </c>
      <c r="G908" s="239" t="s">
        <v>2585</v>
      </c>
      <c r="H908" s="652"/>
      <c r="I908" s="656"/>
      <c r="J908" s="654"/>
    </row>
    <row r="909" spans="1:10" x14ac:dyDescent="0.35">
      <c r="A909" s="615" t="s">
        <v>3480</v>
      </c>
      <c r="B909" s="616" t="str">
        <f t="shared" si="14"/>
        <v/>
      </c>
      <c r="C909" s="665"/>
      <c r="D909" s="655">
        <v>2</v>
      </c>
      <c r="E909" s="236"/>
      <c r="F909" s="232" t="s">
        <v>2539</v>
      </c>
      <c r="G909" s="239" t="s">
        <v>2585</v>
      </c>
      <c r="H909" s="652"/>
      <c r="I909" s="656"/>
      <c r="J909" s="654"/>
    </row>
    <row r="910" spans="1:10" ht="48" x14ac:dyDescent="0.35">
      <c r="A910" s="615" t="s">
        <v>3481</v>
      </c>
      <c r="B910" s="616" t="str">
        <f t="shared" si="14"/>
        <v/>
      </c>
      <c r="C910" s="665"/>
      <c r="D910" s="655" t="s">
        <v>75</v>
      </c>
      <c r="E910" s="236"/>
      <c r="F910" s="232" t="s">
        <v>76</v>
      </c>
      <c r="G910" s="657" t="s">
        <v>2591</v>
      </c>
      <c r="H910" s="652"/>
      <c r="I910" s="656"/>
      <c r="J910" s="654"/>
    </row>
    <row r="911" spans="1:10" x14ac:dyDescent="0.35">
      <c r="A911" s="615" t="s">
        <v>3482</v>
      </c>
      <c r="B911" s="616" t="str">
        <f t="shared" si="14"/>
        <v/>
      </c>
      <c r="C911" s="665"/>
      <c r="D911" s="655">
        <v>2</v>
      </c>
      <c r="E911" s="236"/>
      <c r="F911" s="232" t="s">
        <v>2539</v>
      </c>
      <c r="G911" s="239"/>
      <c r="H911" s="652"/>
      <c r="I911" s="656"/>
      <c r="J911" s="654"/>
    </row>
    <row r="912" spans="1:10" x14ac:dyDescent="0.35">
      <c r="A912" s="615" t="s">
        <v>3483</v>
      </c>
      <c r="B912" s="616" t="str">
        <f t="shared" si="14"/>
        <v/>
      </c>
      <c r="C912" s="665"/>
      <c r="D912" s="655">
        <v>0</v>
      </c>
      <c r="E912" s="236"/>
      <c r="F912" s="232" t="s">
        <v>2538</v>
      </c>
      <c r="G912" s="239"/>
      <c r="H912" s="652"/>
      <c r="I912" s="656"/>
      <c r="J912" s="654"/>
    </row>
    <row r="913" spans="1:10" x14ac:dyDescent="0.35">
      <c r="A913" s="615" t="s">
        <v>3484</v>
      </c>
      <c r="B913" s="616" t="str">
        <f t="shared" si="14"/>
        <v/>
      </c>
      <c r="C913" s="665"/>
      <c r="D913" s="655">
        <v>0</v>
      </c>
      <c r="E913" s="236"/>
      <c r="F913" s="232" t="s">
        <v>2538</v>
      </c>
      <c r="G913" s="239"/>
      <c r="H913" s="652"/>
      <c r="I913" s="656"/>
      <c r="J913" s="654"/>
    </row>
    <row r="914" spans="1:10" x14ac:dyDescent="0.35">
      <c r="A914" s="615" t="s">
        <v>3485</v>
      </c>
      <c r="B914" s="616" t="str">
        <f t="shared" si="14"/>
        <v/>
      </c>
      <c r="C914" s="665"/>
      <c r="D914" s="655">
        <v>0</v>
      </c>
      <c r="E914" s="236"/>
      <c r="F914" s="232" t="s">
        <v>2538</v>
      </c>
      <c r="G914" s="239"/>
      <c r="H914" s="652"/>
      <c r="I914" s="656"/>
      <c r="J914" s="654"/>
    </row>
    <row r="915" spans="1:10" x14ac:dyDescent="0.35">
      <c r="A915" s="615" t="s">
        <v>3486</v>
      </c>
      <c r="B915" s="616" t="str">
        <f t="shared" si="14"/>
        <v/>
      </c>
      <c r="C915" s="665"/>
      <c r="D915" s="651">
        <v>2</v>
      </c>
      <c r="E915" s="236"/>
      <c r="F915" s="232" t="s">
        <v>2572</v>
      </c>
      <c r="G915" s="239"/>
      <c r="H915" s="652"/>
      <c r="I915" s="656"/>
      <c r="J915" s="654"/>
    </row>
    <row r="916" spans="1:10" x14ac:dyDescent="0.35">
      <c r="A916" s="615" t="s">
        <v>3487</v>
      </c>
      <c r="B916" s="616" t="str">
        <f t="shared" si="14"/>
        <v/>
      </c>
      <c r="C916" s="665"/>
      <c r="D916" s="651">
        <v>2</v>
      </c>
      <c r="E916" s="236"/>
      <c r="F916" s="232" t="s">
        <v>2572</v>
      </c>
      <c r="G916" s="239"/>
      <c r="H916" s="652"/>
      <c r="I916" s="656"/>
      <c r="J916" s="654"/>
    </row>
    <row r="917" spans="1:10" x14ac:dyDescent="0.35">
      <c r="A917" s="615" t="s">
        <v>3488</v>
      </c>
      <c r="B917" s="616" t="str">
        <f t="shared" si="14"/>
        <v/>
      </c>
      <c r="C917" s="665"/>
      <c r="D917" s="651">
        <v>2</v>
      </c>
      <c r="E917" s="236"/>
      <c r="F917" s="232" t="s">
        <v>2572</v>
      </c>
      <c r="G917" s="239"/>
      <c r="H917" s="652"/>
      <c r="I917" s="656"/>
      <c r="J917" s="654"/>
    </row>
    <row r="918" spans="1:10" x14ac:dyDescent="0.35">
      <c r="A918" s="615" t="s">
        <v>3489</v>
      </c>
      <c r="B918" s="616" t="str">
        <f t="shared" si="14"/>
        <v/>
      </c>
      <c r="C918" s="665"/>
      <c r="D918" s="651">
        <v>2</v>
      </c>
      <c r="E918" s="236"/>
      <c r="F918" s="232" t="s">
        <v>2572</v>
      </c>
      <c r="G918" s="239"/>
      <c r="H918" s="652"/>
      <c r="I918" s="656"/>
      <c r="J918" s="654"/>
    </row>
    <row r="919" spans="1:10" x14ac:dyDescent="0.35">
      <c r="A919" s="615" t="s">
        <v>3490</v>
      </c>
      <c r="B919" s="616" t="str">
        <f t="shared" si="14"/>
        <v/>
      </c>
      <c r="C919" s="665"/>
      <c r="D919" s="651">
        <v>2</v>
      </c>
      <c r="E919" s="236"/>
      <c r="F919" s="232" t="s">
        <v>2572</v>
      </c>
      <c r="G919" s="239"/>
      <c r="H919" s="652"/>
      <c r="I919" s="656"/>
      <c r="J919" s="654"/>
    </row>
    <row r="920" spans="1:10" x14ac:dyDescent="0.35">
      <c r="A920" s="615" t="s">
        <v>3491</v>
      </c>
      <c r="B920" s="616" t="str">
        <f t="shared" si="14"/>
        <v/>
      </c>
      <c r="C920" s="665"/>
      <c r="D920" s="655">
        <v>6</v>
      </c>
      <c r="E920" s="236"/>
      <c r="F920" s="232" t="s">
        <v>2579</v>
      </c>
      <c r="G920" s="239" t="s">
        <v>2583</v>
      </c>
      <c r="H920" s="652"/>
      <c r="I920" s="656"/>
      <c r="J920" s="654"/>
    </row>
    <row r="921" spans="1:10" x14ac:dyDescent="0.35">
      <c r="A921" s="615" t="s">
        <v>3492</v>
      </c>
      <c r="B921" s="616" t="str">
        <f t="shared" si="14"/>
        <v/>
      </c>
      <c r="C921" s="665"/>
      <c r="D921" s="655" t="s">
        <v>75</v>
      </c>
      <c r="E921" s="236"/>
      <c r="F921" s="232" t="s">
        <v>76</v>
      </c>
      <c r="G921" s="239"/>
      <c r="H921" s="652"/>
      <c r="I921" s="656"/>
      <c r="J921" s="654"/>
    </row>
    <row r="922" spans="1:10" x14ac:dyDescent="0.35">
      <c r="A922" s="615" t="s">
        <v>3493</v>
      </c>
      <c r="B922" s="616" t="str">
        <f t="shared" si="14"/>
        <v/>
      </c>
      <c r="C922" s="665"/>
      <c r="D922" s="655">
        <v>2</v>
      </c>
      <c r="E922" s="236"/>
      <c r="F922" s="232" t="s">
        <v>2539</v>
      </c>
      <c r="G922" s="239" t="s">
        <v>2585</v>
      </c>
      <c r="H922" s="652"/>
      <c r="I922" s="656"/>
      <c r="J922" s="654"/>
    </row>
    <row r="923" spans="1:10" x14ac:dyDescent="0.35">
      <c r="A923" s="615" t="s">
        <v>3494</v>
      </c>
      <c r="B923" s="616" t="str">
        <f t="shared" si="14"/>
        <v/>
      </c>
      <c r="C923" s="665"/>
      <c r="D923" s="655">
        <v>2</v>
      </c>
      <c r="E923" s="236"/>
      <c r="F923" s="232" t="s">
        <v>2539</v>
      </c>
      <c r="G923" s="239" t="s">
        <v>2585</v>
      </c>
      <c r="H923" s="652"/>
      <c r="I923" s="656"/>
      <c r="J923" s="654"/>
    </row>
    <row r="924" spans="1:10" x14ac:dyDescent="0.35">
      <c r="A924" s="615" t="s">
        <v>3495</v>
      </c>
      <c r="B924" s="616" t="str">
        <f t="shared" si="14"/>
        <v/>
      </c>
      <c r="C924" s="665"/>
      <c r="D924" s="655">
        <v>2</v>
      </c>
      <c r="E924" s="236"/>
      <c r="F924" s="232" t="s">
        <v>2539</v>
      </c>
      <c r="G924" s="239" t="s">
        <v>2585</v>
      </c>
      <c r="H924" s="652"/>
      <c r="I924" s="656"/>
      <c r="J924" s="654"/>
    </row>
    <row r="925" spans="1:10" x14ac:dyDescent="0.35">
      <c r="A925" s="615" t="s">
        <v>3496</v>
      </c>
      <c r="B925" s="616" t="str">
        <f t="shared" si="14"/>
        <v/>
      </c>
      <c r="C925" s="665"/>
      <c r="D925" s="655">
        <v>2</v>
      </c>
      <c r="E925" s="236"/>
      <c r="F925" s="232" t="s">
        <v>2539</v>
      </c>
      <c r="G925" s="239" t="s">
        <v>2585</v>
      </c>
      <c r="H925" s="652"/>
      <c r="I925" s="656"/>
      <c r="J925" s="654"/>
    </row>
    <row r="926" spans="1:10" x14ac:dyDescent="0.35">
      <c r="A926" s="615" t="s">
        <v>3497</v>
      </c>
      <c r="B926" s="616" t="str">
        <f t="shared" si="14"/>
        <v/>
      </c>
      <c r="C926" s="665"/>
      <c r="D926" s="655">
        <v>2</v>
      </c>
      <c r="E926" s="236"/>
      <c r="F926" s="232" t="s">
        <v>2539</v>
      </c>
      <c r="G926" s="239" t="s">
        <v>2585</v>
      </c>
      <c r="H926" s="652"/>
      <c r="I926" s="656"/>
      <c r="J926" s="654"/>
    </row>
    <row r="927" spans="1:10" x14ac:dyDescent="0.35">
      <c r="A927" s="615" t="s">
        <v>3498</v>
      </c>
      <c r="B927" s="616" t="str">
        <f t="shared" si="14"/>
        <v/>
      </c>
      <c r="C927" s="665"/>
      <c r="D927" s="655">
        <v>2</v>
      </c>
      <c r="E927" s="236"/>
      <c r="F927" s="232" t="s">
        <v>2539</v>
      </c>
      <c r="G927" s="239" t="s">
        <v>2585</v>
      </c>
      <c r="H927" s="652"/>
      <c r="I927" s="656"/>
      <c r="J927" s="654"/>
    </row>
    <row r="928" spans="1:10" ht="48" x14ac:dyDescent="0.35">
      <c r="A928" s="615" t="s">
        <v>3499</v>
      </c>
      <c r="B928" s="616" t="str">
        <f t="shared" si="14"/>
        <v/>
      </c>
      <c r="C928" s="665"/>
      <c r="D928" s="655" t="s">
        <v>75</v>
      </c>
      <c r="E928" s="236"/>
      <c r="F928" s="232" t="s">
        <v>76</v>
      </c>
      <c r="G928" s="657" t="s">
        <v>2591</v>
      </c>
      <c r="H928" s="652"/>
      <c r="I928" s="656"/>
      <c r="J928" s="654"/>
    </row>
    <row r="929" spans="1:10" x14ac:dyDescent="0.35">
      <c r="A929" s="615" t="s">
        <v>3500</v>
      </c>
      <c r="B929" s="616" t="str">
        <f t="shared" si="14"/>
        <v/>
      </c>
      <c r="C929" s="665"/>
      <c r="D929" s="655">
        <v>2</v>
      </c>
      <c r="E929" s="236"/>
      <c r="F929" s="232" t="s">
        <v>2539</v>
      </c>
      <c r="G929" s="239"/>
      <c r="H929" s="652"/>
      <c r="I929" s="656"/>
      <c r="J929" s="654"/>
    </row>
    <row r="930" spans="1:10" x14ac:dyDescent="0.35">
      <c r="A930" s="615" t="s">
        <v>3501</v>
      </c>
      <c r="B930" s="616" t="str">
        <f t="shared" si="14"/>
        <v/>
      </c>
      <c r="C930" s="665"/>
      <c r="D930" s="655">
        <v>0</v>
      </c>
      <c r="E930" s="236"/>
      <c r="F930" s="232" t="s">
        <v>2538</v>
      </c>
      <c r="G930" s="239"/>
      <c r="H930" s="652"/>
      <c r="I930" s="656"/>
      <c r="J930" s="654"/>
    </row>
    <row r="931" spans="1:10" x14ac:dyDescent="0.35">
      <c r="A931" s="615" t="s">
        <v>3502</v>
      </c>
      <c r="B931" s="616" t="str">
        <f t="shared" si="14"/>
        <v/>
      </c>
      <c r="C931" s="665"/>
      <c r="D931" s="655">
        <v>0</v>
      </c>
      <c r="E931" s="236"/>
      <c r="F931" s="232" t="s">
        <v>2538</v>
      </c>
      <c r="G931" s="239"/>
      <c r="H931" s="652"/>
      <c r="I931" s="656"/>
      <c r="J931" s="654"/>
    </row>
    <row r="932" spans="1:10" x14ac:dyDescent="0.35">
      <c r="A932" s="615" t="s">
        <v>3503</v>
      </c>
      <c r="B932" s="616" t="str">
        <f t="shared" si="14"/>
        <v/>
      </c>
      <c r="C932" s="665"/>
      <c r="D932" s="655">
        <v>0</v>
      </c>
      <c r="E932" s="236"/>
      <c r="F932" s="232" t="s">
        <v>2538</v>
      </c>
      <c r="G932" s="239"/>
      <c r="H932" s="652"/>
      <c r="I932" s="656"/>
      <c r="J932" s="654"/>
    </row>
    <row r="933" spans="1:10" x14ac:dyDescent="0.35">
      <c r="A933" s="615" t="s">
        <v>3504</v>
      </c>
      <c r="B933" s="616" t="str">
        <f t="shared" si="14"/>
        <v/>
      </c>
      <c r="C933" s="665"/>
      <c r="D933" s="651">
        <v>2</v>
      </c>
      <c r="E933" s="236"/>
      <c r="F933" s="232" t="s">
        <v>2572</v>
      </c>
      <c r="G933" s="239"/>
      <c r="H933" s="652"/>
      <c r="I933" s="656"/>
      <c r="J933" s="654"/>
    </row>
    <row r="934" spans="1:10" x14ac:dyDescent="0.35">
      <c r="A934" s="615" t="s">
        <v>3505</v>
      </c>
      <c r="B934" s="616" t="str">
        <f t="shared" si="14"/>
        <v/>
      </c>
      <c r="C934" s="665"/>
      <c r="D934" s="651">
        <v>2</v>
      </c>
      <c r="E934" s="236"/>
      <c r="F934" s="232" t="s">
        <v>2572</v>
      </c>
      <c r="G934" s="239"/>
      <c r="H934" s="652"/>
      <c r="I934" s="656"/>
      <c r="J934" s="654"/>
    </row>
    <row r="935" spans="1:10" x14ac:dyDescent="0.35">
      <c r="A935" s="615" t="s">
        <v>3506</v>
      </c>
      <c r="B935" s="616" t="str">
        <f t="shared" si="14"/>
        <v/>
      </c>
      <c r="C935" s="665"/>
      <c r="D935" s="651">
        <v>2</v>
      </c>
      <c r="E935" s="236"/>
      <c r="F935" s="232" t="s">
        <v>2572</v>
      </c>
      <c r="G935" s="239"/>
      <c r="H935" s="652"/>
      <c r="I935" s="656"/>
      <c r="J935" s="654"/>
    </row>
    <row r="936" spans="1:10" x14ac:dyDescent="0.35">
      <c r="A936" s="615" t="s">
        <v>3507</v>
      </c>
      <c r="B936" s="616" t="str">
        <f t="shared" si="14"/>
        <v/>
      </c>
      <c r="C936" s="665"/>
      <c r="D936" s="651">
        <v>2</v>
      </c>
      <c r="E936" s="236"/>
      <c r="F936" s="232" t="s">
        <v>2572</v>
      </c>
      <c r="G936" s="239"/>
      <c r="H936" s="652"/>
      <c r="I936" s="656"/>
      <c r="J936" s="654"/>
    </row>
    <row r="937" spans="1:10" x14ac:dyDescent="0.35">
      <c r="A937" s="615" t="s">
        <v>3508</v>
      </c>
      <c r="B937" s="616" t="str">
        <f t="shared" si="14"/>
        <v/>
      </c>
      <c r="C937" s="665"/>
      <c r="D937" s="651">
        <v>2</v>
      </c>
      <c r="E937" s="236"/>
      <c r="F937" s="232" t="s">
        <v>2572</v>
      </c>
      <c r="G937" s="239"/>
      <c r="H937" s="652"/>
      <c r="I937" s="656"/>
      <c r="J937" s="654"/>
    </row>
    <row r="938" spans="1:10" x14ac:dyDescent="0.35">
      <c r="A938" s="615" t="s">
        <v>3509</v>
      </c>
      <c r="B938" s="616" t="str">
        <f t="shared" si="14"/>
        <v/>
      </c>
      <c r="C938" s="665"/>
      <c r="D938" s="655">
        <v>6</v>
      </c>
      <c r="E938" s="236"/>
      <c r="F938" s="232" t="s">
        <v>2579</v>
      </c>
      <c r="G938" s="239" t="s">
        <v>2583</v>
      </c>
      <c r="H938" s="652"/>
      <c r="I938" s="656"/>
      <c r="J938" s="654"/>
    </row>
    <row r="939" spans="1:10" x14ac:dyDescent="0.35">
      <c r="A939" s="615" t="s">
        <v>3510</v>
      </c>
      <c r="B939" s="616" t="str">
        <f t="shared" si="14"/>
        <v/>
      </c>
      <c r="C939" s="665"/>
      <c r="D939" s="655" t="s">
        <v>75</v>
      </c>
      <c r="E939" s="236"/>
      <c r="F939" s="232" t="s">
        <v>76</v>
      </c>
      <c r="G939" s="239"/>
      <c r="H939" s="652"/>
      <c r="I939" s="656"/>
      <c r="J939" s="654"/>
    </row>
    <row r="940" spans="1:10" x14ac:dyDescent="0.35">
      <c r="A940" s="615" t="s">
        <v>3511</v>
      </c>
      <c r="B940" s="616" t="str">
        <f t="shared" si="14"/>
        <v/>
      </c>
      <c r="C940" s="665"/>
      <c r="D940" s="655">
        <v>2</v>
      </c>
      <c r="E940" s="236"/>
      <c r="F940" s="232" t="s">
        <v>2539</v>
      </c>
      <c r="G940" s="239" t="s">
        <v>2585</v>
      </c>
      <c r="H940" s="652"/>
      <c r="I940" s="656"/>
      <c r="J940" s="654"/>
    </row>
    <row r="941" spans="1:10" x14ac:dyDescent="0.35">
      <c r="A941" s="615" t="s">
        <v>3512</v>
      </c>
      <c r="B941" s="616" t="str">
        <f t="shared" si="14"/>
        <v/>
      </c>
      <c r="C941" s="665"/>
      <c r="D941" s="655">
        <v>2</v>
      </c>
      <c r="E941" s="236"/>
      <c r="F941" s="232" t="s">
        <v>2539</v>
      </c>
      <c r="G941" s="239" t="s">
        <v>2585</v>
      </c>
      <c r="H941" s="652"/>
      <c r="I941" s="656"/>
      <c r="J941" s="654"/>
    </row>
    <row r="942" spans="1:10" x14ac:dyDescent="0.35">
      <c r="A942" s="615" t="s">
        <v>3513</v>
      </c>
      <c r="B942" s="616" t="str">
        <f t="shared" si="14"/>
        <v/>
      </c>
      <c r="C942" s="665"/>
      <c r="D942" s="655">
        <v>2</v>
      </c>
      <c r="E942" s="236"/>
      <c r="F942" s="232" t="s">
        <v>2539</v>
      </c>
      <c r="G942" s="239" t="s">
        <v>2585</v>
      </c>
      <c r="H942" s="652"/>
      <c r="I942" s="656"/>
      <c r="J942" s="654"/>
    </row>
    <row r="943" spans="1:10" x14ac:dyDescent="0.35">
      <c r="A943" s="615" t="s">
        <v>3514</v>
      </c>
      <c r="B943" s="616" t="str">
        <f t="shared" si="14"/>
        <v/>
      </c>
      <c r="C943" s="665"/>
      <c r="D943" s="655">
        <v>2</v>
      </c>
      <c r="E943" s="236"/>
      <c r="F943" s="232" t="s">
        <v>2539</v>
      </c>
      <c r="G943" s="239" t="s">
        <v>2585</v>
      </c>
      <c r="H943" s="652"/>
      <c r="I943" s="656"/>
      <c r="J943" s="654"/>
    </row>
    <row r="944" spans="1:10" x14ac:dyDescent="0.35">
      <c r="A944" s="615" t="s">
        <v>3515</v>
      </c>
      <c r="B944" s="616" t="str">
        <f t="shared" si="14"/>
        <v/>
      </c>
      <c r="C944" s="665"/>
      <c r="D944" s="655">
        <v>2</v>
      </c>
      <c r="E944" s="236"/>
      <c r="F944" s="232" t="s">
        <v>2539</v>
      </c>
      <c r="G944" s="239" t="s">
        <v>2585</v>
      </c>
      <c r="H944" s="652"/>
      <c r="I944" s="656"/>
      <c r="J944" s="654"/>
    </row>
    <row r="945" spans="1:10" x14ac:dyDescent="0.35">
      <c r="A945" s="615" t="s">
        <v>3516</v>
      </c>
      <c r="B945" s="616" t="str">
        <f t="shared" si="14"/>
        <v/>
      </c>
      <c r="C945" s="665"/>
      <c r="D945" s="655">
        <v>2</v>
      </c>
      <c r="E945" s="236"/>
      <c r="F945" s="232" t="s">
        <v>2539</v>
      </c>
      <c r="G945" s="239" t="s">
        <v>2585</v>
      </c>
      <c r="H945" s="652"/>
      <c r="I945" s="656"/>
      <c r="J945" s="654"/>
    </row>
    <row r="946" spans="1:10" ht="48" x14ac:dyDescent="0.35">
      <c r="A946" s="615" t="s">
        <v>3517</v>
      </c>
      <c r="B946" s="616" t="str">
        <f t="shared" si="14"/>
        <v/>
      </c>
      <c r="C946" s="665"/>
      <c r="D946" s="655" t="s">
        <v>75</v>
      </c>
      <c r="E946" s="236"/>
      <c r="F946" s="232" t="s">
        <v>76</v>
      </c>
      <c r="G946" s="657" t="s">
        <v>2591</v>
      </c>
      <c r="H946" s="652"/>
      <c r="I946" s="656"/>
      <c r="J946" s="654"/>
    </row>
    <row r="947" spans="1:10" x14ac:dyDescent="0.35">
      <c r="A947" s="615" t="s">
        <v>3518</v>
      </c>
      <c r="B947" s="616" t="str">
        <f t="shared" si="14"/>
        <v/>
      </c>
      <c r="C947" s="665"/>
      <c r="D947" s="655">
        <v>2</v>
      </c>
      <c r="E947" s="236"/>
      <c r="F947" s="232" t="s">
        <v>2539</v>
      </c>
      <c r="G947" s="239"/>
      <c r="H947" s="652"/>
      <c r="I947" s="656"/>
      <c r="J947" s="654"/>
    </row>
    <row r="948" spans="1:10" x14ac:dyDescent="0.35">
      <c r="A948" s="615" t="s">
        <v>3519</v>
      </c>
      <c r="B948" s="616" t="str">
        <f t="shared" si="14"/>
        <v/>
      </c>
      <c r="C948" s="665"/>
      <c r="D948" s="655">
        <v>0</v>
      </c>
      <c r="E948" s="236"/>
      <c r="F948" s="232" t="s">
        <v>2538</v>
      </c>
      <c r="G948" s="239"/>
      <c r="H948" s="652"/>
      <c r="I948" s="656"/>
      <c r="J948" s="654"/>
    </row>
    <row r="949" spans="1:10" x14ac:dyDescent="0.35">
      <c r="A949" s="615" t="s">
        <v>3520</v>
      </c>
      <c r="B949" s="616" t="str">
        <f t="shared" si="14"/>
        <v/>
      </c>
      <c r="C949" s="665"/>
      <c r="D949" s="655">
        <v>0</v>
      </c>
      <c r="E949" s="236"/>
      <c r="F949" s="232" t="s">
        <v>2538</v>
      </c>
      <c r="G949" s="239"/>
      <c r="H949" s="652"/>
      <c r="I949" s="656"/>
      <c r="J949" s="654"/>
    </row>
    <row r="950" spans="1:10" x14ac:dyDescent="0.35">
      <c r="A950" s="615" t="s">
        <v>3521</v>
      </c>
      <c r="B950" s="616" t="str">
        <f t="shared" si="14"/>
        <v/>
      </c>
      <c r="C950" s="665"/>
      <c r="D950" s="655">
        <v>0</v>
      </c>
      <c r="E950" s="236"/>
      <c r="F950" s="232" t="s">
        <v>2538</v>
      </c>
      <c r="G950" s="239"/>
      <c r="H950" s="652"/>
      <c r="I950" s="656"/>
      <c r="J950" s="654"/>
    </row>
    <row r="951" spans="1:10" x14ac:dyDescent="0.35">
      <c r="A951" s="615" t="s">
        <v>3522</v>
      </c>
      <c r="B951" s="616" t="str">
        <f t="shared" si="14"/>
        <v/>
      </c>
      <c r="C951" s="665"/>
      <c r="D951" s="651">
        <v>2</v>
      </c>
      <c r="E951" s="236"/>
      <c r="F951" s="232" t="s">
        <v>2572</v>
      </c>
      <c r="G951" s="239"/>
      <c r="H951" s="652"/>
      <c r="I951" s="656"/>
      <c r="J951" s="654"/>
    </row>
    <row r="952" spans="1:10" x14ac:dyDescent="0.35">
      <c r="A952" s="615" t="s">
        <v>3523</v>
      </c>
      <c r="B952" s="616" t="str">
        <f t="shared" si="14"/>
        <v/>
      </c>
      <c r="C952" s="665"/>
      <c r="D952" s="651">
        <v>2</v>
      </c>
      <c r="E952" s="236"/>
      <c r="F952" s="232" t="s">
        <v>2572</v>
      </c>
      <c r="G952" s="239"/>
      <c r="H952" s="652"/>
      <c r="I952" s="656"/>
      <c r="J952" s="654"/>
    </row>
    <row r="953" spans="1:10" x14ac:dyDescent="0.35">
      <c r="A953" s="615" t="s">
        <v>3524</v>
      </c>
      <c r="B953" s="616" t="str">
        <f t="shared" si="14"/>
        <v/>
      </c>
      <c r="C953" s="665"/>
      <c r="D953" s="651">
        <v>2</v>
      </c>
      <c r="E953" s="236"/>
      <c r="F953" s="232" t="s">
        <v>2572</v>
      </c>
      <c r="G953" s="239"/>
      <c r="H953" s="652"/>
      <c r="I953" s="656"/>
      <c r="J953" s="654"/>
    </row>
    <row r="954" spans="1:10" x14ac:dyDescent="0.35">
      <c r="A954" s="615" t="s">
        <v>3525</v>
      </c>
      <c r="B954" s="616" t="str">
        <f t="shared" si="14"/>
        <v/>
      </c>
      <c r="C954" s="665"/>
      <c r="D954" s="651">
        <v>2</v>
      </c>
      <c r="E954" s="236"/>
      <c r="F954" s="232" t="s">
        <v>2572</v>
      </c>
      <c r="G954" s="239"/>
      <c r="H954" s="652"/>
      <c r="I954" s="656"/>
      <c r="J954" s="654"/>
    </row>
    <row r="955" spans="1:10" x14ac:dyDescent="0.35">
      <c r="A955" s="615" t="s">
        <v>3526</v>
      </c>
      <c r="B955" s="616" t="str">
        <f t="shared" si="14"/>
        <v/>
      </c>
      <c r="C955" s="665"/>
      <c r="D955" s="651">
        <v>2</v>
      </c>
      <c r="E955" s="236"/>
      <c r="F955" s="232" t="s">
        <v>2572</v>
      </c>
      <c r="G955" s="239"/>
      <c r="H955" s="652"/>
      <c r="I955" s="656"/>
      <c r="J955" s="654"/>
    </row>
    <row r="956" spans="1:10" x14ac:dyDescent="0.35">
      <c r="A956" s="615" t="s">
        <v>3527</v>
      </c>
      <c r="B956" s="616" t="str">
        <f t="shared" si="14"/>
        <v/>
      </c>
      <c r="C956" s="665"/>
      <c r="D956" s="655">
        <v>6</v>
      </c>
      <c r="E956" s="236"/>
      <c r="F956" s="232" t="s">
        <v>2579</v>
      </c>
      <c r="G956" s="239" t="s">
        <v>2583</v>
      </c>
      <c r="H956" s="652"/>
      <c r="I956" s="656"/>
      <c r="J956" s="654"/>
    </row>
    <row r="957" spans="1:10" x14ac:dyDescent="0.35">
      <c r="A957" s="615" t="s">
        <v>3528</v>
      </c>
      <c r="B957" s="616" t="str">
        <f t="shared" si="14"/>
        <v/>
      </c>
      <c r="C957" s="665"/>
      <c r="D957" s="655" t="s">
        <v>75</v>
      </c>
      <c r="E957" s="236"/>
      <c r="F957" s="232" t="s">
        <v>76</v>
      </c>
      <c r="G957" s="239"/>
      <c r="H957" s="652"/>
      <c r="I957" s="656"/>
      <c r="J957" s="654"/>
    </row>
    <row r="958" spans="1:10" x14ac:dyDescent="0.35">
      <c r="A958" s="615" t="s">
        <v>3529</v>
      </c>
      <c r="B958" s="616" t="str">
        <f t="shared" si="14"/>
        <v/>
      </c>
      <c r="C958" s="665"/>
      <c r="D958" s="655">
        <v>2</v>
      </c>
      <c r="E958" s="236"/>
      <c r="F958" s="232" t="s">
        <v>2539</v>
      </c>
      <c r="G958" s="239" t="s">
        <v>2585</v>
      </c>
      <c r="H958" s="652"/>
      <c r="I958" s="656"/>
      <c r="J958" s="654"/>
    </row>
    <row r="959" spans="1:10" x14ac:dyDescent="0.35">
      <c r="A959" s="615" t="s">
        <v>3530</v>
      </c>
      <c r="B959" s="616" t="str">
        <f t="shared" si="14"/>
        <v/>
      </c>
      <c r="C959" s="665"/>
      <c r="D959" s="655">
        <v>2</v>
      </c>
      <c r="E959" s="236"/>
      <c r="F959" s="232" t="s">
        <v>2539</v>
      </c>
      <c r="G959" s="239" t="s">
        <v>2585</v>
      </c>
      <c r="H959" s="652"/>
      <c r="I959" s="656"/>
      <c r="J959" s="654"/>
    </row>
    <row r="960" spans="1:10" x14ac:dyDescent="0.35">
      <c r="A960" s="615" t="s">
        <v>3531</v>
      </c>
      <c r="B960" s="616" t="str">
        <f t="shared" si="14"/>
        <v/>
      </c>
      <c r="C960" s="665"/>
      <c r="D960" s="655">
        <v>2</v>
      </c>
      <c r="E960" s="236"/>
      <c r="F960" s="232" t="s">
        <v>2539</v>
      </c>
      <c r="G960" s="239" t="s">
        <v>2585</v>
      </c>
      <c r="H960" s="652"/>
      <c r="I960" s="656"/>
      <c r="J960" s="654"/>
    </row>
    <row r="961" spans="1:10" x14ac:dyDescent="0.35">
      <c r="A961" s="615" t="s">
        <v>3532</v>
      </c>
      <c r="B961" s="616" t="str">
        <f t="shared" si="14"/>
        <v/>
      </c>
      <c r="C961" s="665"/>
      <c r="D961" s="655">
        <v>2</v>
      </c>
      <c r="E961" s="236"/>
      <c r="F961" s="232" t="s">
        <v>2539</v>
      </c>
      <c r="G961" s="239" t="s">
        <v>2585</v>
      </c>
      <c r="H961" s="652"/>
      <c r="I961" s="656"/>
      <c r="J961" s="654"/>
    </row>
    <row r="962" spans="1:10" x14ac:dyDescent="0.35">
      <c r="A962" s="615" t="s">
        <v>3533</v>
      </c>
      <c r="B962" s="616" t="str">
        <f t="shared" si="14"/>
        <v/>
      </c>
      <c r="C962" s="665"/>
      <c r="D962" s="655">
        <v>2</v>
      </c>
      <c r="E962" s="236"/>
      <c r="F962" s="232" t="s">
        <v>2539</v>
      </c>
      <c r="G962" s="239" t="s">
        <v>2585</v>
      </c>
      <c r="H962" s="652"/>
      <c r="I962" s="656"/>
      <c r="J962" s="654"/>
    </row>
    <row r="963" spans="1:10" x14ac:dyDescent="0.35">
      <c r="A963" s="615" t="s">
        <v>3534</v>
      </c>
      <c r="B963" s="616" t="str">
        <f t="shared" si="14"/>
        <v/>
      </c>
      <c r="C963" s="665"/>
      <c r="D963" s="655">
        <v>2</v>
      </c>
      <c r="E963" s="236"/>
      <c r="F963" s="232" t="s">
        <v>2539</v>
      </c>
      <c r="G963" s="239" t="s">
        <v>2585</v>
      </c>
      <c r="H963" s="652"/>
      <c r="I963" s="656"/>
      <c r="J963" s="654"/>
    </row>
    <row r="964" spans="1:10" ht="48" x14ac:dyDescent="0.35">
      <c r="A964" s="615" t="s">
        <v>3535</v>
      </c>
      <c r="B964" s="616" t="str">
        <f t="shared" ref="B964:B1027" si="15">IF(C964="","",IF(D964="Datum",TEXT(DAY(C964),"00")&amp;"."&amp;TEXT(MONTH(C964),"00")&amp;"."&amp;TEXT(YEAR(C964),"0000"),IF(AND(ISNUMBER(C964),D964="x"),TEXT(C964,"@"),IF(ISNUMBER(C964),TEXT(ROUNDDOWN(C964,0),0)&amp;IF(D964=0,"","."&amp;IF(C964-ROUNDDOWN(C964,0)=0,LEFT("0000000000",D964),TEXT((C964-ROUNDDOWN(C964,0))*(1&amp; LEFT("0000000000",$D964)),LEFT("0000000000",$D964)))),C964))))</f>
        <v/>
      </c>
      <c r="C964" s="665"/>
      <c r="D964" s="655" t="s">
        <v>75</v>
      </c>
      <c r="E964" s="236"/>
      <c r="F964" s="232" t="s">
        <v>76</v>
      </c>
      <c r="G964" s="657" t="s">
        <v>2591</v>
      </c>
      <c r="H964" s="652"/>
      <c r="I964" s="656"/>
      <c r="J964" s="654"/>
    </row>
    <row r="965" spans="1:10" x14ac:dyDescent="0.35">
      <c r="A965" s="615" t="s">
        <v>3536</v>
      </c>
      <c r="B965" s="616" t="str">
        <f t="shared" si="15"/>
        <v/>
      </c>
      <c r="C965" s="665"/>
      <c r="D965" s="655">
        <v>2</v>
      </c>
      <c r="E965" s="236"/>
      <c r="F965" s="232" t="s">
        <v>2539</v>
      </c>
      <c r="G965" s="239"/>
      <c r="H965" s="652"/>
      <c r="I965" s="656"/>
      <c r="J965" s="654"/>
    </row>
    <row r="966" spans="1:10" x14ac:dyDescent="0.35">
      <c r="A966" s="615" t="s">
        <v>3537</v>
      </c>
      <c r="B966" s="616" t="str">
        <f t="shared" si="15"/>
        <v/>
      </c>
      <c r="C966" s="665"/>
      <c r="D966" s="655">
        <v>0</v>
      </c>
      <c r="E966" s="236"/>
      <c r="F966" s="232" t="s">
        <v>2538</v>
      </c>
      <c r="G966" s="239"/>
      <c r="H966" s="652"/>
      <c r="I966" s="656"/>
      <c r="J966" s="654"/>
    </row>
    <row r="967" spans="1:10" x14ac:dyDescent="0.35">
      <c r="A967" s="615" t="s">
        <v>3538</v>
      </c>
      <c r="B967" s="616" t="str">
        <f t="shared" si="15"/>
        <v/>
      </c>
      <c r="C967" s="665"/>
      <c r="D967" s="655">
        <v>0</v>
      </c>
      <c r="E967" s="236"/>
      <c r="F967" s="232" t="s">
        <v>2538</v>
      </c>
      <c r="G967" s="239"/>
      <c r="H967" s="652"/>
      <c r="I967" s="656"/>
      <c r="J967" s="654"/>
    </row>
    <row r="968" spans="1:10" x14ac:dyDescent="0.35">
      <c r="A968" s="615" t="s">
        <v>3539</v>
      </c>
      <c r="B968" s="616" t="str">
        <f t="shared" si="15"/>
        <v/>
      </c>
      <c r="C968" s="665"/>
      <c r="D968" s="655">
        <v>0</v>
      </c>
      <c r="E968" s="236"/>
      <c r="F968" s="232" t="s">
        <v>2538</v>
      </c>
      <c r="G968" s="239"/>
      <c r="H968" s="652"/>
      <c r="I968" s="656"/>
      <c r="J968" s="654"/>
    </row>
    <row r="969" spans="1:10" x14ac:dyDescent="0.35">
      <c r="A969" s="615" t="s">
        <v>3540</v>
      </c>
      <c r="B969" s="616" t="str">
        <f t="shared" si="15"/>
        <v/>
      </c>
      <c r="C969" s="665"/>
      <c r="D969" s="651">
        <v>2</v>
      </c>
      <c r="E969" s="236"/>
      <c r="F969" s="232" t="s">
        <v>2572</v>
      </c>
      <c r="G969" s="239"/>
      <c r="H969" s="652"/>
      <c r="I969" s="656"/>
      <c r="J969" s="654"/>
    </row>
    <row r="970" spans="1:10" x14ac:dyDescent="0.35">
      <c r="A970" s="615" t="s">
        <v>3541</v>
      </c>
      <c r="B970" s="616" t="str">
        <f t="shared" si="15"/>
        <v/>
      </c>
      <c r="C970" s="665"/>
      <c r="D970" s="651">
        <v>2</v>
      </c>
      <c r="E970" s="236"/>
      <c r="F970" s="232" t="s">
        <v>2572</v>
      </c>
      <c r="G970" s="239"/>
      <c r="H970" s="652"/>
      <c r="I970" s="656"/>
      <c r="J970" s="654"/>
    </row>
    <row r="971" spans="1:10" x14ac:dyDescent="0.35">
      <c r="A971" s="615" t="s">
        <v>3542</v>
      </c>
      <c r="B971" s="616" t="str">
        <f t="shared" si="15"/>
        <v/>
      </c>
      <c r="C971" s="665"/>
      <c r="D971" s="651">
        <v>2</v>
      </c>
      <c r="E971" s="236"/>
      <c r="F971" s="232" t="s">
        <v>2572</v>
      </c>
      <c r="G971" s="239"/>
      <c r="H971" s="652"/>
      <c r="I971" s="656"/>
      <c r="J971" s="654"/>
    </row>
    <row r="972" spans="1:10" x14ac:dyDescent="0.35">
      <c r="A972" s="615" t="s">
        <v>3543</v>
      </c>
      <c r="B972" s="616" t="str">
        <f t="shared" si="15"/>
        <v/>
      </c>
      <c r="C972" s="665"/>
      <c r="D972" s="651">
        <v>2</v>
      </c>
      <c r="E972" s="236"/>
      <c r="F972" s="232" t="s">
        <v>2572</v>
      </c>
      <c r="G972" s="239"/>
      <c r="H972" s="652"/>
      <c r="I972" s="656"/>
      <c r="J972" s="654"/>
    </row>
    <row r="973" spans="1:10" x14ac:dyDescent="0.35">
      <c r="A973" s="615" t="s">
        <v>3544</v>
      </c>
      <c r="B973" s="616" t="str">
        <f t="shared" si="15"/>
        <v/>
      </c>
      <c r="C973" s="665"/>
      <c r="D973" s="651">
        <v>2</v>
      </c>
      <c r="E973" s="236"/>
      <c r="F973" s="232" t="s">
        <v>2572</v>
      </c>
      <c r="G973" s="239"/>
      <c r="H973" s="652"/>
      <c r="I973" s="656"/>
      <c r="J973" s="654"/>
    </row>
    <row r="974" spans="1:10" x14ac:dyDescent="0.35">
      <c r="A974" s="615" t="s">
        <v>3545</v>
      </c>
      <c r="B974" s="616" t="str">
        <f t="shared" si="15"/>
        <v/>
      </c>
      <c r="C974" s="665"/>
      <c r="D974" s="655">
        <v>6</v>
      </c>
      <c r="E974" s="236"/>
      <c r="F974" s="232" t="s">
        <v>2579</v>
      </c>
      <c r="G974" s="239" t="s">
        <v>2583</v>
      </c>
      <c r="H974" s="652"/>
      <c r="I974" s="656"/>
      <c r="J974" s="654"/>
    </row>
    <row r="975" spans="1:10" x14ac:dyDescent="0.35">
      <c r="A975" s="615" t="s">
        <v>3546</v>
      </c>
      <c r="B975" s="616" t="str">
        <f t="shared" si="15"/>
        <v/>
      </c>
      <c r="C975" s="665"/>
      <c r="D975" s="655" t="s">
        <v>75</v>
      </c>
      <c r="E975" s="236"/>
      <c r="F975" s="232" t="s">
        <v>76</v>
      </c>
      <c r="G975" s="239"/>
      <c r="H975" s="652"/>
      <c r="I975" s="656"/>
      <c r="J975" s="654"/>
    </row>
    <row r="976" spans="1:10" x14ac:dyDescent="0.35">
      <c r="A976" s="615" t="s">
        <v>3547</v>
      </c>
      <c r="B976" s="616" t="str">
        <f t="shared" si="15"/>
        <v/>
      </c>
      <c r="C976" s="665"/>
      <c r="D976" s="655">
        <v>2</v>
      </c>
      <c r="E976" s="236"/>
      <c r="F976" s="232" t="s">
        <v>2539</v>
      </c>
      <c r="G976" s="239" t="s">
        <v>2585</v>
      </c>
      <c r="H976" s="652"/>
      <c r="I976" s="656"/>
      <c r="J976" s="654"/>
    </row>
    <row r="977" spans="1:10" x14ac:dyDescent="0.35">
      <c r="A977" s="615" t="s">
        <v>3548</v>
      </c>
      <c r="B977" s="616" t="str">
        <f t="shared" si="15"/>
        <v/>
      </c>
      <c r="C977" s="665"/>
      <c r="D977" s="655">
        <v>2</v>
      </c>
      <c r="E977" s="236"/>
      <c r="F977" s="232" t="s">
        <v>2539</v>
      </c>
      <c r="G977" s="239" t="s">
        <v>2585</v>
      </c>
      <c r="H977" s="652"/>
      <c r="I977" s="656"/>
      <c r="J977" s="654"/>
    </row>
    <row r="978" spans="1:10" x14ac:dyDescent="0.35">
      <c r="A978" s="615" t="s">
        <v>3549</v>
      </c>
      <c r="B978" s="616" t="str">
        <f t="shared" si="15"/>
        <v/>
      </c>
      <c r="C978" s="665"/>
      <c r="D978" s="655">
        <v>2</v>
      </c>
      <c r="E978" s="236"/>
      <c r="F978" s="232" t="s">
        <v>2539</v>
      </c>
      <c r="G978" s="239" t="s">
        <v>2585</v>
      </c>
      <c r="H978" s="652"/>
      <c r="I978" s="656"/>
      <c r="J978" s="654"/>
    </row>
    <row r="979" spans="1:10" x14ac:dyDescent="0.35">
      <c r="A979" s="615" t="s">
        <v>3550</v>
      </c>
      <c r="B979" s="616" t="str">
        <f t="shared" si="15"/>
        <v/>
      </c>
      <c r="C979" s="665"/>
      <c r="D979" s="655">
        <v>2</v>
      </c>
      <c r="E979" s="236"/>
      <c r="F979" s="232" t="s">
        <v>2539</v>
      </c>
      <c r="G979" s="239" t="s">
        <v>2585</v>
      </c>
      <c r="H979" s="652"/>
      <c r="I979" s="656"/>
      <c r="J979" s="654"/>
    </row>
    <row r="980" spans="1:10" x14ac:dyDescent="0.35">
      <c r="A980" s="615" t="s">
        <v>3551</v>
      </c>
      <c r="B980" s="616" t="str">
        <f t="shared" si="15"/>
        <v/>
      </c>
      <c r="C980" s="665"/>
      <c r="D980" s="655">
        <v>2</v>
      </c>
      <c r="E980" s="236"/>
      <c r="F980" s="232" t="s">
        <v>2539</v>
      </c>
      <c r="G980" s="239" t="s">
        <v>2585</v>
      </c>
      <c r="H980" s="652"/>
      <c r="I980" s="656"/>
      <c r="J980" s="654"/>
    </row>
    <row r="981" spans="1:10" x14ac:dyDescent="0.35">
      <c r="A981" s="615" t="s">
        <v>3552</v>
      </c>
      <c r="B981" s="616" t="str">
        <f t="shared" si="15"/>
        <v/>
      </c>
      <c r="C981" s="665"/>
      <c r="D981" s="655">
        <v>2</v>
      </c>
      <c r="E981" s="236"/>
      <c r="F981" s="232" t="s">
        <v>2539</v>
      </c>
      <c r="G981" s="239" t="s">
        <v>2585</v>
      </c>
      <c r="H981" s="652"/>
      <c r="I981" s="656"/>
      <c r="J981" s="654"/>
    </row>
    <row r="982" spans="1:10" ht="48" x14ac:dyDescent="0.35">
      <c r="A982" s="615" t="s">
        <v>3553</v>
      </c>
      <c r="B982" s="616" t="str">
        <f t="shared" si="15"/>
        <v/>
      </c>
      <c r="C982" s="665"/>
      <c r="D982" s="655" t="s">
        <v>75</v>
      </c>
      <c r="E982" s="236"/>
      <c r="F982" s="232" t="s">
        <v>76</v>
      </c>
      <c r="G982" s="657" t="s">
        <v>2591</v>
      </c>
      <c r="H982" s="652"/>
      <c r="I982" s="656"/>
      <c r="J982" s="654"/>
    </row>
    <row r="983" spans="1:10" x14ac:dyDescent="0.35">
      <c r="A983" s="615" t="s">
        <v>3554</v>
      </c>
      <c r="B983" s="616" t="str">
        <f t="shared" si="15"/>
        <v/>
      </c>
      <c r="C983" s="665"/>
      <c r="D983" s="655">
        <v>2</v>
      </c>
      <c r="E983" s="236"/>
      <c r="F983" s="232" t="s">
        <v>2539</v>
      </c>
      <c r="G983" s="239"/>
      <c r="H983" s="652"/>
      <c r="I983" s="656"/>
      <c r="J983" s="654"/>
    </row>
    <row r="984" spans="1:10" x14ac:dyDescent="0.35">
      <c r="A984" s="615" t="s">
        <v>3555</v>
      </c>
      <c r="B984" s="616" t="str">
        <f t="shared" si="15"/>
        <v/>
      </c>
      <c r="C984" s="665"/>
      <c r="D984" s="655">
        <v>0</v>
      </c>
      <c r="E984" s="236"/>
      <c r="F984" s="232" t="s">
        <v>2538</v>
      </c>
      <c r="G984" s="239"/>
      <c r="H984" s="652"/>
      <c r="I984" s="656"/>
      <c r="J984" s="654"/>
    </row>
    <row r="985" spans="1:10" x14ac:dyDescent="0.35">
      <c r="A985" s="615" t="s">
        <v>3556</v>
      </c>
      <c r="B985" s="616" t="str">
        <f t="shared" si="15"/>
        <v/>
      </c>
      <c r="C985" s="665"/>
      <c r="D985" s="655">
        <v>0</v>
      </c>
      <c r="E985" s="236"/>
      <c r="F985" s="232" t="s">
        <v>2538</v>
      </c>
      <c r="G985" s="239"/>
      <c r="H985" s="652"/>
      <c r="I985" s="656"/>
      <c r="J985" s="654"/>
    </row>
    <row r="986" spans="1:10" x14ac:dyDescent="0.35">
      <c r="A986" s="615" t="s">
        <v>3557</v>
      </c>
      <c r="B986" s="616" t="str">
        <f t="shared" si="15"/>
        <v/>
      </c>
      <c r="C986" s="665"/>
      <c r="D986" s="655">
        <v>0</v>
      </c>
      <c r="E986" s="236"/>
      <c r="F986" s="232" t="s">
        <v>2538</v>
      </c>
      <c r="G986" s="239"/>
      <c r="H986" s="652"/>
      <c r="I986" s="656"/>
      <c r="J986" s="654"/>
    </row>
    <row r="987" spans="1:10" x14ac:dyDescent="0.35">
      <c r="A987" s="615" t="s">
        <v>3558</v>
      </c>
      <c r="B987" s="616" t="str">
        <f t="shared" si="15"/>
        <v/>
      </c>
      <c r="C987" s="665"/>
      <c r="D987" s="651">
        <v>2</v>
      </c>
      <c r="E987" s="236"/>
      <c r="F987" s="232" t="s">
        <v>2572</v>
      </c>
      <c r="G987" s="239"/>
      <c r="H987" s="652"/>
      <c r="I987" s="656"/>
      <c r="J987" s="654"/>
    </row>
    <row r="988" spans="1:10" x14ac:dyDescent="0.35">
      <c r="A988" s="615" t="s">
        <v>3559</v>
      </c>
      <c r="B988" s="616" t="str">
        <f t="shared" si="15"/>
        <v/>
      </c>
      <c r="C988" s="665"/>
      <c r="D988" s="651">
        <v>2</v>
      </c>
      <c r="E988" s="236"/>
      <c r="F988" s="232" t="s">
        <v>2572</v>
      </c>
      <c r="G988" s="239"/>
      <c r="H988" s="652"/>
      <c r="I988" s="656"/>
      <c r="J988" s="654"/>
    </row>
    <row r="989" spans="1:10" x14ac:dyDescent="0.35">
      <c r="A989" s="615" t="s">
        <v>3560</v>
      </c>
      <c r="B989" s="616" t="str">
        <f t="shared" si="15"/>
        <v/>
      </c>
      <c r="C989" s="665"/>
      <c r="D989" s="651">
        <v>2</v>
      </c>
      <c r="E989" s="236"/>
      <c r="F989" s="232" t="s">
        <v>2572</v>
      </c>
      <c r="G989" s="239"/>
      <c r="H989" s="652"/>
      <c r="I989" s="656"/>
      <c r="J989" s="654"/>
    </row>
    <row r="990" spans="1:10" x14ac:dyDescent="0.35">
      <c r="A990" s="615" t="s">
        <v>3561</v>
      </c>
      <c r="B990" s="616" t="str">
        <f t="shared" si="15"/>
        <v/>
      </c>
      <c r="C990" s="665"/>
      <c r="D990" s="651">
        <v>2</v>
      </c>
      <c r="E990" s="236"/>
      <c r="F990" s="232" t="s">
        <v>2572</v>
      </c>
      <c r="G990" s="239"/>
      <c r="H990" s="652"/>
      <c r="I990" s="656"/>
      <c r="J990" s="654"/>
    </row>
    <row r="991" spans="1:10" x14ac:dyDescent="0.35">
      <c r="A991" s="615" t="s">
        <v>3562</v>
      </c>
      <c r="B991" s="616" t="str">
        <f t="shared" si="15"/>
        <v/>
      </c>
      <c r="C991" s="665"/>
      <c r="D991" s="651">
        <v>2</v>
      </c>
      <c r="E991" s="236"/>
      <c r="F991" s="232" t="s">
        <v>2572</v>
      </c>
      <c r="G991" s="239"/>
      <c r="H991" s="652"/>
      <c r="I991" s="656"/>
      <c r="J991" s="654"/>
    </row>
    <row r="992" spans="1:10" x14ac:dyDescent="0.35">
      <c r="A992" s="615" t="s">
        <v>3563</v>
      </c>
      <c r="B992" s="616" t="str">
        <f t="shared" si="15"/>
        <v/>
      </c>
      <c r="C992" s="665"/>
      <c r="D992" s="655">
        <v>6</v>
      </c>
      <c r="E992" s="236"/>
      <c r="F992" s="232" t="s">
        <v>2579</v>
      </c>
      <c r="G992" s="239" t="s">
        <v>2583</v>
      </c>
      <c r="H992" s="652"/>
      <c r="I992" s="656"/>
      <c r="J992" s="654"/>
    </row>
    <row r="993" spans="1:10" x14ac:dyDescent="0.35">
      <c r="A993" s="615" t="s">
        <v>3564</v>
      </c>
      <c r="B993" s="616" t="str">
        <f t="shared" si="15"/>
        <v/>
      </c>
      <c r="C993" s="665"/>
      <c r="D993" s="655" t="s">
        <v>75</v>
      </c>
      <c r="E993" s="236"/>
      <c r="F993" s="232" t="s">
        <v>76</v>
      </c>
      <c r="G993" s="239"/>
      <c r="H993" s="652"/>
      <c r="I993" s="656"/>
      <c r="J993" s="654"/>
    </row>
    <row r="994" spans="1:10" x14ac:dyDescent="0.35">
      <c r="A994" s="615" t="s">
        <v>3565</v>
      </c>
      <c r="B994" s="616" t="str">
        <f t="shared" si="15"/>
        <v/>
      </c>
      <c r="C994" s="665"/>
      <c r="D994" s="655">
        <v>2</v>
      </c>
      <c r="E994" s="236"/>
      <c r="F994" s="232" t="s">
        <v>2539</v>
      </c>
      <c r="G994" s="239" t="s">
        <v>2585</v>
      </c>
      <c r="H994" s="652"/>
      <c r="I994" s="656"/>
      <c r="J994" s="654"/>
    </row>
    <row r="995" spans="1:10" x14ac:dyDescent="0.35">
      <c r="A995" s="615" t="s">
        <v>3566</v>
      </c>
      <c r="B995" s="616" t="str">
        <f t="shared" si="15"/>
        <v/>
      </c>
      <c r="C995" s="665"/>
      <c r="D995" s="655">
        <v>2</v>
      </c>
      <c r="E995" s="236"/>
      <c r="F995" s="232" t="s">
        <v>2539</v>
      </c>
      <c r="G995" s="239" t="s">
        <v>2585</v>
      </c>
      <c r="H995" s="652"/>
      <c r="I995" s="656"/>
      <c r="J995" s="654"/>
    </row>
    <row r="996" spans="1:10" x14ac:dyDescent="0.35">
      <c r="A996" s="615" t="s">
        <v>3567</v>
      </c>
      <c r="B996" s="616" t="str">
        <f t="shared" si="15"/>
        <v/>
      </c>
      <c r="C996" s="665"/>
      <c r="D996" s="655">
        <v>2</v>
      </c>
      <c r="E996" s="236"/>
      <c r="F996" s="232" t="s">
        <v>2539</v>
      </c>
      <c r="G996" s="239" t="s">
        <v>2585</v>
      </c>
      <c r="H996" s="652"/>
      <c r="I996" s="656"/>
      <c r="J996" s="654"/>
    </row>
    <row r="997" spans="1:10" x14ac:dyDescent="0.35">
      <c r="A997" s="615" t="s">
        <v>3568</v>
      </c>
      <c r="B997" s="616" t="str">
        <f t="shared" si="15"/>
        <v/>
      </c>
      <c r="C997" s="665"/>
      <c r="D997" s="655">
        <v>2</v>
      </c>
      <c r="E997" s="236"/>
      <c r="F997" s="232" t="s">
        <v>2539</v>
      </c>
      <c r="G997" s="239" t="s">
        <v>2585</v>
      </c>
      <c r="H997" s="652"/>
      <c r="I997" s="656"/>
      <c r="J997" s="654"/>
    </row>
    <row r="998" spans="1:10" x14ac:dyDescent="0.35">
      <c r="A998" s="615" t="s">
        <v>3569</v>
      </c>
      <c r="B998" s="616" t="str">
        <f t="shared" si="15"/>
        <v/>
      </c>
      <c r="C998" s="665"/>
      <c r="D998" s="655">
        <v>2</v>
      </c>
      <c r="E998" s="236"/>
      <c r="F998" s="232" t="s">
        <v>2539</v>
      </c>
      <c r="G998" s="239" t="s">
        <v>2585</v>
      </c>
      <c r="H998" s="652"/>
      <c r="I998" s="656"/>
      <c r="J998" s="654"/>
    </row>
    <row r="999" spans="1:10" x14ac:dyDescent="0.35">
      <c r="A999" s="615" t="s">
        <v>3570</v>
      </c>
      <c r="B999" s="616" t="str">
        <f t="shared" si="15"/>
        <v/>
      </c>
      <c r="C999" s="665"/>
      <c r="D999" s="655">
        <v>2</v>
      </c>
      <c r="E999" s="236"/>
      <c r="F999" s="232" t="s">
        <v>2539</v>
      </c>
      <c r="G999" s="239" t="s">
        <v>2585</v>
      </c>
      <c r="H999" s="652"/>
      <c r="I999" s="656"/>
      <c r="J999" s="654"/>
    </row>
    <row r="1000" spans="1:10" ht="48" x14ac:dyDescent="0.35">
      <c r="A1000" s="615" t="s">
        <v>3571</v>
      </c>
      <c r="B1000" s="616" t="str">
        <f t="shared" si="15"/>
        <v/>
      </c>
      <c r="C1000" s="665"/>
      <c r="D1000" s="655" t="s">
        <v>75</v>
      </c>
      <c r="E1000" s="236"/>
      <c r="F1000" s="232" t="s">
        <v>76</v>
      </c>
      <c r="G1000" s="657" t="s">
        <v>2591</v>
      </c>
      <c r="H1000" s="652"/>
      <c r="I1000" s="656"/>
      <c r="J1000" s="654"/>
    </row>
    <row r="1001" spans="1:10" x14ac:dyDescent="0.35">
      <c r="A1001" s="615" t="s">
        <v>3572</v>
      </c>
      <c r="B1001" s="616" t="str">
        <f t="shared" si="15"/>
        <v/>
      </c>
      <c r="C1001" s="665"/>
      <c r="D1001" s="655">
        <v>2</v>
      </c>
      <c r="E1001" s="236"/>
      <c r="F1001" s="232" t="s">
        <v>2539</v>
      </c>
      <c r="G1001" s="239"/>
      <c r="H1001" s="652"/>
      <c r="I1001" s="656"/>
      <c r="J1001" s="654"/>
    </row>
    <row r="1002" spans="1:10" x14ac:dyDescent="0.35">
      <c r="A1002" s="615" t="s">
        <v>3573</v>
      </c>
      <c r="B1002" s="616"/>
      <c r="C1002" s="650"/>
      <c r="D1002" s="655">
        <v>0</v>
      </c>
      <c r="E1002" s="236"/>
      <c r="F1002" s="232" t="s">
        <v>2538</v>
      </c>
      <c r="G1002" s="239"/>
      <c r="H1002" s="652"/>
      <c r="I1002" s="653"/>
      <c r="J1002" s="654"/>
    </row>
    <row r="1003" spans="1:10" x14ac:dyDescent="0.35">
      <c r="A1003" s="615" t="s">
        <v>3574</v>
      </c>
      <c r="B1003" s="616"/>
      <c r="C1003" s="650"/>
      <c r="D1003" s="655">
        <v>0</v>
      </c>
      <c r="E1003" s="236"/>
      <c r="F1003" s="232" t="s">
        <v>2538</v>
      </c>
      <c r="G1003" s="239"/>
      <c r="H1003" s="652"/>
      <c r="I1003" s="653"/>
      <c r="J1003" s="654"/>
    </row>
    <row r="1004" spans="1:10" x14ac:dyDescent="0.35">
      <c r="A1004" s="615" t="s">
        <v>3575</v>
      </c>
      <c r="B1004" s="616"/>
      <c r="C1004" s="650"/>
      <c r="D1004" s="655">
        <v>0</v>
      </c>
      <c r="E1004" s="236"/>
      <c r="F1004" s="232" t="s">
        <v>2538</v>
      </c>
      <c r="G1004" s="239"/>
      <c r="H1004" s="652"/>
      <c r="I1004" s="653"/>
      <c r="J1004" s="654"/>
    </row>
    <row r="1005" spans="1:10" x14ac:dyDescent="0.35">
      <c r="A1005" s="615" t="s">
        <v>3576</v>
      </c>
      <c r="B1005" s="616"/>
      <c r="C1005" s="665"/>
      <c r="D1005" s="655">
        <v>0</v>
      </c>
      <c r="E1005" s="236"/>
      <c r="F1005" s="232" t="s">
        <v>2538</v>
      </c>
      <c r="G1005" s="239"/>
      <c r="H1005" s="652"/>
      <c r="I1005" s="656"/>
      <c r="J1005" s="654"/>
    </row>
    <row r="1006" spans="1:10" x14ac:dyDescent="0.35">
      <c r="A1006" s="615" t="s">
        <v>3577</v>
      </c>
      <c r="B1006" s="616"/>
      <c r="C1006" s="665"/>
      <c r="D1006" s="655">
        <v>0</v>
      </c>
      <c r="E1006" s="236"/>
      <c r="F1006" s="232" t="s">
        <v>2538</v>
      </c>
      <c r="G1006" s="239"/>
      <c r="H1006" s="652"/>
      <c r="I1006" s="656"/>
      <c r="J1006" s="654"/>
    </row>
    <row r="1007" spans="1:10" x14ac:dyDescent="0.35">
      <c r="A1007" s="615" t="s">
        <v>3578</v>
      </c>
      <c r="B1007" s="616"/>
      <c r="C1007" s="650"/>
      <c r="D1007" s="651">
        <v>2</v>
      </c>
      <c r="E1007" s="236"/>
      <c r="F1007" s="232" t="s">
        <v>2572</v>
      </c>
      <c r="G1007" s="239"/>
      <c r="H1007" s="652"/>
      <c r="I1007" s="653"/>
      <c r="J1007" s="654"/>
    </row>
    <row r="1008" spans="1:10" x14ac:dyDescent="0.35">
      <c r="A1008" s="615" t="s">
        <v>3579</v>
      </c>
      <c r="B1008" s="616"/>
      <c r="C1008" s="665"/>
      <c r="D1008" s="651">
        <v>2</v>
      </c>
      <c r="E1008" s="236"/>
      <c r="F1008" s="232" t="s">
        <v>2572</v>
      </c>
      <c r="G1008" s="239"/>
      <c r="H1008" s="652"/>
      <c r="I1008" s="656"/>
      <c r="J1008" s="654"/>
    </row>
    <row r="1009" spans="1:10" ht="36" x14ac:dyDescent="0.35">
      <c r="A1009" s="615" t="s">
        <v>3580</v>
      </c>
      <c r="B1009" s="616"/>
      <c r="C1009" s="665"/>
      <c r="D1009" s="651">
        <v>2</v>
      </c>
      <c r="E1009" s="236"/>
      <c r="F1009" s="232" t="s">
        <v>2572</v>
      </c>
      <c r="G1009" s="666" t="s">
        <v>2575</v>
      </c>
      <c r="H1009" s="652"/>
      <c r="I1009" s="656"/>
      <c r="J1009" s="654"/>
    </row>
    <row r="1010" spans="1:10" x14ac:dyDescent="0.35">
      <c r="A1010" s="615" t="s">
        <v>3581</v>
      </c>
      <c r="B1010" s="616"/>
      <c r="C1010" s="665"/>
      <c r="D1010" s="655">
        <v>2</v>
      </c>
      <c r="E1010" s="236"/>
      <c r="F1010" s="232" t="s">
        <v>2572</v>
      </c>
      <c r="G1010" s="239"/>
      <c r="H1010" s="652"/>
      <c r="I1010" s="656"/>
      <c r="J1010" s="654"/>
    </row>
    <row r="1011" spans="1:10" x14ac:dyDescent="0.35">
      <c r="A1011" s="615" t="s">
        <v>3582</v>
      </c>
      <c r="B1011" s="616"/>
      <c r="C1011" s="665"/>
      <c r="D1011" s="655">
        <v>2</v>
      </c>
      <c r="E1011" s="236"/>
      <c r="F1011" s="232" t="s">
        <v>2572</v>
      </c>
      <c r="G1011" s="239"/>
      <c r="H1011" s="652"/>
      <c r="I1011" s="656"/>
      <c r="J1011" s="654"/>
    </row>
    <row r="1012" spans="1:10" x14ac:dyDescent="0.35">
      <c r="A1012" s="615" t="s">
        <v>3583</v>
      </c>
      <c r="B1012" s="616"/>
      <c r="C1012" s="665"/>
      <c r="D1012" s="655">
        <v>6</v>
      </c>
      <c r="E1012" s="236"/>
      <c r="F1012" s="232" t="s">
        <v>2579</v>
      </c>
      <c r="G1012" s="239" t="s">
        <v>2583</v>
      </c>
      <c r="H1012" s="652"/>
      <c r="I1012" s="656"/>
      <c r="J1012" s="654"/>
    </row>
    <row r="1013" spans="1:10" x14ac:dyDescent="0.35">
      <c r="A1013" s="615" t="s">
        <v>3584</v>
      </c>
      <c r="B1013" s="616"/>
      <c r="C1013" s="665"/>
      <c r="D1013" s="655" t="s">
        <v>75</v>
      </c>
      <c r="E1013" s="236"/>
      <c r="F1013" s="232" t="s">
        <v>76</v>
      </c>
      <c r="G1013" s="239"/>
      <c r="H1013" s="652"/>
      <c r="I1013" s="656"/>
      <c r="J1013" s="654"/>
    </row>
    <row r="1014" spans="1:10" x14ac:dyDescent="0.35">
      <c r="A1014" s="615" t="s">
        <v>3585</v>
      </c>
      <c r="B1014" s="616"/>
      <c r="C1014" s="650"/>
      <c r="D1014" s="655">
        <v>2</v>
      </c>
      <c r="E1014" s="236"/>
      <c r="F1014" s="232" t="s">
        <v>2539</v>
      </c>
      <c r="G1014" s="239" t="s">
        <v>2585</v>
      </c>
      <c r="H1014" s="652"/>
      <c r="I1014" s="653"/>
      <c r="J1014" s="654"/>
    </row>
    <row r="1015" spans="1:10" x14ac:dyDescent="0.35">
      <c r="A1015" s="615" t="s">
        <v>3586</v>
      </c>
      <c r="B1015" s="616"/>
      <c r="C1015" s="650"/>
      <c r="D1015" s="655">
        <v>2</v>
      </c>
      <c r="E1015" s="236"/>
      <c r="F1015" s="232" t="s">
        <v>2539</v>
      </c>
      <c r="G1015" s="239" t="s">
        <v>2585</v>
      </c>
      <c r="H1015" s="652"/>
      <c r="I1015" s="653"/>
      <c r="J1015" s="654"/>
    </row>
    <row r="1016" spans="1:10" x14ac:dyDescent="0.35">
      <c r="A1016" s="615" t="s">
        <v>3587</v>
      </c>
      <c r="B1016" s="616"/>
      <c r="C1016" s="665"/>
      <c r="D1016" s="655">
        <v>2</v>
      </c>
      <c r="E1016" s="236"/>
      <c r="F1016" s="232" t="s">
        <v>2539</v>
      </c>
      <c r="G1016" s="239" t="s">
        <v>2585</v>
      </c>
      <c r="H1016" s="652"/>
      <c r="I1016" s="656"/>
      <c r="J1016" s="654"/>
    </row>
    <row r="1017" spans="1:10" x14ac:dyDescent="0.35">
      <c r="A1017" s="615" t="s">
        <v>3588</v>
      </c>
      <c r="B1017" s="616"/>
      <c r="C1017" s="665"/>
      <c r="D1017" s="655">
        <v>2</v>
      </c>
      <c r="E1017" s="236"/>
      <c r="F1017" s="232" t="s">
        <v>2539</v>
      </c>
      <c r="G1017" s="239" t="s">
        <v>2585</v>
      </c>
      <c r="H1017" s="652"/>
      <c r="I1017" s="656"/>
      <c r="J1017" s="654"/>
    </row>
    <row r="1018" spans="1:10" x14ac:dyDescent="0.35">
      <c r="A1018" s="615" t="s">
        <v>3589</v>
      </c>
      <c r="B1018" s="616"/>
      <c r="C1018" s="665"/>
      <c r="D1018" s="655">
        <v>2</v>
      </c>
      <c r="E1018" s="236"/>
      <c r="F1018" s="232" t="s">
        <v>2539</v>
      </c>
      <c r="G1018" s="239" t="s">
        <v>2585</v>
      </c>
      <c r="H1018" s="652"/>
      <c r="I1018" s="656"/>
      <c r="J1018" s="654"/>
    </row>
    <row r="1019" spans="1:10" x14ac:dyDescent="0.35">
      <c r="A1019" s="615" t="s">
        <v>3590</v>
      </c>
      <c r="B1019" s="616"/>
      <c r="C1019" s="650"/>
      <c r="D1019" s="655">
        <v>2</v>
      </c>
      <c r="E1019" s="236"/>
      <c r="F1019" s="232" t="s">
        <v>2539</v>
      </c>
      <c r="G1019" s="239" t="s">
        <v>2585</v>
      </c>
      <c r="H1019" s="652"/>
      <c r="I1019" s="653"/>
      <c r="J1019" s="654"/>
    </row>
    <row r="1020" spans="1:10" ht="48" x14ac:dyDescent="0.35">
      <c r="A1020" s="615" t="s">
        <v>3591</v>
      </c>
      <c r="B1020" s="616"/>
      <c r="C1020" s="650"/>
      <c r="D1020" s="655" t="s">
        <v>75</v>
      </c>
      <c r="E1020" s="236"/>
      <c r="F1020" s="232" t="s">
        <v>76</v>
      </c>
      <c r="G1020" s="657" t="s">
        <v>2591</v>
      </c>
      <c r="H1020" s="652"/>
      <c r="I1020" s="653"/>
      <c r="J1020" s="654"/>
    </row>
    <row r="1021" spans="1:10" x14ac:dyDescent="0.35">
      <c r="A1021" s="615" t="s">
        <v>3592</v>
      </c>
      <c r="B1021" s="616"/>
      <c r="C1021" s="665"/>
      <c r="D1021" s="655">
        <v>2</v>
      </c>
      <c r="E1021" s="236"/>
      <c r="F1021" s="232" t="s">
        <v>2539</v>
      </c>
      <c r="G1021" s="239"/>
      <c r="H1021" s="652"/>
      <c r="I1021" s="656"/>
      <c r="J1021" s="654"/>
    </row>
    <row r="1022" spans="1:10" x14ac:dyDescent="0.35">
      <c r="A1022" s="615" t="s">
        <v>3593</v>
      </c>
      <c r="B1022" s="616" t="str">
        <f t="shared" si="15"/>
        <v/>
      </c>
      <c r="C1022" s="665"/>
      <c r="D1022" s="655">
        <v>0</v>
      </c>
      <c r="E1022" s="236"/>
      <c r="F1022" s="232" t="s">
        <v>2538</v>
      </c>
      <c r="G1022" s="239"/>
      <c r="H1022" s="652"/>
      <c r="I1022" s="656"/>
      <c r="J1022" s="654"/>
    </row>
    <row r="1023" spans="1:10" x14ac:dyDescent="0.35">
      <c r="A1023" s="615" t="s">
        <v>3594</v>
      </c>
      <c r="B1023" s="616" t="str">
        <f t="shared" si="15"/>
        <v/>
      </c>
      <c r="C1023" s="665"/>
      <c r="D1023" s="655">
        <v>0</v>
      </c>
      <c r="E1023" s="236"/>
      <c r="F1023" s="232" t="s">
        <v>2538</v>
      </c>
      <c r="G1023" s="239"/>
      <c r="H1023" s="652"/>
      <c r="I1023" s="656"/>
      <c r="J1023" s="654"/>
    </row>
    <row r="1024" spans="1:10" x14ac:dyDescent="0.35">
      <c r="A1024" s="615" t="s">
        <v>3595</v>
      </c>
      <c r="B1024" s="616" t="str">
        <f t="shared" si="15"/>
        <v/>
      </c>
      <c r="C1024" s="665"/>
      <c r="D1024" s="655">
        <v>0</v>
      </c>
      <c r="E1024" s="236"/>
      <c r="F1024" s="232" t="s">
        <v>2538</v>
      </c>
      <c r="G1024" s="239"/>
      <c r="H1024" s="652"/>
      <c r="I1024" s="656"/>
      <c r="J1024" s="654"/>
    </row>
    <row r="1025" spans="1:10" x14ac:dyDescent="0.35">
      <c r="A1025" s="615" t="s">
        <v>3596</v>
      </c>
      <c r="B1025" s="616" t="str">
        <f t="shared" si="15"/>
        <v/>
      </c>
      <c r="C1025" s="665"/>
      <c r="D1025" s="651">
        <v>2</v>
      </c>
      <c r="E1025" s="236"/>
      <c r="F1025" s="232" t="s">
        <v>2572</v>
      </c>
      <c r="G1025" s="239"/>
      <c r="H1025" s="652"/>
      <c r="I1025" s="656"/>
      <c r="J1025" s="654"/>
    </row>
    <row r="1026" spans="1:10" x14ac:dyDescent="0.35">
      <c r="A1026" s="615" t="s">
        <v>3597</v>
      </c>
      <c r="B1026" s="616" t="str">
        <f t="shared" si="15"/>
        <v/>
      </c>
      <c r="C1026" s="665"/>
      <c r="D1026" s="651">
        <v>2</v>
      </c>
      <c r="E1026" s="236"/>
      <c r="F1026" s="232" t="s">
        <v>2572</v>
      </c>
      <c r="G1026" s="239"/>
      <c r="H1026" s="652"/>
      <c r="I1026" s="656"/>
      <c r="J1026" s="654"/>
    </row>
    <row r="1027" spans="1:10" x14ac:dyDescent="0.35">
      <c r="A1027" s="615" t="s">
        <v>3598</v>
      </c>
      <c r="B1027" s="616" t="str">
        <f t="shared" si="15"/>
        <v/>
      </c>
      <c r="C1027" s="665"/>
      <c r="D1027" s="651">
        <v>2</v>
      </c>
      <c r="E1027" s="236"/>
      <c r="F1027" s="232" t="s">
        <v>2572</v>
      </c>
      <c r="G1027" s="239"/>
      <c r="H1027" s="652"/>
      <c r="I1027" s="656"/>
      <c r="J1027" s="654"/>
    </row>
    <row r="1028" spans="1:10" x14ac:dyDescent="0.35">
      <c r="A1028" s="615" t="s">
        <v>3599</v>
      </c>
      <c r="B1028" s="616" t="str">
        <f t="shared" ref="B1028:B1091" si="16">IF(C1028="","",IF(D1028="Datum",TEXT(DAY(C1028),"00")&amp;"."&amp;TEXT(MONTH(C1028),"00")&amp;"."&amp;TEXT(YEAR(C1028),"0000"),IF(AND(ISNUMBER(C1028),D1028="x"),TEXT(C1028,"@"),IF(ISNUMBER(C1028),TEXT(ROUNDDOWN(C1028,0),0)&amp;IF(D1028=0,"","."&amp;IF(C1028-ROUNDDOWN(C1028,0)=0,LEFT("0000000000",D1028),TEXT((C1028-ROUNDDOWN(C1028,0))*(1&amp; LEFT("0000000000",$D1028)),LEFT("0000000000",$D1028)))),C1028))))</f>
        <v/>
      </c>
      <c r="C1028" s="665"/>
      <c r="D1028" s="651">
        <v>2</v>
      </c>
      <c r="E1028" s="236"/>
      <c r="F1028" s="232" t="s">
        <v>2572</v>
      </c>
      <c r="G1028" s="239"/>
      <c r="H1028" s="652"/>
      <c r="I1028" s="656"/>
      <c r="J1028" s="654"/>
    </row>
    <row r="1029" spans="1:10" x14ac:dyDescent="0.35">
      <c r="A1029" s="615" t="s">
        <v>3600</v>
      </c>
      <c r="B1029" s="616" t="str">
        <f t="shared" si="16"/>
        <v/>
      </c>
      <c r="C1029" s="665"/>
      <c r="D1029" s="651">
        <v>2</v>
      </c>
      <c r="E1029" s="236"/>
      <c r="F1029" s="232" t="s">
        <v>2572</v>
      </c>
      <c r="G1029" s="239"/>
      <c r="H1029" s="652"/>
      <c r="I1029" s="656"/>
      <c r="J1029" s="654"/>
    </row>
    <row r="1030" spans="1:10" x14ac:dyDescent="0.35">
      <c r="A1030" s="615" t="s">
        <v>3601</v>
      </c>
      <c r="B1030" s="616" t="str">
        <f t="shared" si="16"/>
        <v/>
      </c>
      <c r="C1030" s="665"/>
      <c r="D1030" s="655">
        <v>6</v>
      </c>
      <c r="E1030" s="236"/>
      <c r="F1030" s="232" t="s">
        <v>2579</v>
      </c>
      <c r="G1030" s="239" t="s">
        <v>2583</v>
      </c>
      <c r="H1030" s="652"/>
      <c r="I1030" s="656"/>
      <c r="J1030" s="654"/>
    </row>
    <row r="1031" spans="1:10" x14ac:dyDescent="0.35">
      <c r="A1031" s="615" t="s">
        <v>3602</v>
      </c>
      <c r="B1031" s="616" t="str">
        <f t="shared" si="16"/>
        <v/>
      </c>
      <c r="C1031" s="665"/>
      <c r="D1031" s="655" t="s">
        <v>75</v>
      </c>
      <c r="E1031" s="236"/>
      <c r="F1031" s="232" t="s">
        <v>76</v>
      </c>
      <c r="G1031" s="239"/>
      <c r="H1031" s="652"/>
      <c r="I1031" s="656"/>
      <c r="J1031" s="654"/>
    </row>
    <row r="1032" spans="1:10" x14ac:dyDescent="0.35">
      <c r="A1032" s="615" t="s">
        <v>3603</v>
      </c>
      <c r="B1032" s="616" t="str">
        <f t="shared" si="16"/>
        <v/>
      </c>
      <c r="C1032" s="665"/>
      <c r="D1032" s="655">
        <v>2</v>
      </c>
      <c r="E1032" s="236"/>
      <c r="F1032" s="232" t="s">
        <v>2539</v>
      </c>
      <c r="G1032" s="239" t="s">
        <v>2585</v>
      </c>
      <c r="H1032" s="652"/>
      <c r="I1032" s="656"/>
      <c r="J1032" s="654"/>
    </row>
    <row r="1033" spans="1:10" x14ac:dyDescent="0.35">
      <c r="A1033" s="615" t="s">
        <v>3604</v>
      </c>
      <c r="B1033" s="616" t="str">
        <f t="shared" si="16"/>
        <v/>
      </c>
      <c r="C1033" s="665"/>
      <c r="D1033" s="655">
        <v>2</v>
      </c>
      <c r="E1033" s="236"/>
      <c r="F1033" s="232" t="s">
        <v>2539</v>
      </c>
      <c r="G1033" s="239" t="s">
        <v>2585</v>
      </c>
      <c r="H1033" s="652"/>
      <c r="I1033" s="656"/>
      <c r="J1033" s="654"/>
    </row>
    <row r="1034" spans="1:10" x14ac:dyDescent="0.35">
      <c r="A1034" s="615" t="s">
        <v>3605</v>
      </c>
      <c r="B1034" s="616" t="str">
        <f t="shared" si="16"/>
        <v/>
      </c>
      <c r="C1034" s="665"/>
      <c r="D1034" s="655">
        <v>2</v>
      </c>
      <c r="E1034" s="236"/>
      <c r="F1034" s="232" t="s">
        <v>2539</v>
      </c>
      <c r="G1034" s="239" t="s">
        <v>2585</v>
      </c>
      <c r="H1034" s="652"/>
      <c r="I1034" s="656"/>
      <c r="J1034" s="654"/>
    </row>
    <row r="1035" spans="1:10" x14ac:dyDescent="0.35">
      <c r="A1035" s="615" t="s">
        <v>3606</v>
      </c>
      <c r="B1035" s="616" t="str">
        <f t="shared" si="16"/>
        <v/>
      </c>
      <c r="C1035" s="665"/>
      <c r="D1035" s="655">
        <v>2</v>
      </c>
      <c r="E1035" s="236"/>
      <c r="F1035" s="232" t="s">
        <v>2539</v>
      </c>
      <c r="G1035" s="239" t="s">
        <v>2585</v>
      </c>
      <c r="H1035" s="652"/>
      <c r="I1035" s="656"/>
      <c r="J1035" s="654"/>
    </row>
    <row r="1036" spans="1:10" x14ac:dyDescent="0.35">
      <c r="A1036" s="615" t="s">
        <v>3607</v>
      </c>
      <c r="B1036" s="616" t="str">
        <f t="shared" si="16"/>
        <v/>
      </c>
      <c r="C1036" s="665"/>
      <c r="D1036" s="655">
        <v>2</v>
      </c>
      <c r="E1036" s="236"/>
      <c r="F1036" s="232" t="s">
        <v>2539</v>
      </c>
      <c r="G1036" s="239" t="s">
        <v>2585</v>
      </c>
      <c r="H1036" s="652"/>
      <c r="I1036" s="656"/>
      <c r="J1036" s="654"/>
    </row>
    <row r="1037" spans="1:10" x14ac:dyDescent="0.35">
      <c r="A1037" s="615" t="s">
        <v>3608</v>
      </c>
      <c r="B1037" s="616" t="str">
        <f t="shared" si="16"/>
        <v/>
      </c>
      <c r="C1037" s="665"/>
      <c r="D1037" s="655">
        <v>2</v>
      </c>
      <c r="E1037" s="236"/>
      <c r="F1037" s="232" t="s">
        <v>2539</v>
      </c>
      <c r="G1037" s="239" t="s">
        <v>2585</v>
      </c>
      <c r="H1037" s="652"/>
      <c r="I1037" s="656"/>
      <c r="J1037" s="654"/>
    </row>
    <row r="1038" spans="1:10" ht="48" x14ac:dyDescent="0.35">
      <c r="A1038" s="615" t="s">
        <v>3609</v>
      </c>
      <c r="B1038" s="616" t="str">
        <f t="shared" si="16"/>
        <v/>
      </c>
      <c r="C1038" s="665"/>
      <c r="D1038" s="655" t="s">
        <v>75</v>
      </c>
      <c r="E1038" s="236"/>
      <c r="F1038" s="232" t="s">
        <v>76</v>
      </c>
      <c r="G1038" s="657" t="s">
        <v>2591</v>
      </c>
      <c r="H1038" s="652"/>
      <c r="I1038" s="656"/>
      <c r="J1038" s="654"/>
    </row>
    <row r="1039" spans="1:10" x14ac:dyDescent="0.35">
      <c r="A1039" s="615" t="s">
        <v>3610</v>
      </c>
      <c r="B1039" s="616" t="str">
        <f t="shared" si="16"/>
        <v/>
      </c>
      <c r="C1039" s="665"/>
      <c r="D1039" s="655">
        <v>2</v>
      </c>
      <c r="E1039" s="236"/>
      <c r="F1039" s="232" t="s">
        <v>2539</v>
      </c>
      <c r="G1039" s="239"/>
      <c r="H1039" s="652"/>
      <c r="I1039" s="656"/>
      <c r="J1039" s="654"/>
    </row>
    <row r="1040" spans="1:10" x14ac:dyDescent="0.35">
      <c r="A1040" s="615" t="s">
        <v>3611</v>
      </c>
      <c r="B1040" s="616" t="str">
        <f t="shared" si="16"/>
        <v/>
      </c>
      <c r="C1040" s="665"/>
      <c r="D1040" s="655">
        <v>0</v>
      </c>
      <c r="E1040" s="236"/>
      <c r="F1040" s="232" t="s">
        <v>2538</v>
      </c>
      <c r="G1040" s="239"/>
      <c r="H1040" s="652"/>
      <c r="I1040" s="656"/>
      <c r="J1040" s="654"/>
    </row>
    <row r="1041" spans="1:10" x14ac:dyDescent="0.35">
      <c r="A1041" s="615" t="s">
        <v>3612</v>
      </c>
      <c r="B1041" s="616" t="str">
        <f t="shared" si="16"/>
        <v/>
      </c>
      <c r="C1041" s="665"/>
      <c r="D1041" s="655">
        <v>0</v>
      </c>
      <c r="E1041" s="236"/>
      <c r="F1041" s="232" t="s">
        <v>2538</v>
      </c>
      <c r="G1041" s="239"/>
      <c r="H1041" s="652"/>
      <c r="I1041" s="656"/>
      <c r="J1041" s="654"/>
    </row>
    <row r="1042" spans="1:10" x14ac:dyDescent="0.35">
      <c r="A1042" s="615" t="s">
        <v>3613</v>
      </c>
      <c r="B1042" s="616" t="str">
        <f t="shared" si="16"/>
        <v/>
      </c>
      <c r="C1042" s="665"/>
      <c r="D1042" s="655">
        <v>0</v>
      </c>
      <c r="E1042" s="236"/>
      <c r="F1042" s="232" t="s">
        <v>2538</v>
      </c>
      <c r="G1042" s="239"/>
      <c r="H1042" s="652"/>
      <c r="I1042" s="656"/>
      <c r="J1042" s="654"/>
    </row>
    <row r="1043" spans="1:10" x14ac:dyDescent="0.35">
      <c r="A1043" s="615" t="s">
        <v>3614</v>
      </c>
      <c r="B1043" s="616" t="str">
        <f t="shared" si="16"/>
        <v/>
      </c>
      <c r="C1043" s="665"/>
      <c r="D1043" s="651">
        <v>2</v>
      </c>
      <c r="E1043" s="236"/>
      <c r="F1043" s="232" t="s">
        <v>2572</v>
      </c>
      <c r="G1043" s="239"/>
      <c r="H1043" s="652"/>
      <c r="I1043" s="656"/>
      <c r="J1043" s="654"/>
    </row>
    <row r="1044" spans="1:10" x14ac:dyDescent="0.35">
      <c r="A1044" s="615" t="s">
        <v>3615</v>
      </c>
      <c r="B1044" s="616" t="str">
        <f t="shared" si="16"/>
        <v/>
      </c>
      <c r="C1044" s="665"/>
      <c r="D1044" s="651">
        <v>2</v>
      </c>
      <c r="E1044" s="236"/>
      <c r="F1044" s="232" t="s">
        <v>2572</v>
      </c>
      <c r="G1044" s="239"/>
      <c r="H1044" s="652"/>
      <c r="I1044" s="656"/>
      <c r="J1044" s="654"/>
    </row>
    <row r="1045" spans="1:10" x14ac:dyDescent="0.35">
      <c r="A1045" s="615" t="s">
        <v>3616</v>
      </c>
      <c r="B1045" s="616" t="str">
        <f t="shared" si="16"/>
        <v/>
      </c>
      <c r="C1045" s="665"/>
      <c r="D1045" s="651">
        <v>2</v>
      </c>
      <c r="E1045" s="236"/>
      <c r="F1045" s="232" t="s">
        <v>2572</v>
      </c>
      <c r="G1045" s="239"/>
      <c r="H1045" s="652"/>
      <c r="I1045" s="656"/>
      <c r="J1045" s="654"/>
    </row>
    <row r="1046" spans="1:10" x14ac:dyDescent="0.35">
      <c r="A1046" s="615" t="s">
        <v>3617</v>
      </c>
      <c r="B1046" s="616" t="str">
        <f t="shared" si="16"/>
        <v/>
      </c>
      <c r="C1046" s="665"/>
      <c r="D1046" s="651">
        <v>2</v>
      </c>
      <c r="E1046" s="236"/>
      <c r="F1046" s="232" t="s">
        <v>2572</v>
      </c>
      <c r="G1046" s="239"/>
      <c r="H1046" s="652"/>
      <c r="I1046" s="656"/>
      <c r="J1046" s="654"/>
    </row>
    <row r="1047" spans="1:10" x14ac:dyDescent="0.35">
      <c r="A1047" s="615" t="s">
        <v>3618</v>
      </c>
      <c r="B1047" s="616" t="str">
        <f t="shared" si="16"/>
        <v/>
      </c>
      <c r="C1047" s="665"/>
      <c r="D1047" s="651">
        <v>2</v>
      </c>
      <c r="E1047" s="236"/>
      <c r="F1047" s="232" t="s">
        <v>2572</v>
      </c>
      <c r="G1047" s="239"/>
      <c r="H1047" s="652"/>
      <c r="I1047" s="656"/>
      <c r="J1047" s="654"/>
    </row>
    <row r="1048" spans="1:10" x14ac:dyDescent="0.35">
      <c r="A1048" s="615" t="s">
        <v>3619</v>
      </c>
      <c r="B1048" s="616" t="str">
        <f t="shared" si="16"/>
        <v/>
      </c>
      <c r="C1048" s="665"/>
      <c r="D1048" s="655">
        <v>6</v>
      </c>
      <c r="E1048" s="236"/>
      <c r="F1048" s="232" t="s">
        <v>2579</v>
      </c>
      <c r="G1048" s="239" t="s">
        <v>2583</v>
      </c>
      <c r="H1048" s="652"/>
      <c r="I1048" s="656"/>
      <c r="J1048" s="654"/>
    </row>
    <row r="1049" spans="1:10" x14ac:dyDescent="0.35">
      <c r="A1049" s="615" t="s">
        <v>3620</v>
      </c>
      <c r="B1049" s="616" t="str">
        <f t="shared" si="16"/>
        <v/>
      </c>
      <c r="C1049" s="665"/>
      <c r="D1049" s="655" t="s">
        <v>75</v>
      </c>
      <c r="E1049" s="236"/>
      <c r="F1049" s="232" t="s">
        <v>76</v>
      </c>
      <c r="G1049" s="239"/>
      <c r="H1049" s="652"/>
      <c r="I1049" s="656"/>
      <c r="J1049" s="654"/>
    </row>
    <row r="1050" spans="1:10" x14ac:dyDescent="0.35">
      <c r="A1050" s="615" t="s">
        <v>3621</v>
      </c>
      <c r="B1050" s="616" t="str">
        <f t="shared" si="16"/>
        <v/>
      </c>
      <c r="C1050" s="665"/>
      <c r="D1050" s="655">
        <v>2</v>
      </c>
      <c r="E1050" s="236"/>
      <c r="F1050" s="232" t="s">
        <v>2539</v>
      </c>
      <c r="G1050" s="239" t="s">
        <v>2585</v>
      </c>
      <c r="H1050" s="652"/>
      <c r="I1050" s="656"/>
      <c r="J1050" s="654"/>
    </row>
    <row r="1051" spans="1:10" x14ac:dyDescent="0.35">
      <c r="A1051" s="615" t="s">
        <v>3622</v>
      </c>
      <c r="B1051" s="616" t="str">
        <f t="shared" si="16"/>
        <v/>
      </c>
      <c r="C1051" s="665"/>
      <c r="D1051" s="655">
        <v>2</v>
      </c>
      <c r="E1051" s="236"/>
      <c r="F1051" s="232" t="s">
        <v>2539</v>
      </c>
      <c r="G1051" s="239" t="s">
        <v>2585</v>
      </c>
      <c r="H1051" s="652"/>
      <c r="I1051" s="656"/>
      <c r="J1051" s="654"/>
    </row>
    <row r="1052" spans="1:10" x14ac:dyDescent="0.35">
      <c r="A1052" s="615" t="s">
        <v>3623</v>
      </c>
      <c r="B1052" s="616" t="str">
        <f t="shared" si="16"/>
        <v/>
      </c>
      <c r="C1052" s="665"/>
      <c r="D1052" s="655">
        <v>2</v>
      </c>
      <c r="E1052" s="236"/>
      <c r="F1052" s="232" t="s">
        <v>2539</v>
      </c>
      <c r="G1052" s="239" t="s">
        <v>2585</v>
      </c>
      <c r="H1052" s="652"/>
      <c r="I1052" s="656"/>
      <c r="J1052" s="654"/>
    </row>
    <row r="1053" spans="1:10" x14ac:dyDescent="0.35">
      <c r="A1053" s="615" t="s">
        <v>3624</v>
      </c>
      <c r="B1053" s="616" t="str">
        <f t="shared" si="16"/>
        <v/>
      </c>
      <c r="C1053" s="665"/>
      <c r="D1053" s="655">
        <v>2</v>
      </c>
      <c r="E1053" s="236"/>
      <c r="F1053" s="232" t="s">
        <v>2539</v>
      </c>
      <c r="G1053" s="239" t="s">
        <v>2585</v>
      </c>
      <c r="H1053" s="652"/>
      <c r="I1053" s="656"/>
      <c r="J1053" s="654"/>
    </row>
    <row r="1054" spans="1:10" x14ac:dyDescent="0.35">
      <c r="A1054" s="615" t="s">
        <v>3625</v>
      </c>
      <c r="B1054" s="616" t="str">
        <f t="shared" si="16"/>
        <v/>
      </c>
      <c r="C1054" s="665"/>
      <c r="D1054" s="655">
        <v>2</v>
      </c>
      <c r="E1054" s="236"/>
      <c r="F1054" s="232" t="s">
        <v>2539</v>
      </c>
      <c r="G1054" s="239" t="s">
        <v>2585</v>
      </c>
      <c r="H1054" s="652"/>
      <c r="I1054" s="656"/>
      <c r="J1054" s="654"/>
    </row>
    <row r="1055" spans="1:10" x14ac:dyDescent="0.35">
      <c r="A1055" s="615" t="s">
        <v>3626</v>
      </c>
      <c r="B1055" s="616" t="str">
        <f t="shared" si="16"/>
        <v/>
      </c>
      <c r="C1055" s="665"/>
      <c r="D1055" s="655">
        <v>2</v>
      </c>
      <c r="E1055" s="236"/>
      <c r="F1055" s="232" t="s">
        <v>2539</v>
      </c>
      <c r="G1055" s="239" t="s">
        <v>2585</v>
      </c>
      <c r="H1055" s="652"/>
      <c r="I1055" s="656"/>
      <c r="J1055" s="654"/>
    </row>
    <row r="1056" spans="1:10" ht="48" x14ac:dyDescent="0.35">
      <c r="A1056" s="615" t="s">
        <v>3627</v>
      </c>
      <c r="B1056" s="616" t="str">
        <f t="shared" si="16"/>
        <v/>
      </c>
      <c r="C1056" s="665"/>
      <c r="D1056" s="655" t="s">
        <v>75</v>
      </c>
      <c r="E1056" s="236"/>
      <c r="F1056" s="232" t="s">
        <v>76</v>
      </c>
      <c r="G1056" s="657" t="s">
        <v>2591</v>
      </c>
      <c r="H1056" s="652"/>
      <c r="I1056" s="656"/>
      <c r="J1056" s="654"/>
    </row>
    <row r="1057" spans="1:10" x14ac:dyDescent="0.35">
      <c r="A1057" s="615" t="s">
        <v>3628</v>
      </c>
      <c r="B1057" s="616" t="str">
        <f t="shared" si="16"/>
        <v/>
      </c>
      <c r="C1057" s="665"/>
      <c r="D1057" s="655">
        <v>2</v>
      </c>
      <c r="E1057" s="236"/>
      <c r="F1057" s="232" t="s">
        <v>2539</v>
      </c>
      <c r="G1057" s="239"/>
      <c r="H1057" s="652"/>
      <c r="I1057" s="656"/>
      <c r="J1057" s="654"/>
    </row>
    <row r="1058" spans="1:10" x14ac:dyDescent="0.35">
      <c r="A1058" s="615" t="s">
        <v>3629</v>
      </c>
      <c r="B1058" s="616" t="str">
        <f t="shared" si="16"/>
        <v/>
      </c>
      <c r="C1058" s="665"/>
      <c r="D1058" s="655">
        <v>0</v>
      </c>
      <c r="E1058" s="236"/>
      <c r="F1058" s="232" t="s">
        <v>2538</v>
      </c>
      <c r="G1058" s="239"/>
      <c r="H1058" s="652"/>
      <c r="I1058" s="656"/>
      <c r="J1058" s="654"/>
    </row>
    <row r="1059" spans="1:10" x14ac:dyDescent="0.35">
      <c r="A1059" s="615" t="s">
        <v>3630</v>
      </c>
      <c r="B1059" s="616" t="str">
        <f t="shared" si="16"/>
        <v/>
      </c>
      <c r="C1059" s="665"/>
      <c r="D1059" s="655">
        <v>0</v>
      </c>
      <c r="E1059" s="236"/>
      <c r="F1059" s="232" t="s">
        <v>2538</v>
      </c>
      <c r="G1059" s="239"/>
      <c r="H1059" s="652"/>
      <c r="I1059" s="656"/>
      <c r="J1059" s="654"/>
    </row>
    <row r="1060" spans="1:10" x14ac:dyDescent="0.35">
      <c r="A1060" s="615" t="s">
        <v>3631</v>
      </c>
      <c r="B1060" s="616" t="str">
        <f t="shared" si="16"/>
        <v/>
      </c>
      <c r="C1060" s="665"/>
      <c r="D1060" s="655">
        <v>0</v>
      </c>
      <c r="E1060" s="236"/>
      <c r="F1060" s="232" t="s">
        <v>2538</v>
      </c>
      <c r="G1060" s="239"/>
      <c r="H1060" s="652"/>
      <c r="I1060" s="656"/>
      <c r="J1060" s="654"/>
    </row>
    <row r="1061" spans="1:10" x14ac:dyDescent="0.35">
      <c r="A1061" s="615" t="s">
        <v>3632</v>
      </c>
      <c r="B1061" s="616" t="str">
        <f t="shared" si="16"/>
        <v/>
      </c>
      <c r="C1061" s="665"/>
      <c r="D1061" s="651">
        <v>2</v>
      </c>
      <c r="E1061" s="236"/>
      <c r="F1061" s="232" t="s">
        <v>2572</v>
      </c>
      <c r="G1061" s="239"/>
      <c r="H1061" s="652"/>
      <c r="I1061" s="656"/>
      <c r="J1061" s="654"/>
    </row>
    <row r="1062" spans="1:10" x14ac:dyDescent="0.35">
      <c r="A1062" s="615" t="s">
        <v>3633</v>
      </c>
      <c r="B1062" s="616" t="str">
        <f t="shared" si="16"/>
        <v/>
      </c>
      <c r="C1062" s="665"/>
      <c r="D1062" s="651">
        <v>2</v>
      </c>
      <c r="E1062" s="236"/>
      <c r="F1062" s="232" t="s">
        <v>2572</v>
      </c>
      <c r="G1062" s="239"/>
      <c r="H1062" s="652"/>
      <c r="I1062" s="656"/>
      <c r="J1062" s="654"/>
    </row>
    <row r="1063" spans="1:10" x14ac:dyDescent="0.35">
      <c r="A1063" s="615" t="s">
        <v>3634</v>
      </c>
      <c r="B1063" s="616" t="str">
        <f t="shared" si="16"/>
        <v/>
      </c>
      <c r="C1063" s="665"/>
      <c r="D1063" s="651">
        <v>2</v>
      </c>
      <c r="E1063" s="236"/>
      <c r="F1063" s="232" t="s">
        <v>2572</v>
      </c>
      <c r="G1063" s="239"/>
      <c r="H1063" s="652"/>
      <c r="I1063" s="656"/>
      <c r="J1063" s="654"/>
    </row>
    <row r="1064" spans="1:10" x14ac:dyDescent="0.35">
      <c r="A1064" s="615" t="s">
        <v>3635</v>
      </c>
      <c r="B1064" s="616" t="str">
        <f t="shared" si="16"/>
        <v/>
      </c>
      <c r="C1064" s="665"/>
      <c r="D1064" s="651">
        <v>2</v>
      </c>
      <c r="E1064" s="236"/>
      <c r="F1064" s="232" t="s">
        <v>2572</v>
      </c>
      <c r="G1064" s="239"/>
      <c r="H1064" s="652"/>
      <c r="I1064" s="656"/>
      <c r="J1064" s="654"/>
    </row>
    <row r="1065" spans="1:10" x14ac:dyDescent="0.35">
      <c r="A1065" s="615" t="s">
        <v>3636</v>
      </c>
      <c r="B1065" s="616" t="str">
        <f t="shared" si="16"/>
        <v/>
      </c>
      <c r="C1065" s="665"/>
      <c r="D1065" s="651">
        <v>2</v>
      </c>
      <c r="E1065" s="236"/>
      <c r="F1065" s="232" t="s">
        <v>2572</v>
      </c>
      <c r="G1065" s="239"/>
      <c r="H1065" s="652"/>
      <c r="I1065" s="656"/>
      <c r="J1065" s="654"/>
    </row>
    <row r="1066" spans="1:10" x14ac:dyDescent="0.35">
      <c r="A1066" s="615" t="s">
        <v>3637</v>
      </c>
      <c r="B1066" s="616" t="str">
        <f t="shared" si="16"/>
        <v/>
      </c>
      <c r="C1066" s="665"/>
      <c r="D1066" s="655">
        <v>6</v>
      </c>
      <c r="E1066" s="236"/>
      <c r="F1066" s="232" t="s">
        <v>2579</v>
      </c>
      <c r="G1066" s="239" t="s">
        <v>2583</v>
      </c>
      <c r="H1066" s="652"/>
      <c r="I1066" s="656"/>
      <c r="J1066" s="654"/>
    </row>
    <row r="1067" spans="1:10" x14ac:dyDescent="0.35">
      <c r="A1067" s="615" t="s">
        <v>3638</v>
      </c>
      <c r="B1067" s="616" t="str">
        <f t="shared" si="16"/>
        <v/>
      </c>
      <c r="C1067" s="665"/>
      <c r="D1067" s="655" t="s">
        <v>75</v>
      </c>
      <c r="E1067" s="236"/>
      <c r="F1067" s="232" t="s">
        <v>76</v>
      </c>
      <c r="G1067" s="239"/>
      <c r="H1067" s="652"/>
      <c r="I1067" s="656"/>
      <c r="J1067" s="654"/>
    </row>
    <row r="1068" spans="1:10" x14ac:dyDescent="0.35">
      <c r="A1068" s="615" t="s">
        <v>3639</v>
      </c>
      <c r="B1068" s="616" t="str">
        <f t="shared" si="16"/>
        <v/>
      </c>
      <c r="C1068" s="665"/>
      <c r="D1068" s="655">
        <v>2</v>
      </c>
      <c r="E1068" s="236"/>
      <c r="F1068" s="232" t="s">
        <v>2539</v>
      </c>
      <c r="G1068" s="239" t="s">
        <v>2585</v>
      </c>
      <c r="H1068" s="652"/>
      <c r="I1068" s="656"/>
      <c r="J1068" s="654"/>
    </row>
    <row r="1069" spans="1:10" x14ac:dyDescent="0.35">
      <c r="A1069" s="615" t="s">
        <v>3640</v>
      </c>
      <c r="B1069" s="616" t="str">
        <f t="shared" si="16"/>
        <v/>
      </c>
      <c r="C1069" s="665"/>
      <c r="D1069" s="655">
        <v>2</v>
      </c>
      <c r="E1069" s="236"/>
      <c r="F1069" s="232" t="s">
        <v>2539</v>
      </c>
      <c r="G1069" s="239" t="s">
        <v>2585</v>
      </c>
      <c r="H1069" s="652"/>
      <c r="I1069" s="656"/>
      <c r="J1069" s="654"/>
    </row>
    <row r="1070" spans="1:10" x14ac:dyDescent="0.35">
      <c r="A1070" s="615" t="s">
        <v>3641</v>
      </c>
      <c r="B1070" s="616" t="str">
        <f t="shared" si="16"/>
        <v/>
      </c>
      <c r="C1070" s="665"/>
      <c r="D1070" s="655">
        <v>2</v>
      </c>
      <c r="E1070" s="236"/>
      <c r="F1070" s="232" t="s">
        <v>2539</v>
      </c>
      <c r="G1070" s="239" t="s">
        <v>2585</v>
      </c>
      <c r="H1070" s="652"/>
      <c r="I1070" s="656"/>
      <c r="J1070" s="654"/>
    </row>
    <row r="1071" spans="1:10" x14ac:dyDescent="0.35">
      <c r="A1071" s="615" t="s">
        <v>3642</v>
      </c>
      <c r="B1071" s="616" t="str">
        <f t="shared" si="16"/>
        <v/>
      </c>
      <c r="C1071" s="665"/>
      <c r="D1071" s="655">
        <v>2</v>
      </c>
      <c r="E1071" s="236"/>
      <c r="F1071" s="232" t="s">
        <v>2539</v>
      </c>
      <c r="G1071" s="239" t="s">
        <v>2585</v>
      </c>
      <c r="H1071" s="652"/>
      <c r="I1071" s="656"/>
      <c r="J1071" s="654"/>
    </row>
    <row r="1072" spans="1:10" x14ac:dyDescent="0.35">
      <c r="A1072" s="615" t="s">
        <v>3643</v>
      </c>
      <c r="B1072" s="616" t="str">
        <f t="shared" si="16"/>
        <v/>
      </c>
      <c r="C1072" s="665"/>
      <c r="D1072" s="655">
        <v>2</v>
      </c>
      <c r="E1072" s="236"/>
      <c r="F1072" s="232" t="s">
        <v>2539</v>
      </c>
      <c r="G1072" s="239" t="s">
        <v>2585</v>
      </c>
      <c r="H1072" s="652"/>
      <c r="I1072" s="656"/>
      <c r="J1072" s="654"/>
    </row>
    <row r="1073" spans="1:10" x14ac:dyDescent="0.35">
      <c r="A1073" s="615" t="s">
        <v>3644</v>
      </c>
      <c r="B1073" s="616" t="str">
        <f t="shared" si="16"/>
        <v/>
      </c>
      <c r="C1073" s="665"/>
      <c r="D1073" s="655">
        <v>2</v>
      </c>
      <c r="E1073" s="236"/>
      <c r="F1073" s="232" t="s">
        <v>2539</v>
      </c>
      <c r="G1073" s="239" t="s">
        <v>2585</v>
      </c>
      <c r="H1073" s="652"/>
      <c r="I1073" s="656"/>
      <c r="J1073" s="654"/>
    </row>
    <row r="1074" spans="1:10" ht="48" x14ac:dyDescent="0.35">
      <c r="A1074" s="615" t="s">
        <v>3645</v>
      </c>
      <c r="B1074" s="616" t="str">
        <f t="shared" si="16"/>
        <v/>
      </c>
      <c r="C1074" s="665"/>
      <c r="D1074" s="655" t="s">
        <v>75</v>
      </c>
      <c r="E1074" s="236"/>
      <c r="F1074" s="232" t="s">
        <v>76</v>
      </c>
      <c r="G1074" s="657" t="s">
        <v>2591</v>
      </c>
      <c r="H1074" s="652"/>
      <c r="I1074" s="656"/>
      <c r="J1074" s="654"/>
    </row>
    <row r="1075" spans="1:10" x14ac:dyDescent="0.35">
      <c r="A1075" s="615" t="s">
        <v>3646</v>
      </c>
      <c r="B1075" s="616" t="str">
        <f t="shared" si="16"/>
        <v/>
      </c>
      <c r="C1075" s="665"/>
      <c r="D1075" s="655">
        <v>2</v>
      </c>
      <c r="E1075" s="236"/>
      <c r="F1075" s="232" t="s">
        <v>2539</v>
      </c>
      <c r="G1075" s="239"/>
      <c r="H1075" s="652"/>
      <c r="I1075" s="656"/>
      <c r="J1075" s="654"/>
    </row>
    <row r="1076" spans="1:10" x14ac:dyDescent="0.35">
      <c r="A1076" s="615" t="s">
        <v>3647</v>
      </c>
      <c r="B1076" s="616" t="str">
        <f t="shared" si="16"/>
        <v/>
      </c>
      <c r="C1076" s="665"/>
      <c r="D1076" s="655">
        <v>0</v>
      </c>
      <c r="E1076" s="236"/>
      <c r="F1076" s="232" t="s">
        <v>2538</v>
      </c>
      <c r="G1076" s="239"/>
      <c r="H1076" s="652"/>
      <c r="I1076" s="656"/>
      <c r="J1076" s="654"/>
    </row>
    <row r="1077" spans="1:10" x14ac:dyDescent="0.35">
      <c r="A1077" s="615" t="s">
        <v>3648</v>
      </c>
      <c r="B1077" s="616" t="str">
        <f t="shared" si="16"/>
        <v/>
      </c>
      <c r="C1077" s="665"/>
      <c r="D1077" s="655">
        <v>0</v>
      </c>
      <c r="E1077" s="236"/>
      <c r="F1077" s="232" t="s">
        <v>2538</v>
      </c>
      <c r="G1077" s="239"/>
      <c r="H1077" s="652"/>
      <c r="I1077" s="656"/>
      <c r="J1077" s="654"/>
    </row>
    <row r="1078" spans="1:10" x14ac:dyDescent="0.35">
      <c r="A1078" s="615" t="s">
        <v>3649</v>
      </c>
      <c r="B1078" s="616" t="str">
        <f t="shared" si="16"/>
        <v/>
      </c>
      <c r="C1078" s="665"/>
      <c r="D1078" s="655">
        <v>0</v>
      </c>
      <c r="E1078" s="236"/>
      <c r="F1078" s="232" t="s">
        <v>2538</v>
      </c>
      <c r="G1078" s="239"/>
      <c r="H1078" s="652"/>
      <c r="I1078" s="656"/>
      <c r="J1078" s="654"/>
    </row>
    <row r="1079" spans="1:10" x14ac:dyDescent="0.35">
      <c r="A1079" s="615" t="s">
        <v>3650</v>
      </c>
      <c r="B1079" s="616" t="str">
        <f t="shared" si="16"/>
        <v/>
      </c>
      <c r="C1079" s="665"/>
      <c r="D1079" s="651">
        <v>2</v>
      </c>
      <c r="E1079" s="236"/>
      <c r="F1079" s="232" t="s">
        <v>2572</v>
      </c>
      <c r="G1079" s="239"/>
      <c r="H1079" s="652"/>
      <c r="I1079" s="656"/>
      <c r="J1079" s="654"/>
    </row>
    <row r="1080" spans="1:10" x14ac:dyDescent="0.35">
      <c r="A1080" s="615" t="s">
        <v>3651</v>
      </c>
      <c r="B1080" s="616" t="str">
        <f t="shared" si="16"/>
        <v/>
      </c>
      <c r="C1080" s="665"/>
      <c r="D1080" s="651">
        <v>2</v>
      </c>
      <c r="E1080" s="236"/>
      <c r="F1080" s="232" t="s">
        <v>2572</v>
      </c>
      <c r="G1080" s="239"/>
      <c r="H1080" s="652"/>
      <c r="I1080" s="656"/>
      <c r="J1080" s="654"/>
    </row>
    <row r="1081" spans="1:10" x14ac:dyDescent="0.35">
      <c r="A1081" s="615" t="s">
        <v>3652</v>
      </c>
      <c r="B1081" s="616" t="str">
        <f t="shared" si="16"/>
        <v/>
      </c>
      <c r="C1081" s="665"/>
      <c r="D1081" s="651">
        <v>2</v>
      </c>
      <c r="E1081" s="236"/>
      <c r="F1081" s="232" t="s">
        <v>2572</v>
      </c>
      <c r="G1081" s="239"/>
      <c r="H1081" s="652"/>
      <c r="I1081" s="656"/>
      <c r="J1081" s="654"/>
    </row>
    <row r="1082" spans="1:10" x14ac:dyDescent="0.35">
      <c r="A1082" s="615" t="s">
        <v>3653</v>
      </c>
      <c r="B1082" s="616" t="str">
        <f t="shared" si="16"/>
        <v/>
      </c>
      <c r="C1082" s="665"/>
      <c r="D1082" s="651">
        <v>2</v>
      </c>
      <c r="E1082" s="236"/>
      <c r="F1082" s="232" t="s">
        <v>2572</v>
      </c>
      <c r="G1082" s="239"/>
      <c r="H1082" s="652"/>
      <c r="I1082" s="656"/>
      <c r="J1082" s="654"/>
    </row>
    <row r="1083" spans="1:10" x14ac:dyDescent="0.35">
      <c r="A1083" s="615" t="s">
        <v>3654</v>
      </c>
      <c r="B1083" s="616" t="str">
        <f t="shared" si="16"/>
        <v/>
      </c>
      <c r="C1083" s="665"/>
      <c r="D1083" s="651">
        <v>2</v>
      </c>
      <c r="E1083" s="236"/>
      <c r="F1083" s="232" t="s">
        <v>2572</v>
      </c>
      <c r="G1083" s="239"/>
      <c r="H1083" s="652"/>
      <c r="I1083" s="656"/>
      <c r="J1083" s="654"/>
    </row>
    <row r="1084" spans="1:10" x14ac:dyDescent="0.35">
      <c r="A1084" s="615" t="s">
        <v>3655</v>
      </c>
      <c r="B1084" s="616" t="str">
        <f t="shared" si="16"/>
        <v/>
      </c>
      <c r="C1084" s="665"/>
      <c r="D1084" s="655">
        <v>6</v>
      </c>
      <c r="E1084" s="236"/>
      <c r="F1084" s="232" t="s">
        <v>2579</v>
      </c>
      <c r="G1084" s="239" t="s">
        <v>2583</v>
      </c>
      <c r="H1084" s="652"/>
      <c r="I1084" s="656"/>
      <c r="J1084" s="654"/>
    </row>
    <row r="1085" spans="1:10" x14ac:dyDescent="0.35">
      <c r="A1085" s="615" t="s">
        <v>3656</v>
      </c>
      <c r="B1085" s="616" t="str">
        <f t="shared" si="16"/>
        <v/>
      </c>
      <c r="C1085" s="665"/>
      <c r="D1085" s="655" t="s">
        <v>75</v>
      </c>
      <c r="E1085" s="236"/>
      <c r="F1085" s="232" t="s">
        <v>76</v>
      </c>
      <c r="G1085" s="239"/>
      <c r="H1085" s="652"/>
      <c r="I1085" s="656"/>
      <c r="J1085" s="654"/>
    </row>
    <row r="1086" spans="1:10" x14ac:dyDescent="0.35">
      <c r="A1086" s="615" t="s">
        <v>3657</v>
      </c>
      <c r="B1086" s="616" t="str">
        <f t="shared" si="16"/>
        <v/>
      </c>
      <c r="C1086" s="665"/>
      <c r="D1086" s="655">
        <v>2</v>
      </c>
      <c r="E1086" s="236"/>
      <c r="F1086" s="232" t="s">
        <v>2539</v>
      </c>
      <c r="G1086" s="239" t="s">
        <v>2585</v>
      </c>
      <c r="H1086" s="652"/>
      <c r="I1086" s="656"/>
      <c r="J1086" s="654"/>
    </row>
    <row r="1087" spans="1:10" x14ac:dyDescent="0.35">
      <c r="A1087" s="615" t="s">
        <v>3658</v>
      </c>
      <c r="B1087" s="616" t="str">
        <f t="shared" si="16"/>
        <v/>
      </c>
      <c r="C1087" s="665"/>
      <c r="D1087" s="655">
        <v>2</v>
      </c>
      <c r="E1087" s="236"/>
      <c r="F1087" s="232" t="s">
        <v>2539</v>
      </c>
      <c r="G1087" s="239" t="s">
        <v>2585</v>
      </c>
      <c r="H1087" s="652"/>
      <c r="I1087" s="656"/>
      <c r="J1087" s="654"/>
    </row>
    <row r="1088" spans="1:10" x14ac:dyDescent="0.35">
      <c r="A1088" s="615" t="s">
        <v>3659</v>
      </c>
      <c r="B1088" s="616" t="str">
        <f t="shared" si="16"/>
        <v/>
      </c>
      <c r="C1088" s="665"/>
      <c r="D1088" s="655">
        <v>2</v>
      </c>
      <c r="E1088" s="236"/>
      <c r="F1088" s="232" t="s">
        <v>2539</v>
      </c>
      <c r="G1088" s="239" t="s">
        <v>2585</v>
      </c>
      <c r="H1088" s="652"/>
      <c r="I1088" s="656"/>
      <c r="J1088" s="654"/>
    </row>
    <row r="1089" spans="1:10" x14ac:dyDescent="0.35">
      <c r="A1089" s="615" t="s">
        <v>3660</v>
      </c>
      <c r="B1089" s="616" t="str">
        <f t="shared" si="16"/>
        <v/>
      </c>
      <c r="C1089" s="665"/>
      <c r="D1089" s="655">
        <v>2</v>
      </c>
      <c r="E1089" s="236"/>
      <c r="F1089" s="232" t="s">
        <v>2539</v>
      </c>
      <c r="G1089" s="239" t="s">
        <v>2585</v>
      </c>
      <c r="H1089" s="652"/>
      <c r="I1089" s="656"/>
      <c r="J1089" s="654"/>
    </row>
    <row r="1090" spans="1:10" x14ac:dyDescent="0.35">
      <c r="A1090" s="615" t="s">
        <v>3661</v>
      </c>
      <c r="B1090" s="616" t="str">
        <f t="shared" si="16"/>
        <v/>
      </c>
      <c r="C1090" s="665"/>
      <c r="D1090" s="655">
        <v>2</v>
      </c>
      <c r="E1090" s="236"/>
      <c r="F1090" s="232" t="s">
        <v>2539</v>
      </c>
      <c r="G1090" s="239" t="s">
        <v>2585</v>
      </c>
      <c r="H1090" s="652"/>
      <c r="I1090" s="656"/>
      <c r="J1090" s="654"/>
    </row>
    <row r="1091" spans="1:10" x14ac:dyDescent="0.35">
      <c r="A1091" s="615" t="s">
        <v>3662</v>
      </c>
      <c r="B1091" s="616" t="str">
        <f t="shared" si="16"/>
        <v/>
      </c>
      <c r="C1091" s="665"/>
      <c r="D1091" s="655">
        <v>2</v>
      </c>
      <c r="E1091" s="236"/>
      <c r="F1091" s="232" t="s">
        <v>2539</v>
      </c>
      <c r="G1091" s="239" t="s">
        <v>2585</v>
      </c>
      <c r="H1091" s="652"/>
      <c r="I1091" s="656"/>
      <c r="J1091" s="654"/>
    </row>
    <row r="1092" spans="1:10" ht="48" x14ac:dyDescent="0.35">
      <c r="A1092" s="615" t="s">
        <v>3663</v>
      </c>
      <c r="B1092" s="616" t="str">
        <f t="shared" ref="B1092:B1155" si="17">IF(C1092="","",IF(D1092="Datum",TEXT(DAY(C1092),"00")&amp;"."&amp;TEXT(MONTH(C1092),"00")&amp;"."&amp;TEXT(YEAR(C1092),"0000"),IF(AND(ISNUMBER(C1092),D1092="x"),TEXT(C1092,"@"),IF(ISNUMBER(C1092),TEXT(ROUNDDOWN(C1092,0),0)&amp;IF(D1092=0,"","."&amp;IF(C1092-ROUNDDOWN(C1092,0)=0,LEFT("0000000000",D1092),TEXT((C1092-ROUNDDOWN(C1092,0))*(1&amp; LEFT("0000000000",$D1092)),LEFT("0000000000",$D1092)))),C1092))))</f>
        <v/>
      </c>
      <c r="C1092" s="665"/>
      <c r="D1092" s="655" t="s">
        <v>75</v>
      </c>
      <c r="E1092" s="236"/>
      <c r="F1092" s="232" t="s">
        <v>76</v>
      </c>
      <c r="G1092" s="657" t="s">
        <v>2591</v>
      </c>
      <c r="H1092" s="652"/>
      <c r="I1092" s="656"/>
      <c r="J1092" s="654"/>
    </row>
    <row r="1093" spans="1:10" x14ac:dyDescent="0.35">
      <c r="A1093" s="615" t="s">
        <v>3664</v>
      </c>
      <c r="B1093" s="616" t="str">
        <f t="shared" si="17"/>
        <v/>
      </c>
      <c r="C1093" s="665"/>
      <c r="D1093" s="655">
        <v>2</v>
      </c>
      <c r="E1093" s="236"/>
      <c r="F1093" s="232" t="s">
        <v>2539</v>
      </c>
      <c r="G1093" s="239"/>
      <c r="H1093" s="652"/>
      <c r="I1093" s="656"/>
      <c r="J1093" s="654"/>
    </row>
    <row r="1094" spans="1:10" x14ac:dyDescent="0.35">
      <c r="A1094" s="615" t="s">
        <v>3665</v>
      </c>
      <c r="B1094" s="616" t="str">
        <f t="shared" si="17"/>
        <v/>
      </c>
      <c r="C1094" s="665"/>
      <c r="D1094" s="655">
        <v>0</v>
      </c>
      <c r="E1094" s="236"/>
      <c r="F1094" s="232" t="s">
        <v>2538</v>
      </c>
      <c r="G1094" s="239"/>
      <c r="H1094" s="652"/>
      <c r="I1094" s="656"/>
      <c r="J1094" s="654"/>
    </row>
    <row r="1095" spans="1:10" x14ac:dyDescent="0.35">
      <c r="A1095" s="615" t="s">
        <v>3666</v>
      </c>
      <c r="B1095" s="616" t="str">
        <f t="shared" si="17"/>
        <v/>
      </c>
      <c r="C1095" s="665"/>
      <c r="D1095" s="655">
        <v>0</v>
      </c>
      <c r="E1095" s="236"/>
      <c r="F1095" s="232" t="s">
        <v>2538</v>
      </c>
      <c r="G1095" s="239"/>
      <c r="H1095" s="652"/>
      <c r="I1095" s="656"/>
      <c r="J1095" s="654"/>
    </row>
    <row r="1096" spans="1:10" x14ac:dyDescent="0.35">
      <c r="A1096" s="615" t="s">
        <v>3667</v>
      </c>
      <c r="B1096" s="616" t="str">
        <f t="shared" si="17"/>
        <v/>
      </c>
      <c r="C1096" s="665"/>
      <c r="D1096" s="655">
        <v>0</v>
      </c>
      <c r="E1096" s="236"/>
      <c r="F1096" s="232" t="s">
        <v>2538</v>
      </c>
      <c r="G1096" s="239"/>
      <c r="H1096" s="652"/>
      <c r="I1096" s="656"/>
      <c r="J1096" s="654"/>
    </row>
    <row r="1097" spans="1:10" x14ac:dyDescent="0.35">
      <c r="A1097" s="615" t="s">
        <v>3668</v>
      </c>
      <c r="B1097" s="616" t="str">
        <f t="shared" si="17"/>
        <v/>
      </c>
      <c r="C1097" s="665"/>
      <c r="D1097" s="651">
        <v>2</v>
      </c>
      <c r="E1097" s="236"/>
      <c r="F1097" s="232" t="s">
        <v>2572</v>
      </c>
      <c r="G1097" s="239"/>
      <c r="H1097" s="652"/>
      <c r="I1097" s="656"/>
      <c r="J1097" s="654"/>
    </row>
    <row r="1098" spans="1:10" x14ac:dyDescent="0.35">
      <c r="A1098" s="615" t="s">
        <v>3669</v>
      </c>
      <c r="B1098" s="616" t="str">
        <f t="shared" si="17"/>
        <v/>
      </c>
      <c r="C1098" s="665"/>
      <c r="D1098" s="651">
        <v>2</v>
      </c>
      <c r="E1098" s="236"/>
      <c r="F1098" s="232" t="s">
        <v>2572</v>
      </c>
      <c r="G1098" s="239"/>
      <c r="H1098" s="652"/>
      <c r="I1098" s="656"/>
      <c r="J1098" s="654"/>
    </row>
    <row r="1099" spans="1:10" x14ac:dyDescent="0.35">
      <c r="A1099" s="615" t="s">
        <v>3670</v>
      </c>
      <c r="B1099" s="616" t="str">
        <f t="shared" si="17"/>
        <v/>
      </c>
      <c r="C1099" s="665"/>
      <c r="D1099" s="651">
        <v>2</v>
      </c>
      <c r="E1099" s="236"/>
      <c r="F1099" s="232" t="s">
        <v>2572</v>
      </c>
      <c r="G1099" s="239"/>
      <c r="H1099" s="652"/>
      <c r="I1099" s="656"/>
      <c r="J1099" s="654"/>
    </row>
    <row r="1100" spans="1:10" x14ac:dyDescent="0.35">
      <c r="A1100" s="615" t="s">
        <v>3671</v>
      </c>
      <c r="B1100" s="616" t="str">
        <f t="shared" si="17"/>
        <v/>
      </c>
      <c r="C1100" s="665"/>
      <c r="D1100" s="651">
        <v>2</v>
      </c>
      <c r="E1100" s="236"/>
      <c r="F1100" s="232" t="s">
        <v>2572</v>
      </c>
      <c r="G1100" s="239"/>
      <c r="H1100" s="652"/>
      <c r="I1100" s="656"/>
      <c r="J1100" s="654"/>
    </row>
    <row r="1101" spans="1:10" x14ac:dyDescent="0.35">
      <c r="A1101" s="615" t="s">
        <v>3672</v>
      </c>
      <c r="B1101" s="616" t="str">
        <f t="shared" si="17"/>
        <v/>
      </c>
      <c r="C1101" s="665"/>
      <c r="D1101" s="651">
        <v>2</v>
      </c>
      <c r="E1101" s="236"/>
      <c r="F1101" s="232" t="s">
        <v>2572</v>
      </c>
      <c r="G1101" s="239"/>
      <c r="H1101" s="652"/>
      <c r="I1101" s="656"/>
      <c r="J1101" s="654"/>
    </row>
    <row r="1102" spans="1:10" x14ac:dyDescent="0.35">
      <c r="A1102" s="615" t="s">
        <v>3673</v>
      </c>
      <c r="B1102" s="616" t="str">
        <f t="shared" si="17"/>
        <v/>
      </c>
      <c r="C1102" s="665"/>
      <c r="D1102" s="655">
        <v>6</v>
      </c>
      <c r="E1102" s="236"/>
      <c r="F1102" s="232" t="s">
        <v>2579</v>
      </c>
      <c r="G1102" s="239" t="s">
        <v>2583</v>
      </c>
      <c r="H1102" s="652"/>
      <c r="I1102" s="656"/>
      <c r="J1102" s="654"/>
    </row>
    <row r="1103" spans="1:10" x14ac:dyDescent="0.35">
      <c r="A1103" s="615" t="s">
        <v>3674</v>
      </c>
      <c r="B1103" s="616" t="str">
        <f t="shared" si="17"/>
        <v/>
      </c>
      <c r="C1103" s="665"/>
      <c r="D1103" s="655" t="s">
        <v>75</v>
      </c>
      <c r="E1103" s="236"/>
      <c r="F1103" s="232" t="s">
        <v>76</v>
      </c>
      <c r="G1103" s="239"/>
      <c r="H1103" s="652"/>
      <c r="I1103" s="656"/>
      <c r="J1103" s="654"/>
    </row>
    <row r="1104" spans="1:10" x14ac:dyDescent="0.35">
      <c r="A1104" s="615" t="s">
        <v>3675</v>
      </c>
      <c r="B1104" s="616" t="str">
        <f t="shared" si="17"/>
        <v/>
      </c>
      <c r="C1104" s="665"/>
      <c r="D1104" s="655">
        <v>2</v>
      </c>
      <c r="E1104" s="236"/>
      <c r="F1104" s="232" t="s">
        <v>2539</v>
      </c>
      <c r="G1104" s="239" t="s">
        <v>2585</v>
      </c>
      <c r="H1104" s="652"/>
      <c r="I1104" s="656"/>
      <c r="J1104" s="654"/>
    </row>
    <row r="1105" spans="1:10" x14ac:dyDescent="0.35">
      <c r="A1105" s="615" t="s">
        <v>3676</v>
      </c>
      <c r="B1105" s="616" t="str">
        <f t="shared" si="17"/>
        <v/>
      </c>
      <c r="C1105" s="665"/>
      <c r="D1105" s="655">
        <v>2</v>
      </c>
      <c r="E1105" s="236"/>
      <c r="F1105" s="232" t="s">
        <v>2539</v>
      </c>
      <c r="G1105" s="239" t="s">
        <v>2585</v>
      </c>
      <c r="H1105" s="652"/>
      <c r="I1105" s="656"/>
      <c r="J1105" s="654"/>
    </row>
    <row r="1106" spans="1:10" x14ac:dyDescent="0.35">
      <c r="A1106" s="615" t="s">
        <v>3677</v>
      </c>
      <c r="B1106" s="616" t="str">
        <f t="shared" si="17"/>
        <v/>
      </c>
      <c r="C1106" s="665"/>
      <c r="D1106" s="655">
        <v>2</v>
      </c>
      <c r="E1106" s="236"/>
      <c r="F1106" s="232" t="s">
        <v>2539</v>
      </c>
      <c r="G1106" s="239" t="s">
        <v>2585</v>
      </c>
      <c r="H1106" s="652"/>
      <c r="I1106" s="656"/>
      <c r="J1106" s="654"/>
    </row>
    <row r="1107" spans="1:10" x14ac:dyDescent="0.35">
      <c r="A1107" s="615" t="s">
        <v>3678</v>
      </c>
      <c r="B1107" s="616" t="str">
        <f t="shared" si="17"/>
        <v/>
      </c>
      <c r="C1107" s="665"/>
      <c r="D1107" s="655">
        <v>2</v>
      </c>
      <c r="E1107" s="236"/>
      <c r="F1107" s="232" t="s">
        <v>2539</v>
      </c>
      <c r="G1107" s="239" t="s">
        <v>2585</v>
      </c>
      <c r="H1107" s="652"/>
      <c r="I1107" s="656"/>
      <c r="J1107" s="654"/>
    </row>
    <row r="1108" spans="1:10" x14ac:dyDescent="0.35">
      <c r="A1108" s="615" t="s">
        <v>3679</v>
      </c>
      <c r="B1108" s="616" t="str">
        <f t="shared" si="17"/>
        <v/>
      </c>
      <c r="C1108" s="665"/>
      <c r="D1108" s="655">
        <v>2</v>
      </c>
      <c r="E1108" s="236"/>
      <c r="F1108" s="232" t="s">
        <v>2539</v>
      </c>
      <c r="G1108" s="239" t="s">
        <v>2585</v>
      </c>
      <c r="H1108" s="652"/>
      <c r="I1108" s="656"/>
      <c r="J1108" s="654"/>
    </row>
    <row r="1109" spans="1:10" x14ac:dyDescent="0.35">
      <c r="A1109" s="615" t="s">
        <v>3680</v>
      </c>
      <c r="B1109" s="616" t="str">
        <f t="shared" si="17"/>
        <v/>
      </c>
      <c r="C1109" s="665"/>
      <c r="D1109" s="655">
        <v>2</v>
      </c>
      <c r="E1109" s="236"/>
      <c r="F1109" s="232" t="s">
        <v>2539</v>
      </c>
      <c r="G1109" s="239" t="s">
        <v>2585</v>
      </c>
      <c r="H1109" s="652"/>
      <c r="I1109" s="656"/>
      <c r="J1109" s="654"/>
    </row>
    <row r="1110" spans="1:10" ht="48" x14ac:dyDescent="0.35">
      <c r="A1110" s="615" t="s">
        <v>3681</v>
      </c>
      <c r="B1110" s="616" t="str">
        <f t="shared" si="17"/>
        <v/>
      </c>
      <c r="C1110" s="665"/>
      <c r="D1110" s="655" t="s">
        <v>75</v>
      </c>
      <c r="E1110" s="236"/>
      <c r="F1110" s="232" t="s">
        <v>76</v>
      </c>
      <c r="G1110" s="657" t="s">
        <v>2591</v>
      </c>
      <c r="H1110" s="652"/>
      <c r="I1110" s="656"/>
      <c r="J1110" s="654"/>
    </row>
    <row r="1111" spans="1:10" x14ac:dyDescent="0.35">
      <c r="A1111" s="615" t="s">
        <v>3682</v>
      </c>
      <c r="B1111" s="616" t="str">
        <f t="shared" si="17"/>
        <v/>
      </c>
      <c r="C1111" s="665"/>
      <c r="D1111" s="655">
        <v>2</v>
      </c>
      <c r="E1111" s="236"/>
      <c r="F1111" s="232" t="s">
        <v>2539</v>
      </c>
      <c r="G1111" s="239"/>
      <c r="H1111" s="652"/>
      <c r="I1111" s="656"/>
      <c r="J1111" s="654"/>
    </row>
    <row r="1112" spans="1:10" x14ac:dyDescent="0.35">
      <c r="A1112" s="615" t="s">
        <v>3683</v>
      </c>
      <c r="B1112" s="616" t="str">
        <f t="shared" si="17"/>
        <v/>
      </c>
      <c r="C1112" s="665"/>
      <c r="D1112" s="655">
        <v>0</v>
      </c>
      <c r="E1112" s="236"/>
      <c r="F1112" s="232" t="s">
        <v>2538</v>
      </c>
      <c r="G1112" s="239"/>
      <c r="H1112" s="652"/>
      <c r="I1112" s="656"/>
      <c r="J1112" s="654"/>
    </row>
    <row r="1113" spans="1:10" x14ac:dyDescent="0.35">
      <c r="A1113" s="615" t="s">
        <v>3684</v>
      </c>
      <c r="B1113" s="616" t="str">
        <f t="shared" si="17"/>
        <v/>
      </c>
      <c r="C1113" s="665"/>
      <c r="D1113" s="655">
        <v>0</v>
      </c>
      <c r="E1113" s="236"/>
      <c r="F1113" s="232" t="s">
        <v>2538</v>
      </c>
      <c r="G1113" s="239"/>
      <c r="H1113" s="652"/>
      <c r="I1113" s="656"/>
      <c r="J1113" s="654"/>
    </row>
    <row r="1114" spans="1:10" x14ac:dyDescent="0.35">
      <c r="A1114" s="615" t="s">
        <v>3685</v>
      </c>
      <c r="B1114" s="616" t="str">
        <f t="shared" si="17"/>
        <v/>
      </c>
      <c r="C1114" s="665"/>
      <c r="D1114" s="655">
        <v>0</v>
      </c>
      <c r="E1114" s="236"/>
      <c r="F1114" s="232" t="s">
        <v>2538</v>
      </c>
      <c r="G1114" s="239"/>
      <c r="H1114" s="652"/>
      <c r="I1114" s="656"/>
      <c r="J1114" s="654"/>
    </row>
    <row r="1115" spans="1:10" x14ac:dyDescent="0.35">
      <c r="A1115" s="615" t="s">
        <v>3686</v>
      </c>
      <c r="B1115" s="616" t="str">
        <f t="shared" si="17"/>
        <v/>
      </c>
      <c r="C1115" s="665"/>
      <c r="D1115" s="651">
        <v>2</v>
      </c>
      <c r="E1115" s="236"/>
      <c r="F1115" s="232" t="s">
        <v>2572</v>
      </c>
      <c r="G1115" s="239"/>
      <c r="H1115" s="652"/>
      <c r="I1115" s="656"/>
      <c r="J1115" s="654"/>
    </row>
    <row r="1116" spans="1:10" x14ac:dyDescent="0.35">
      <c r="A1116" s="615" t="s">
        <v>3687</v>
      </c>
      <c r="B1116" s="616" t="str">
        <f t="shared" si="17"/>
        <v/>
      </c>
      <c r="C1116" s="665"/>
      <c r="D1116" s="651">
        <v>2</v>
      </c>
      <c r="E1116" s="236"/>
      <c r="F1116" s="232" t="s">
        <v>2572</v>
      </c>
      <c r="G1116" s="239"/>
      <c r="H1116" s="652"/>
      <c r="I1116" s="656"/>
      <c r="J1116" s="654"/>
    </row>
    <row r="1117" spans="1:10" x14ac:dyDescent="0.35">
      <c r="A1117" s="615" t="s">
        <v>3688</v>
      </c>
      <c r="B1117" s="616" t="str">
        <f t="shared" si="17"/>
        <v/>
      </c>
      <c r="C1117" s="665"/>
      <c r="D1117" s="651">
        <v>2</v>
      </c>
      <c r="E1117" s="236"/>
      <c r="F1117" s="232" t="s">
        <v>2572</v>
      </c>
      <c r="G1117" s="239"/>
      <c r="H1117" s="652"/>
      <c r="I1117" s="656"/>
      <c r="J1117" s="654"/>
    </row>
    <row r="1118" spans="1:10" x14ac:dyDescent="0.35">
      <c r="A1118" s="615" t="s">
        <v>3689</v>
      </c>
      <c r="B1118" s="616" t="str">
        <f t="shared" si="17"/>
        <v/>
      </c>
      <c r="C1118" s="665"/>
      <c r="D1118" s="651">
        <v>2</v>
      </c>
      <c r="E1118" s="236"/>
      <c r="F1118" s="232" t="s">
        <v>2572</v>
      </c>
      <c r="G1118" s="239"/>
      <c r="H1118" s="652"/>
      <c r="I1118" s="656"/>
      <c r="J1118" s="654"/>
    </row>
    <row r="1119" spans="1:10" x14ac:dyDescent="0.35">
      <c r="A1119" s="615" t="s">
        <v>3690</v>
      </c>
      <c r="B1119" s="616" t="str">
        <f t="shared" si="17"/>
        <v/>
      </c>
      <c r="C1119" s="665"/>
      <c r="D1119" s="651">
        <v>2</v>
      </c>
      <c r="E1119" s="236"/>
      <c r="F1119" s="232" t="s">
        <v>2572</v>
      </c>
      <c r="G1119" s="239"/>
      <c r="H1119" s="652"/>
      <c r="I1119" s="656"/>
      <c r="J1119" s="654"/>
    </row>
    <row r="1120" spans="1:10" x14ac:dyDescent="0.35">
      <c r="A1120" s="615" t="s">
        <v>3691</v>
      </c>
      <c r="B1120" s="616" t="str">
        <f t="shared" si="17"/>
        <v/>
      </c>
      <c r="C1120" s="665"/>
      <c r="D1120" s="655">
        <v>6</v>
      </c>
      <c r="E1120" s="236"/>
      <c r="F1120" s="232" t="s">
        <v>2579</v>
      </c>
      <c r="G1120" s="239" t="s">
        <v>2583</v>
      </c>
      <c r="H1120" s="652"/>
      <c r="I1120" s="656"/>
      <c r="J1120" s="654"/>
    </row>
    <row r="1121" spans="1:10" x14ac:dyDescent="0.35">
      <c r="A1121" s="615" t="s">
        <v>3692</v>
      </c>
      <c r="B1121" s="616" t="str">
        <f t="shared" si="17"/>
        <v/>
      </c>
      <c r="C1121" s="665"/>
      <c r="D1121" s="655" t="s">
        <v>75</v>
      </c>
      <c r="E1121" s="236"/>
      <c r="F1121" s="232" t="s">
        <v>76</v>
      </c>
      <c r="G1121" s="239"/>
      <c r="H1121" s="652"/>
      <c r="I1121" s="656"/>
      <c r="J1121" s="654"/>
    </row>
    <row r="1122" spans="1:10" x14ac:dyDescent="0.35">
      <c r="A1122" s="615" t="s">
        <v>3693</v>
      </c>
      <c r="B1122" s="616" t="str">
        <f t="shared" si="17"/>
        <v/>
      </c>
      <c r="C1122" s="665"/>
      <c r="D1122" s="655">
        <v>2</v>
      </c>
      <c r="E1122" s="236"/>
      <c r="F1122" s="232" t="s">
        <v>2539</v>
      </c>
      <c r="G1122" s="239" t="s">
        <v>2585</v>
      </c>
      <c r="H1122" s="652"/>
      <c r="I1122" s="656"/>
      <c r="J1122" s="654"/>
    </row>
    <row r="1123" spans="1:10" x14ac:dyDescent="0.35">
      <c r="A1123" s="615" t="s">
        <v>3694</v>
      </c>
      <c r="B1123" s="616" t="str">
        <f t="shared" si="17"/>
        <v/>
      </c>
      <c r="C1123" s="665"/>
      <c r="D1123" s="655">
        <v>2</v>
      </c>
      <c r="E1123" s="236"/>
      <c r="F1123" s="232" t="s">
        <v>2539</v>
      </c>
      <c r="G1123" s="239" t="s">
        <v>2585</v>
      </c>
      <c r="H1123" s="652"/>
      <c r="I1123" s="656"/>
      <c r="J1123" s="654"/>
    </row>
    <row r="1124" spans="1:10" x14ac:dyDescent="0.35">
      <c r="A1124" s="615" t="s">
        <v>3695</v>
      </c>
      <c r="B1124" s="616" t="str">
        <f t="shared" si="17"/>
        <v/>
      </c>
      <c r="C1124" s="665"/>
      <c r="D1124" s="655">
        <v>2</v>
      </c>
      <c r="E1124" s="236"/>
      <c r="F1124" s="232" t="s">
        <v>2539</v>
      </c>
      <c r="G1124" s="239" t="s">
        <v>2585</v>
      </c>
      <c r="H1124" s="652"/>
      <c r="I1124" s="656"/>
      <c r="J1124" s="654"/>
    </row>
    <row r="1125" spans="1:10" x14ac:dyDescent="0.35">
      <c r="A1125" s="615" t="s">
        <v>3696</v>
      </c>
      <c r="B1125" s="616" t="str">
        <f t="shared" si="17"/>
        <v/>
      </c>
      <c r="C1125" s="665"/>
      <c r="D1125" s="655">
        <v>2</v>
      </c>
      <c r="E1125" s="236"/>
      <c r="F1125" s="232" t="s">
        <v>2539</v>
      </c>
      <c r="G1125" s="239" t="s">
        <v>2585</v>
      </c>
      <c r="H1125" s="652"/>
      <c r="I1125" s="656"/>
      <c r="J1125" s="654"/>
    </row>
    <row r="1126" spans="1:10" x14ac:dyDescent="0.35">
      <c r="A1126" s="615" t="s">
        <v>3697</v>
      </c>
      <c r="B1126" s="616" t="str">
        <f t="shared" si="17"/>
        <v/>
      </c>
      <c r="C1126" s="665"/>
      <c r="D1126" s="655">
        <v>2</v>
      </c>
      <c r="E1126" s="236"/>
      <c r="F1126" s="232" t="s">
        <v>2539</v>
      </c>
      <c r="G1126" s="239" t="s">
        <v>2585</v>
      </c>
      <c r="H1126" s="652"/>
      <c r="I1126" s="656"/>
      <c r="J1126" s="654"/>
    </row>
    <row r="1127" spans="1:10" x14ac:dyDescent="0.35">
      <c r="A1127" s="615" t="s">
        <v>3698</v>
      </c>
      <c r="B1127" s="616" t="str">
        <f t="shared" si="17"/>
        <v/>
      </c>
      <c r="C1127" s="665"/>
      <c r="D1127" s="655">
        <v>2</v>
      </c>
      <c r="E1127" s="236"/>
      <c r="F1127" s="232" t="s">
        <v>2539</v>
      </c>
      <c r="G1127" s="239" t="s">
        <v>2585</v>
      </c>
      <c r="H1127" s="652"/>
      <c r="I1127" s="656"/>
      <c r="J1127" s="654"/>
    </row>
    <row r="1128" spans="1:10" ht="48" x14ac:dyDescent="0.35">
      <c r="A1128" s="615" t="s">
        <v>3699</v>
      </c>
      <c r="B1128" s="616" t="str">
        <f t="shared" si="17"/>
        <v/>
      </c>
      <c r="C1128" s="665"/>
      <c r="D1128" s="655" t="s">
        <v>75</v>
      </c>
      <c r="E1128" s="236"/>
      <c r="F1128" s="232" t="s">
        <v>76</v>
      </c>
      <c r="G1128" s="657" t="s">
        <v>2591</v>
      </c>
      <c r="H1128" s="652"/>
      <c r="I1128" s="656"/>
      <c r="J1128" s="654"/>
    </row>
    <row r="1129" spans="1:10" x14ac:dyDescent="0.35">
      <c r="A1129" s="615" t="s">
        <v>3700</v>
      </c>
      <c r="B1129" s="616" t="str">
        <f t="shared" si="17"/>
        <v/>
      </c>
      <c r="C1129" s="665"/>
      <c r="D1129" s="655">
        <v>2</v>
      </c>
      <c r="E1129" s="236"/>
      <c r="F1129" s="232" t="s">
        <v>2539</v>
      </c>
      <c r="G1129" s="239"/>
      <c r="H1129" s="652"/>
      <c r="I1129" s="656"/>
      <c r="J1129" s="654"/>
    </row>
    <row r="1130" spans="1:10" x14ac:dyDescent="0.35">
      <c r="A1130" s="615" t="s">
        <v>3701</v>
      </c>
      <c r="B1130" s="616" t="str">
        <f t="shared" si="17"/>
        <v/>
      </c>
      <c r="C1130" s="665"/>
      <c r="D1130" s="655">
        <v>0</v>
      </c>
      <c r="E1130" s="236"/>
      <c r="F1130" s="232" t="s">
        <v>2538</v>
      </c>
      <c r="G1130" s="239"/>
      <c r="H1130" s="652"/>
      <c r="I1130" s="656"/>
      <c r="J1130" s="654"/>
    </row>
    <row r="1131" spans="1:10" x14ac:dyDescent="0.35">
      <c r="A1131" s="615" t="s">
        <v>3702</v>
      </c>
      <c r="B1131" s="616" t="str">
        <f t="shared" si="17"/>
        <v/>
      </c>
      <c r="C1131" s="665"/>
      <c r="D1131" s="655">
        <v>0</v>
      </c>
      <c r="E1131" s="236"/>
      <c r="F1131" s="232" t="s">
        <v>2538</v>
      </c>
      <c r="G1131" s="239"/>
      <c r="H1131" s="652"/>
      <c r="I1131" s="656"/>
      <c r="J1131" s="654"/>
    </row>
    <row r="1132" spans="1:10" x14ac:dyDescent="0.35">
      <c r="A1132" s="615" t="s">
        <v>3703</v>
      </c>
      <c r="B1132" s="616" t="str">
        <f t="shared" si="17"/>
        <v/>
      </c>
      <c r="C1132" s="665"/>
      <c r="D1132" s="655">
        <v>0</v>
      </c>
      <c r="E1132" s="236"/>
      <c r="F1132" s="232" t="s">
        <v>2538</v>
      </c>
      <c r="G1132" s="239"/>
      <c r="H1132" s="652"/>
      <c r="I1132" s="656"/>
      <c r="J1132" s="654"/>
    </row>
    <row r="1133" spans="1:10" x14ac:dyDescent="0.35">
      <c r="A1133" s="615" t="s">
        <v>3704</v>
      </c>
      <c r="B1133" s="616" t="str">
        <f t="shared" si="17"/>
        <v/>
      </c>
      <c r="C1133" s="665"/>
      <c r="D1133" s="651">
        <v>2</v>
      </c>
      <c r="E1133" s="236"/>
      <c r="F1133" s="232" t="s">
        <v>2572</v>
      </c>
      <c r="G1133" s="239"/>
      <c r="H1133" s="652"/>
      <c r="I1133" s="656"/>
      <c r="J1133" s="654"/>
    </row>
    <row r="1134" spans="1:10" x14ac:dyDescent="0.35">
      <c r="A1134" s="615" t="s">
        <v>3705</v>
      </c>
      <c r="B1134" s="616" t="str">
        <f t="shared" si="17"/>
        <v/>
      </c>
      <c r="C1134" s="665"/>
      <c r="D1134" s="651">
        <v>2</v>
      </c>
      <c r="E1134" s="236"/>
      <c r="F1134" s="232" t="s">
        <v>2572</v>
      </c>
      <c r="G1134" s="239"/>
      <c r="H1134" s="652"/>
      <c r="I1134" s="656"/>
      <c r="J1134" s="654"/>
    </row>
    <row r="1135" spans="1:10" x14ac:dyDescent="0.35">
      <c r="A1135" s="615" t="s">
        <v>3706</v>
      </c>
      <c r="B1135" s="616" t="str">
        <f t="shared" si="17"/>
        <v/>
      </c>
      <c r="C1135" s="665"/>
      <c r="D1135" s="651">
        <v>2</v>
      </c>
      <c r="E1135" s="236"/>
      <c r="F1135" s="232" t="s">
        <v>2572</v>
      </c>
      <c r="G1135" s="239"/>
      <c r="H1135" s="652"/>
      <c r="I1135" s="656"/>
      <c r="J1135" s="654"/>
    </row>
    <row r="1136" spans="1:10" x14ac:dyDescent="0.35">
      <c r="A1136" s="615" t="s">
        <v>3707</v>
      </c>
      <c r="B1136" s="616" t="str">
        <f t="shared" si="17"/>
        <v/>
      </c>
      <c r="C1136" s="665"/>
      <c r="D1136" s="651">
        <v>2</v>
      </c>
      <c r="E1136" s="236"/>
      <c r="F1136" s="232" t="s">
        <v>2572</v>
      </c>
      <c r="G1136" s="239"/>
      <c r="H1136" s="652"/>
      <c r="I1136" s="656"/>
      <c r="J1136" s="654"/>
    </row>
    <row r="1137" spans="1:10" x14ac:dyDescent="0.35">
      <c r="A1137" s="615" t="s">
        <v>3708</v>
      </c>
      <c r="B1137" s="616" t="str">
        <f t="shared" si="17"/>
        <v/>
      </c>
      <c r="C1137" s="665"/>
      <c r="D1137" s="651">
        <v>2</v>
      </c>
      <c r="E1137" s="236"/>
      <c r="F1137" s="232" t="s">
        <v>2572</v>
      </c>
      <c r="G1137" s="239"/>
      <c r="H1137" s="652"/>
      <c r="I1137" s="656"/>
      <c r="J1137" s="654"/>
    </row>
    <row r="1138" spans="1:10" x14ac:dyDescent="0.35">
      <c r="A1138" s="615" t="s">
        <v>3709</v>
      </c>
      <c r="B1138" s="616" t="str">
        <f t="shared" si="17"/>
        <v/>
      </c>
      <c r="C1138" s="665"/>
      <c r="D1138" s="655">
        <v>6</v>
      </c>
      <c r="E1138" s="236"/>
      <c r="F1138" s="232" t="s">
        <v>2579</v>
      </c>
      <c r="G1138" s="239" t="s">
        <v>2583</v>
      </c>
      <c r="H1138" s="652"/>
      <c r="I1138" s="656"/>
      <c r="J1138" s="654"/>
    </row>
    <row r="1139" spans="1:10" x14ac:dyDescent="0.35">
      <c r="A1139" s="615" t="s">
        <v>3710</v>
      </c>
      <c r="B1139" s="616" t="str">
        <f t="shared" si="17"/>
        <v/>
      </c>
      <c r="C1139" s="665"/>
      <c r="D1139" s="655" t="s">
        <v>75</v>
      </c>
      <c r="E1139" s="236"/>
      <c r="F1139" s="232" t="s">
        <v>76</v>
      </c>
      <c r="G1139" s="239"/>
      <c r="H1139" s="652"/>
      <c r="I1139" s="656"/>
      <c r="J1139" s="654"/>
    </row>
    <row r="1140" spans="1:10" x14ac:dyDescent="0.35">
      <c r="A1140" s="615" t="s">
        <v>3711</v>
      </c>
      <c r="B1140" s="616" t="str">
        <f t="shared" si="17"/>
        <v/>
      </c>
      <c r="C1140" s="665"/>
      <c r="D1140" s="655">
        <v>2</v>
      </c>
      <c r="E1140" s="236"/>
      <c r="F1140" s="232" t="s">
        <v>2539</v>
      </c>
      <c r="G1140" s="239" t="s">
        <v>2585</v>
      </c>
      <c r="H1140" s="652"/>
      <c r="I1140" s="656"/>
      <c r="J1140" s="654"/>
    </row>
    <row r="1141" spans="1:10" x14ac:dyDescent="0.35">
      <c r="A1141" s="615" t="s">
        <v>3712</v>
      </c>
      <c r="B1141" s="616" t="str">
        <f t="shared" si="17"/>
        <v/>
      </c>
      <c r="C1141" s="665"/>
      <c r="D1141" s="655">
        <v>2</v>
      </c>
      <c r="E1141" s="236"/>
      <c r="F1141" s="232" t="s">
        <v>2539</v>
      </c>
      <c r="G1141" s="239" t="s">
        <v>2585</v>
      </c>
      <c r="H1141" s="652"/>
      <c r="I1141" s="656"/>
      <c r="J1141" s="654"/>
    </row>
    <row r="1142" spans="1:10" x14ac:dyDescent="0.35">
      <c r="A1142" s="615" t="s">
        <v>3713</v>
      </c>
      <c r="B1142" s="616" t="str">
        <f t="shared" si="17"/>
        <v/>
      </c>
      <c r="C1142" s="665"/>
      <c r="D1142" s="655">
        <v>2</v>
      </c>
      <c r="E1142" s="236"/>
      <c r="F1142" s="232" t="s">
        <v>2539</v>
      </c>
      <c r="G1142" s="239" t="s">
        <v>2585</v>
      </c>
      <c r="H1142" s="652"/>
      <c r="I1142" s="656"/>
      <c r="J1142" s="654"/>
    </row>
    <row r="1143" spans="1:10" x14ac:dyDescent="0.35">
      <c r="A1143" s="615" t="s">
        <v>3714</v>
      </c>
      <c r="B1143" s="616" t="str">
        <f t="shared" si="17"/>
        <v/>
      </c>
      <c r="C1143" s="665"/>
      <c r="D1143" s="655">
        <v>2</v>
      </c>
      <c r="E1143" s="236"/>
      <c r="F1143" s="232" t="s">
        <v>2539</v>
      </c>
      <c r="G1143" s="239" t="s">
        <v>2585</v>
      </c>
      <c r="H1143" s="652"/>
      <c r="I1143" s="656"/>
      <c r="J1143" s="654"/>
    </row>
    <row r="1144" spans="1:10" x14ac:dyDescent="0.35">
      <c r="A1144" s="615" t="s">
        <v>3715</v>
      </c>
      <c r="B1144" s="616" t="str">
        <f t="shared" si="17"/>
        <v/>
      </c>
      <c r="C1144" s="665"/>
      <c r="D1144" s="655">
        <v>2</v>
      </c>
      <c r="E1144" s="236"/>
      <c r="F1144" s="232" t="s">
        <v>2539</v>
      </c>
      <c r="G1144" s="239" t="s">
        <v>2585</v>
      </c>
      <c r="H1144" s="652"/>
      <c r="I1144" s="656"/>
      <c r="J1144" s="654"/>
    </row>
    <row r="1145" spans="1:10" x14ac:dyDescent="0.35">
      <c r="A1145" s="615" t="s">
        <v>3716</v>
      </c>
      <c r="B1145" s="616" t="str">
        <f t="shared" si="17"/>
        <v/>
      </c>
      <c r="C1145" s="665"/>
      <c r="D1145" s="655">
        <v>2</v>
      </c>
      <c r="E1145" s="236"/>
      <c r="F1145" s="232" t="s">
        <v>2539</v>
      </c>
      <c r="G1145" s="239" t="s">
        <v>2585</v>
      </c>
      <c r="H1145" s="652"/>
      <c r="I1145" s="656"/>
      <c r="J1145" s="654"/>
    </row>
    <row r="1146" spans="1:10" ht="48" x14ac:dyDescent="0.35">
      <c r="A1146" s="615" t="s">
        <v>3717</v>
      </c>
      <c r="B1146" s="616" t="str">
        <f t="shared" si="17"/>
        <v/>
      </c>
      <c r="C1146" s="665"/>
      <c r="D1146" s="655" t="s">
        <v>75</v>
      </c>
      <c r="E1146" s="236"/>
      <c r="F1146" s="232" t="s">
        <v>76</v>
      </c>
      <c r="G1146" s="657" t="s">
        <v>2591</v>
      </c>
      <c r="H1146" s="652"/>
      <c r="I1146" s="656"/>
      <c r="J1146" s="654"/>
    </row>
    <row r="1147" spans="1:10" x14ac:dyDescent="0.35">
      <c r="A1147" s="615" t="s">
        <v>3718</v>
      </c>
      <c r="B1147" s="616" t="str">
        <f t="shared" si="17"/>
        <v/>
      </c>
      <c r="C1147" s="665"/>
      <c r="D1147" s="655">
        <v>2</v>
      </c>
      <c r="E1147" s="236"/>
      <c r="F1147" s="232" t="s">
        <v>2539</v>
      </c>
      <c r="G1147" s="239"/>
      <c r="H1147" s="652"/>
      <c r="I1147" s="656"/>
      <c r="J1147" s="654"/>
    </row>
    <row r="1148" spans="1:10" x14ac:dyDescent="0.35">
      <c r="A1148" s="615" t="s">
        <v>3719</v>
      </c>
      <c r="B1148" s="616" t="str">
        <f t="shared" si="17"/>
        <v/>
      </c>
      <c r="C1148" s="665"/>
      <c r="D1148" s="655">
        <v>0</v>
      </c>
      <c r="E1148" s="236"/>
      <c r="F1148" s="232" t="s">
        <v>2538</v>
      </c>
      <c r="G1148" s="239"/>
      <c r="H1148" s="652"/>
      <c r="I1148" s="656"/>
      <c r="J1148" s="654"/>
    </row>
    <row r="1149" spans="1:10" x14ac:dyDescent="0.35">
      <c r="A1149" s="615" t="s">
        <v>3720</v>
      </c>
      <c r="B1149" s="616" t="str">
        <f t="shared" si="17"/>
        <v/>
      </c>
      <c r="C1149" s="665"/>
      <c r="D1149" s="655">
        <v>0</v>
      </c>
      <c r="E1149" s="236"/>
      <c r="F1149" s="232" t="s">
        <v>2538</v>
      </c>
      <c r="G1149" s="239"/>
      <c r="H1149" s="652"/>
      <c r="I1149" s="656"/>
      <c r="J1149" s="654"/>
    </row>
    <row r="1150" spans="1:10" x14ac:dyDescent="0.35">
      <c r="A1150" s="615" t="s">
        <v>3721</v>
      </c>
      <c r="B1150" s="616" t="str">
        <f t="shared" si="17"/>
        <v/>
      </c>
      <c r="C1150" s="665"/>
      <c r="D1150" s="655">
        <v>0</v>
      </c>
      <c r="E1150" s="236"/>
      <c r="F1150" s="232" t="s">
        <v>2538</v>
      </c>
      <c r="G1150" s="239"/>
      <c r="H1150" s="652"/>
      <c r="I1150" s="656"/>
      <c r="J1150" s="654"/>
    </row>
    <row r="1151" spans="1:10" x14ac:dyDescent="0.35">
      <c r="A1151" s="615" t="s">
        <v>3722</v>
      </c>
      <c r="B1151" s="616" t="str">
        <f t="shared" si="17"/>
        <v/>
      </c>
      <c r="C1151" s="665"/>
      <c r="D1151" s="651">
        <v>2</v>
      </c>
      <c r="E1151" s="236"/>
      <c r="F1151" s="232" t="s">
        <v>2572</v>
      </c>
      <c r="G1151" s="239"/>
      <c r="H1151" s="652"/>
      <c r="I1151" s="656"/>
      <c r="J1151" s="654"/>
    </row>
    <row r="1152" spans="1:10" x14ac:dyDescent="0.35">
      <c r="A1152" s="615" t="s">
        <v>3723</v>
      </c>
      <c r="B1152" s="616" t="str">
        <f t="shared" si="17"/>
        <v/>
      </c>
      <c r="C1152" s="665"/>
      <c r="D1152" s="651">
        <v>2</v>
      </c>
      <c r="E1152" s="236"/>
      <c r="F1152" s="232" t="s">
        <v>2572</v>
      </c>
      <c r="G1152" s="239"/>
      <c r="H1152" s="652"/>
      <c r="I1152" s="656"/>
      <c r="J1152" s="654"/>
    </row>
    <row r="1153" spans="1:10" x14ac:dyDescent="0.35">
      <c r="A1153" s="615" t="s">
        <v>3724</v>
      </c>
      <c r="B1153" s="616" t="str">
        <f t="shared" si="17"/>
        <v/>
      </c>
      <c r="C1153" s="665"/>
      <c r="D1153" s="651">
        <v>2</v>
      </c>
      <c r="E1153" s="236"/>
      <c r="F1153" s="232" t="s">
        <v>2572</v>
      </c>
      <c r="G1153" s="239"/>
      <c r="H1153" s="652"/>
      <c r="I1153" s="656"/>
      <c r="J1153" s="654"/>
    </row>
    <row r="1154" spans="1:10" x14ac:dyDescent="0.35">
      <c r="A1154" s="615" t="s">
        <v>3725</v>
      </c>
      <c r="B1154" s="616" t="str">
        <f t="shared" si="17"/>
        <v/>
      </c>
      <c r="C1154" s="665"/>
      <c r="D1154" s="651">
        <v>2</v>
      </c>
      <c r="E1154" s="236"/>
      <c r="F1154" s="232" t="s">
        <v>2572</v>
      </c>
      <c r="G1154" s="239"/>
      <c r="H1154" s="652"/>
      <c r="I1154" s="656"/>
      <c r="J1154" s="654"/>
    </row>
    <row r="1155" spans="1:10" x14ac:dyDescent="0.35">
      <c r="A1155" s="615" t="s">
        <v>3726</v>
      </c>
      <c r="B1155" s="616" t="str">
        <f t="shared" si="17"/>
        <v/>
      </c>
      <c r="C1155" s="665"/>
      <c r="D1155" s="651">
        <v>2</v>
      </c>
      <c r="E1155" s="236"/>
      <c r="F1155" s="232" t="s">
        <v>2572</v>
      </c>
      <c r="G1155" s="239"/>
      <c r="H1155" s="652"/>
      <c r="I1155" s="656"/>
      <c r="J1155" s="654"/>
    </row>
    <row r="1156" spans="1:10" x14ac:dyDescent="0.35">
      <c r="A1156" s="615" t="s">
        <v>3727</v>
      </c>
      <c r="B1156" s="616" t="str">
        <f t="shared" ref="B1156:B1201" si="18">IF(C1156="","",IF(D1156="Datum",TEXT(DAY(C1156),"00")&amp;"."&amp;TEXT(MONTH(C1156),"00")&amp;"."&amp;TEXT(YEAR(C1156),"0000"),IF(AND(ISNUMBER(C1156),D1156="x"),TEXT(C1156,"@"),IF(ISNUMBER(C1156),TEXT(ROUNDDOWN(C1156,0),0)&amp;IF(D1156=0,"","."&amp;IF(C1156-ROUNDDOWN(C1156,0)=0,LEFT("0000000000",D1156),TEXT((C1156-ROUNDDOWN(C1156,0))*(1&amp; LEFT("0000000000",$D1156)),LEFT("0000000000",$D1156)))),C1156))))</f>
        <v/>
      </c>
      <c r="C1156" s="665"/>
      <c r="D1156" s="655">
        <v>6</v>
      </c>
      <c r="E1156" s="236"/>
      <c r="F1156" s="232" t="s">
        <v>2579</v>
      </c>
      <c r="G1156" s="239" t="s">
        <v>2583</v>
      </c>
      <c r="H1156" s="652"/>
      <c r="I1156" s="656"/>
      <c r="J1156" s="654"/>
    </row>
    <row r="1157" spans="1:10" x14ac:dyDescent="0.35">
      <c r="A1157" s="615" t="s">
        <v>3728</v>
      </c>
      <c r="B1157" s="616" t="str">
        <f t="shared" si="18"/>
        <v/>
      </c>
      <c r="C1157" s="665"/>
      <c r="D1157" s="655" t="s">
        <v>75</v>
      </c>
      <c r="E1157" s="236"/>
      <c r="F1157" s="232" t="s">
        <v>76</v>
      </c>
      <c r="G1157" s="239"/>
      <c r="H1157" s="652"/>
      <c r="I1157" s="656"/>
      <c r="J1157" s="654"/>
    </row>
    <row r="1158" spans="1:10" x14ac:dyDescent="0.35">
      <c r="A1158" s="615" t="s">
        <v>3729</v>
      </c>
      <c r="B1158" s="616" t="str">
        <f t="shared" si="18"/>
        <v/>
      </c>
      <c r="C1158" s="665"/>
      <c r="D1158" s="655">
        <v>2</v>
      </c>
      <c r="E1158" s="236"/>
      <c r="F1158" s="232" t="s">
        <v>2539</v>
      </c>
      <c r="G1158" s="239" t="s">
        <v>2585</v>
      </c>
      <c r="H1158" s="652"/>
      <c r="I1158" s="656"/>
      <c r="J1158" s="654"/>
    </row>
    <row r="1159" spans="1:10" x14ac:dyDescent="0.35">
      <c r="A1159" s="615" t="s">
        <v>3730</v>
      </c>
      <c r="B1159" s="616" t="str">
        <f t="shared" si="18"/>
        <v/>
      </c>
      <c r="C1159" s="665"/>
      <c r="D1159" s="655">
        <v>2</v>
      </c>
      <c r="E1159" s="236"/>
      <c r="F1159" s="232" t="s">
        <v>2539</v>
      </c>
      <c r="G1159" s="239" t="s">
        <v>2585</v>
      </c>
      <c r="H1159" s="652"/>
      <c r="I1159" s="656"/>
      <c r="J1159" s="654"/>
    </row>
    <row r="1160" spans="1:10" x14ac:dyDescent="0.35">
      <c r="A1160" s="615" t="s">
        <v>3731</v>
      </c>
      <c r="B1160" s="616" t="str">
        <f t="shared" si="18"/>
        <v/>
      </c>
      <c r="C1160" s="665"/>
      <c r="D1160" s="655">
        <v>2</v>
      </c>
      <c r="E1160" s="236"/>
      <c r="F1160" s="232" t="s">
        <v>2539</v>
      </c>
      <c r="G1160" s="239" t="s">
        <v>2585</v>
      </c>
      <c r="H1160" s="652"/>
      <c r="I1160" s="656"/>
      <c r="J1160" s="654"/>
    </row>
    <row r="1161" spans="1:10" x14ac:dyDescent="0.35">
      <c r="A1161" s="615" t="s">
        <v>3732</v>
      </c>
      <c r="B1161" s="616" t="str">
        <f t="shared" si="18"/>
        <v/>
      </c>
      <c r="C1161" s="665"/>
      <c r="D1161" s="655">
        <v>2</v>
      </c>
      <c r="E1161" s="236"/>
      <c r="F1161" s="232" t="s">
        <v>2539</v>
      </c>
      <c r="G1161" s="239" t="s">
        <v>2585</v>
      </c>
      <c r="H1161" s="652"/>
      <c r="I1161" s="656"/>
      <c r="J1161" s="654"/>
    </row>
    <row r="1162" spans="1:10" x14ac:dyDescent="0.35">
      <c r="A1162" s="615" t="s">
        <v>3733</v>
      </c>
      <c r="B1162" s="616" t="str">
        <f t="shared" si="18"/>
        <v/>
      </c>
      <c r="C1162" s="665"/>
      <c r="D1162" s="655">
        <v>2</v>
      </c>
      <c r="E1162" s="236"/>
      <c r="F1162" s="232" t="s">
        <v>2539</v>
      </c>
      <c r="G1162" s="239" t="s">
        <v>2585</v>
      </c>
      <c r="H1162" s="652"/>
      <c r="I1162" s="656"/>
      <c r="J1162" s="654"/>
    </row>
    <row r="1163" spans="1:10" x14ac:dyDescent="0.35">
      <c r="A1163" s="615" t="s">
        <v>3734</v>
      </c>
      <c r="B1163" s="616" t="str">
        <f t="shared" si="18"/>
        <v/>
      </c>
      <c r="C1163" s="665"/>
      <c r="D1163" s="655">
        <v>2</v>
      </c>
      <c r="E1163" s="236"/>
      <c r="F1163" s="232" t="s">
        <v>2539</v>
      </c>
      <c r="G1163" s="239" t="s">
        <v>2585</v>
      </c>
      <c r="H1163" s="652"/>
      <c r="I1163" s="656"/>
      <c r="J1163" s="654"/>
    </row>
    <row r="1164" spans="1:10" ht="48" x14ac:dyDescent="0.35">
      <c r="A1164" s="615" t="s">
        <v>3735</v>
      </c>
      <c r="B1164" s="616" t="str">
        <f t="shared" si="18"/>
        <v/>
      </c>
      <c r="C1164" s="665"/>
      <c r="D1164" s="655" t="s">
        <v>75</v>
      </c>
      <c r="E1164" s="236"/>
      <c r="F1164" s="232" t="s">
        <v>76</v>
      </c>
      <c r="G1164" s="657" t="s">
        <v>2591</v>
      </c>
      <c r="H1164" s="652"/>
      <c r="I1164" s="656"/>
      <c r="J1164" s="654"/>
    </row>
    <row r="1165" spans="1:10" x14ac:dyDescent="0.35">
      <c r="A1165" s="615" t="s">
        <v>3736</v>
      </c>
      <c r="B1165" s="616" t="str">
        <f t="shared" si="18"/>
        <v/>
      </c>
      <c r="C1165" s="665"/>
      <c r="D1165" s="655">
        <v>2</v>
      </c>
      <c r="E1165" s="236"/>
      <c r="F1165" s="232" t="s">
        <v>2539</v>
      </c>
      <c r="G1165" s="239"/>
      <c r="H1165" s="652"/>
      <c r="I1165" s="656"/>
      <c r="J1165" s="654"/>
    </row>
    <row r="1166" spans="1:10" x14ac:dyDescent="0.35">
      <c r="A1166" s="615" t="s">
        <v>3737</v>
      </c>
      <c r="B1166" s="616" t="str">
        <f t="shared" si="18"/>
        <v/>
      </c>
      <c r="C1166" s="665"/>
      <c r="D1166" s="655">
        <v>0</v>
      </c>
      <c r="E1166" s="236"/>
      <c r="F1166" s="232" t="s">
        <v>2538</v>
      </c>
      <c r="G1166" s="239"/>
      <c r="H1166" s="652"/>
      <c r="I1166" s="656"/>
      <c r="J1166" s="654"/>
    </row>
    <row r="1167" spans="1:10" x14ac:dyDescent="0.35">
      <c r="A1167" s="615" t="s">
        <v>3738</v>
      </c>
      <c r="B1167" s="616" t="str">
        <f t="shared" si="18"/>
        <v/>
      </c>
      <c r="C1167" s="665"/>
      <c r="D1167" s="655">
        <v>0</v>
      </c>
      <c r="E1167" s="236"/>
      <c r="F1167" s="232" t="s">
        <v>2538</v>
      </c>
      <c r="G1167" s="239"/>
      <c r="H1167" s="652"/>
      <c r="I1167" s="656"/>
      <c r="J1167" s="654"/>
    </row>
    <row r="1168" spans="1:10" x14ac:dyDescent="0.35">
      <c r="A1168" s="615" t="s">
        <v>3739</v>
      </c>
      <c r="B1168" s="616" t="str">
        <f t="shared" si="18"/>
        <v/>
      </c>
      <c r="C1168" s="665"/>
      <c r="D1168" s="655">
        <v>0</v>
      </c>
      <c r="E1168" s="236"/>
      <c r="F1168" s="232" t="s">
        <v>2538</v>
      </c>
      <c r="G1168" s="239"/>
      <c r="H1168" s="652"/>
      <c r="I1168" s="656"/>
      <c r="J1168" s="654"/>
    </row>
    <row r="1169" spans="1:10" x14ac:dyDescent="0.35">
      <c r="A1169" s="615" t="s">
        <v>3740</v>
      </c>
      <c r="B1169" s="616" t="str">
        <f t="shared" si="18"/>
        <v/>
      </c>
      <c r="C1169" s="665"/>
      <c r="D1169" s="651">
        <v>2</v>
      </c>
      <c r="E1169" s="236"/>
      <c r="F1169" s="232" t="s">
        <v>2572</v>
      </c>
      <c r="G1169" s="239"/>
      <c r="H1169" s="652"/>
      <c r="I1169" s="656"/>
      <c r="J1169" s="654"/>
    </row>
    <row r="1170" spans="1:10" x14ac:dyDescent="0.35">
      <c r="A1170" s="615" t="s">
        <v>3741</v>
      </c>
      <c r="B1170" s="616" t="str">
        <f t="shared" si="18"/>
        <v/>
      </c>
      <c r="C1170" s="665"/>
      <c r="D1170" s="651">
        <v>2</v>
      </c>
      <c r="E1170" s="236"/>
      <c r="F1170" s="232" t="s">
        <v>2572</v>
      </c>
      <c r="G1170" s="239"/>
      <c r="H1170" s="652"/>
      <c r="I1170" s="656"/>
      <c r="J1170" s="654"/>
    </row>
    <row r="1171" spans="1:10" x14ac:dyDescent="0.35">
      <c r="A1171" s="615" t="s">
        <v>3742</v>
      </c>
      <c r="B1171" s="616" t="str">
        <f t="shared" si="18"/>
        <v/>
      </c>
      <c r="C1171" s="665"/>
      <c r="D1171" s="651">
        <v>2</v>
      </c>
      <c r="E1171" s="236"/>
      <c r="F1171" s="232" t="s">
        <v>2572</v>
      </c>
      <c r="G1171" s="239"/>
      <c r="H1171" s="652"/>
      <c r="I1171" s="656"/>
      <c r="J1171" s="654"/>
    </row>
    <row r="1172" spans="1:10" x14ac:dyDescent="0.35">
      <c r="A1172" s="615" t="s">
        <v>3743</v>
      </c>
      <c r="B1172" s="616" t="str">
        <f t="shared" si="18"/>
        <v/>
      </c>
      <c r="C1172" s="665"/>
      <c r="D1172" s="651">
        <v>2</v>
      </c>
      <c r="E1172" s="236"/>
      <c r="F1172" s="232" t="s">
        <v>2572</v>
      </c>
      <c r="G1172" s="239"/>
      <c r="H1172" s="652"/>
      <c r="I1172" s="656"/>
      <c r="J1172" s="654"/>
    </row>
    <row r="1173" spans="1:10" x14ac:dyDescent="0.35">
      <c r="A1173" s="615" t="s">
        <v>3744</v>
      </c>
      <c r="B1173" s="616" t="str">
        <f t="shared" si="18"/>
        <v/>
      </c>
      <c r="C1173" s="665"/>
      <c r="D1173" s="651">
        <v>2</v>
      </c>
      <c r="E1173" s="236"/>
      <c r="F1173" s="232" t="s">
        <v>2572</v>
      </c>
      <c r="G1173" s="239"/>
      <c r="H1173" s="652"/>
      <c r="I1173" s="656"/>
      <c r="J1173" s="654"/>
    </row>
    <row r="1174" spans="1:10" x14ac:dyDescent="0.35">
      <c r="A1174" s="615" t="s">
        <v>3745</v>
      </c>
      <c r="B1174" s="616" t="str">
        <f t="shared" si="18"/>
        <v/>
      </c>
      <c r="C1174" s="665"/>
      <c r="D1174" s="655">
        <v>6</v>
      </c>
      <c r="E1174" s="236"/>
      <c r="F1174" s="232" t="s">
        <v>2579</v>
      </c>
      <c r="G1174" s="239" t="s">
        <v>2583</v>
      </c>
      <c r="H1174" s="652"/>
      <c r="I1174" s="656"/>
      <c r="J1174" s="654"/>
    </row>
    <row r="1175" spans="1:10" x14ac:dyDescent="0.35">
      <c r="A1175" s="615" t="s">
        <v>3746</v>
      </c>
      <c r="B1175" s="616" t="str">
        <f t="shared" si="18"/>
        <v/>
      </c>
      <c r="C1175" s="665"/>
      <c r="D1175" s="655" t="s">
        <v>75</v>
      </c>
      <c r="E1175" s="236"/>
      <c r="F1175" s="232" t="s">
        <v>76</v>
      </c>
      <c r="G1175" s="239"/>
      <c r="H1175" s="652"/>
      <c r="I1175" s="656"/>
      <c r="J1175" s="654"/>
    </row>
    <row r="1176" spans="1:10" x14ac:dyDescent="0.35">
      <c r="A1176" s="615" t="s">
        <v>3747</v>
      </c>
      <c r="B1176" s="616" t="str">
        <f t="shared" si="18"/>
        <v/>
      </c>
      <c r="C1176" s="665"/>
      <c r="D1176" s="655">
        <v>2</v>
      </c>
      <c r="E1176" s="236"/>
      <c r="F1176" s="232" t="s">
        <v>2539</v>
      </c>
      <c r="G1176" s="239" t="s">
        <v>2585</v>
      </c>
      <c r="H1176" s="652"/>
      <c r="I1176" s="656"/>
      <c r="J1176" s="654"/>
    </row>
    <row r="1177" spans="1:10" x14ac:dyDescent="0.35">
      <c r="A1177" s="615" t="s">
        <v>3748</v>
      </c>
      <c r="B1177" s="616" t="str">
        <f t="shared" si="18"/>
        <v/>
      </c>
      <c r="C1177" s="665"/>
      <c r="D1177" s="655">
        <v>2</v>
      </c>
      <c r="E1177" s="236"/>
      <c r="F1177" s="232" t="s">
        <v>2539</v>
      </c>
      <c r="G1177" s="239" t="s">
        <v>2585</v>
      </c>
      <c r="H1177" s="652"/>
      <c r="I1177" s="656"/>
      <c r="J1177" s="654"/>
    </row>
    <row r="1178" spans="1:10" x14ac:dyDescent="0.35">
      <c r="A1178" s="615" t="s">
        <v>3749</v>
      </c>
      <c r="B1178" s="616" t="str">
        <f t="shared" si="18"/>
        <v/>
      </c>
      <c r="C1178" s="665"/>
      <c r="D1178" s="655">
        <v>2</v>
      </c>
      <c r="E1178" s="236"/>
      <c r="F1178" s="232" t="s">
        <v>2539</v>
      </c>
      <c r="G1178" s="239" t="s">
        <v>2585</v>
      </c>
      <c r="H1178" s="652"/>
      <c r="I1178" s="656"/>
      <c r="J1178" s="654"/>
    </row>
    <row r="1179" spans="1:10" x14ac:dyDescent="0.35">
      <c r="A1179" s="615" t="s">
        <v>3750</v>
      </c>
      <c r="B1179" s="616" t="str">
        <f t="shared" si="18"/>
        <v/>
      </c>
      <c r="C1179" s="665"/>
      <c r="D1179" s="655">
        <v>2</v>
      </c>
      <c r="E1179" s="236"/>
      <c r="F1179" s="232" t="s">
        <v>2539</v>
      </c>
      <c r="G1179" s="239" t="s">
        <v>2585</v>
      </c>
      <c r="H1179" s="652"/>
      <c r="I1179" s="656"/>
      <c r="J1179" s="654"/>
    </row>
    <row r="1180" spans="1:10" x14ac:dyDescent="0.35">
      <c r="A1180" s="615" t="s">
        <v>3751</v>
      </c>
      <c r="B1180" s="616" t="str">
        <f t="shared" si="18"/>
        <v/>
      </c>
      <c r="C1180" s="665"/>
      <c r="D1180" s="655">
        <v>2</v>
      </c>
      <c r="E1180" s="236"/>
      <c r="F1180" s="232" t="s">
        <v>2539</v>
      </c>
      <c r="G1180" s="239" t="s">
        <v>2585</v>
      </c>
      <c r="H1180" s="652"/>
      <c r="I1180" s="656"/>
      <c r="J1180" s="654"/>
    </row>
    <row r="1181" spans="1:10" x14ac:dyDescent="0.35">
      <c r="A1181" s="615" t="s">
        <v>3752</v>
      </c>
      <c r="B1181" s="616" t="str">
        <f t="shared" si="18"/>
        <v/>
      </c>
      <c r="C1181" s="665"/>
      <c r="D1181" s="655">
        <v>2</v>
      </c>
      <c r="E1181" s="236"/>
      <c r="F1181" s="232" t="s">
        <v>2539</v>
      </c>
      <c r="G1181" s="239" t="s">
        <v>2585</v>
      </c>
      <c r="H1181" s="652"/>
      <c r="I1181" s="656"/>
      <c r="J1181" s="654"/>
    </row>
    <row r="1182" spans="1:10" ht="48" x14ac:dyDescent="0.35">
      <c r="A1182" s="615" t="s">
        <v>3753</v>
      </c>
      <c r="B1182" s="616" t="str">
        <f t="shared" si="18"/>
        <v/>
      </c>
      <c r="C1182" s="665"/>
      <c r="D1182" s="655" t="s">
        <v>75</v>
      </c>
      <c r="E1182" s="236"/>
      <c r="F1182" s="232" t="s">
        <v>76</v>
      </c>
      <c r="G1182" s="657" t="s">
        <v>2591</v>
      </c>
      <c r="H1182" s="652"/>
      <c r="I1182" s="656"/>
      <c r="J1182" s="654"/>
    </row>
    <row r="1183" spans="1:10" x14ac:dyDescent="0.35">
      <c r="A1183" s="615" t="s">
        <v>3754</v>
      </c>
      <c r="B1183" s="616" t="str">
        <f t="shared" si="18"/>
        <v/>
      </c>
      <c r="C1183" s="665"/>
      <c r="D1183" s="655">
        <v>2</v>
      </c>
      <c r="E1183" s="236"/>
      <c r="F1183" s="232" t="s">
        <v>2539</v>
      </c>
      <c r="G1183" s="239"/>
      <c r="H1183" s="652"/>
      <c r="I1183" s="656"/>
      <c r="J1183" s="654"/>
    </row>
    <row r="1184" spans="1:10" x14ac:dyDescent="0.35">
      <c r="A1184" s="615" t="s">
        <v>3755</v>
      </c>
      <c r="B1184" s="616" t="str">
        <f t="shared" si="18"/>
        <v/>
      </c>
      <c r="C1184" s="665"/>
      <c r="D1184" s="655">
        <v>0</v>
      </c>
      <c r="E1184" s="236"/>
      <c r="F1184" s="232" t="s">
        <v>2538</v>
      </c>
      <c r="G1184" s="239"/>
      <c r="H1184" s="652"/>
      <c r="I1184" s="656"/>
      <c r="J1184" s="654"/>
    </row>
    <row r="1185" spans="1:10" x14ac:dyDescent="0.35">
      <c r="A1185" s="615" t="s">
        <v>3756</v>
      </c>
      <c r="B1185" s="616" t="str">
        <f t="shared" si="18"/>
        <v/>
      </c>
      <c r="C1185" s="665"/>
      <c r="D1185" s="655">
        <v>0</v>
      </c>
      <c r="E1185" s="236"/>
      <c r="F1185" s="232" t="s">
        <v>2538</v>
      </c>
      <c r="G1185" s="239"/>
      <c r="H1185" s="652"/>
      <c r="I1185" s="656"/>
      <c r="J1185" s="654"/>
    </row>
    <row r="1186" spans="1:10" x14ac:dyDescent="0.35">
      <c r="A1186" s="615" t="s">
        <v>3757</v>
      </c>
      <c r="B1186" s="616" t="str">
        <f t="shared" si="18"/>
        <v/>
      </c>
      <c r="C1186" s="665"/>
      <c r="D1186" s="655">
        <v>0</v>
      </c>
      <c r="E1186" s="236"/>
      <c r="F1186" s="232" t="s">
        <v>2538</v>
      </c>
      <c r="G1186" s="239"/>
      <c r="H1186" s="652"/>
      <c r="I1186" s="656"/>
      <c r="J1186" s="654"/>
    </row>
    <row r="1187" spans="1:10" x14ac:dyDescent="0.35">
      <c r="A1187" s="615" t="s">
        <v>3758</v>
      </c>
      <c r="B1187" s="616" t="str">
        <f t="shared" si="18"/>
        <v/>
      </c>
      <c r="C1187" s="665"/>
      <c r="D1187" s="651">
        <v>2</v>
      </c>
      <c r="E1187" s="236"/>
      <c r="F1187" s="232" t="s">
        <v>2572</v>
      </c>
      <c r="G1187" s="239"/>
      <c r="H1187" s="652"/>
      <c r="I1187" s="656"/>
      <c r="J1187" s="654"/>
    </row>
    <row r="1188" spans="1:10" x14ac:dyDescent="0.35">
      <c r="A1188" s="615" t="s">
        <v>3759</v>
      </c>
      <c r="B1188" s="616" t="str">
        <f t="shared" si="18"/>
        <v/>
      </c>
      <c r="C1188" s="665"/>
      <c r="D1188" s="651">
        <v>2</v>
      </c>
      <c r="E1188" s="236"/>
      <c r="F1188" s="232" t="s">
        <v>2572</v>
      </c>
      <c r="G1188" s="239"/>
      <c r="H1188" s="652"/>
      <c r="I1188" s="656"/>
      <c r="J1188" s="654"/>
    </row>
    <row r="1189" spans="1:10" x14ac:dyDescent="0.35">
      <c r="A1189" s="615" t="s">
        <v>3760</v>
      </c>
      <c r="B1189" s="616" t="str">
        <f t="shared" si="18"/>
        <v/>
      </c>
      <c r="C1189" s="665"/>
      <c r="D1189" s="651">
        <v>2</v>
      </c>
      <c r="E1189" s="236"/>
      <c r="F1189" s="232" t="s">
        <v>2572</v>
      </c>
      <c r="G1189" s="239"/>
      <c r="H1189" s="652"/>
      <c r="I1189" s="656"/>
      <c r="J1189" s="654"/>
    </row>
    <row r="1190" spans="1:10" x14ac:dyDescent="0.35">
      <c r="A1190" s="615" t="s">
        <v>3761</v>
      </c>
      <c r="B1190" s="616" t="str">
        <f t="shared" si="18"/>
        <v/>
      </c>
      <c r="C1190" s="665"/>
      <c r="D1190" s="651">
        <v>2</v>
      </c>
      <c r="E1190" s="236"/>
      <c r="F1190" s="232" t="s">
        <v>2572</v>
      </c>
      <c r="G1190" s="239"/>
      <c r="H1190" s="652"/>
      <c r="I1190" s="656"/>
      <c r="J1190" s="654"/>
    </row>
    <row r="1191" spans="1:10" x14ac:dyDescent="0.35">
      <c r="A1191" s="615" t="s">
        <v>3762</v>
      </c>
      <c r="B1191" s="616" t="str">
        <f t="shared" si="18"/>
        <v/>
      </c>
      <c r="C1191" s="665"/>
      <c r="D1191" s="651">
        <v>2</v>
      </c>
      <c r="E1191" s="236"/>
      <c r="F1191" s="232" t="s">
        <v>2572</v>
      </c>
      <c r="G1191" s="239"/>
      <c r="H1191" s="652"/>
      <c r="I1191" s="656"/>
      <c r="J1191" s="654"/>
    </row>
    <row r="1192" spans="1:10" x14ac:dyDescent="0.35">
      <c r="A1192" s="615" t="s">
        <v>3763</v>
      </c>
      <c r="B1192" s="616" t="str">
        <f t="shared" si="18"/>
        <v/>
      </c>
      <c r="C1192" s="665"/>
      <c r="D1192" s="655">
        <v>6</v>
      </c>
      <c r="E1192" s="236"/>
      <c r="F1192" s="232" t="s">
        <v>2579</v>
      </c>
      <c r="G1192" s="239" t="s">
        <v>2583</v>
      </c>
      <c r="H1192" s="652"/>
      <c r="I1192" s="656"/>
      <c r="J1192" s="654"/>
    </row>
    <row r="1193" spans="1:10" x14ac:dyDescent="0.35">
      <c r="A1193" s="615" t="s">
        <v>3764</v>
      </c>
      <c r="B1193" s="616" t="str">
        <f t="shared" si="18"/>
        <v/>
      </c>
      <c r="C1193" s="665"/>
      <c r="D1193" s="655" t="s">
        <v>75</v>
      </c>
      <c r="E1193" s="236"/>
      <c r="F1193" s="232" t="s">
        <v>76</v>
      </c>
      <c r="G1193" s="239"/>
      <c r="H1193" s="652"/>
      <c r="I1193" s="656"/>
      <c r="J1193" s="654"/>
    </row>
    <row r="1194" spans="1:10" x14ac:dyDescent="0.35">
      <c r="A1194" s="615" t="s">
        <v>3765</v>
      </c>
      <c r="B1194" s="616" t="str">
        <f t="shared" si="18"/>
        <v/>
      </c>
      <c r="C1194" s="665"/>
      <c r="D1194" s="655">
        <v>2</v>
      </c>
      <c r="E1194" s="236"/>
      <c r="F1194" s="232" t="s">
        <v>2539</v>
      </c>
      <c r="G1194" s="239" t="s">
        <v>2585</v>
      </c>
      <c r="H1194" s="652"/>
      <c r="I1194" s="656"/>
      <c r="J1194" s="654"/>
    </row>
    <row r="1195" spans="1:10" x14ac:dyDescent="0.35">
      <c r="A1195" s="615" t="s">
        <v>3766</v>
      </c>
      <c r="B1195" s="616" t="str">
        <f t="shared" si="18"/>
        <v/>
      </c>
      <c r="C1195" s="665"/>
      <c r="D1195" s="655">
        <v>2</v>
      </c>
      <c r="E1195" s="236"/>
      <c r="F1195" s="232" t="s">
        <v>2539</v>
      </c>
      <c r="G1195" s="239" t="s">
        <v>2585</v>
      </c>
      <c r="H1195" s="652"/>
      <c r="I1195" s="656"/>
      <c r="J1195" s="654"/>
    </row>
    <row r="1196" spans="1:10" x14ac:dyDescent="0.35">
      <c r="A1196" s="615" t="s">
        <v>3767</v>
      </c>
      <c r="B1196" s="616" t="str">
        <f t="shared" si="18"/>
        <v/>
      </c>
      <c r="C1196" s="665"/>
      <c r="D1196" s="655">
        <v>2</v>
      </c>
      <c r="E1196" s="236"/>
      <c r="F1196" s="232" t="s">
        <v>2539</v>
      </c>
      <c r="G1196" s="239" t="s">
        <v>2585</v>
      </c>
      <c r="H1196" s="652"/>
      <c r="I1196" s="656"/>
      <c r="J1196" s="654"/>
    </row>
    <row r="1197" spans="1:10" x14ac:dyDescent="0.35">
      <c r="A1197" s="615" t="s">
        <v>3768</v>
      </c>
      <c r="B1197" s="616" t="str">
        <f t="shared" si="18"/>
        <v/>
      </c>
      <c r="C1197" s="665"/>
      <c r="D1197" s="655">
        <v>2</v>
      </c>
      <c r="E1197" s="236"/>
      <c r="F1197" s="232" t="s">
        <v>2539</v>
      </c>
      <c r="G1197" s="239" t="s">
        <v>2585</v>
      </c>
      <c r="H1197" s="652"/>
      <c r="I1197" s="656"/>
      <c r="J1197" s="654"/>
    </row>
    <row r="1198" spans="1:10" x14ac:dyDescent="0.35">
      <c r="A1198" s="615" t="s">
        <v>3769</v>
      </c>
      <c r="B1198" s="616" t="str">
        <f t="shared" si="18"/>
        <v/>
      </c>
      <c r="C1198" s="665"/>
      <c r="D1198" s="655">
        <v>2</v>
      </c>
      <c r="E1198" s="236"/>
      <c r="F1198" s="232" t="s">
        <v>2539</v>
      </c>
      <c r="G1198" s="239" t="s">
        <v>2585</v>
      </c>
      <c r="H1198" s="652"/>
      <c r="I1198" s="656"/>
      <c r="J1198" s="654"/>
    </row>
    <row r="1199" spans="1:10" x14ac:dyDescent="0.35">
      <c r="A1199" s="615" t="s">
        <v>3770</v>
      </c>
      <c r="B1199" s="616" t="str">
        <f t="shared" si="18"/>
        <v/>
      </c>
      <c r="C1199" s="665"/>
      <c r="D1199" s="655">
        <v>2</v>
      </c>
      <c r="E1199" s="236"/>
      <c r="F1199" s="232" t="s">
        <v>2539</v>
      </c>
      <c r="G1199" s="239" t="s">
        <v>2585</v>
      </c>
      <c r="H1199" s="652"/>
      <c r="I1199" s="656"/>
      <c r="J1199" s="654"/>
    </row>
    <row r="1200" spans="1:10" ht="48" x14ac:dyDescent="0.35">
      <c r="A1200" s="615" t="s">
        <v>3771</v>
      </c>
      <c r="B1200" s="616" t="str">
        <f t="shared" si="18"/>
        <v/>
      </c>
      <c r="C1200" s="665"/>
      <c r="D1200" s="655" t="s">
        <v>75</v>
      </c>
      <c r="E1200" s="236"/>
      <c r="F1200" s="232" t="s">
        <v>76</v>
      </c>
      <c r="G1200" s="657" t="s">
        <v>2591</v>
      </c>
      <c r="H1200" s="652"/>
      <c r="I1200" s="656"/>
      <c r="J1200" s="654"/>
    </row>
    <row r="1201" spans="1:10" x14ac:dyDescent="0.35">
      <c r="A1201" s="615" t="s">
        <v>3772</v>
      </c>
      <c r="B1201" s="616" t="str">
        <f t="shared" si="18"/>
        <v/>
      </c>
      <c r="C1201" s="665"/>
      <c r="D1201" s="655">
        <v>2</v>
      </c>
      <c r="E1201" s="236"/>
      <c r="F1201" s="232" t="s">
        <v>2539</v>
      </c>
      <c r="G1201" s="239"/>
      <c r="H1201" s="652"/>
      <c r="I1201" s="656"/>
      <c r="J1201" s="654"/>
    </row>
    <row r="1202" spans="1:10" x14ac:dyDescent="0.35">
      <c r="A1202" s="615" t="s">
        <v>3773</v>
      </c>
      <c r="B1202" s="616"/>
      <c r="C1202" s="650"/>
      <c r="D1202" s="655">
        <v>0</v>
      </c>
      <c r="E1202" s="236"/>
      <c r="F1202" s="232" t="s">
        <v>2538</v>
      </c>
      <c r="G1202" s="239"/>
      <c r="H1202" s="652"/>
      <c r="I1202" s="653"/>
      <c r="J1202" s="654"/>
    </row>
    <row r="1203" spans="1:10" x14ac:dyDescent="0.35">
      <c r="A1203" s="615" t="s">
        <v>3774</v>
      </c>
      <c r="B1203" s="616"/>
      <c r="C1203" s="650"/>
      <c r="D1203" s="655">
        <v>0</v>
      </c>
      <c r="E1203" s="236"/>
      <c r="F1203" s="232" t="s">
        <v>2538</v>
      </c>
      <c r="G1203" s="239"/>
      <c r="H1203" s="652"/>
      <c r="I1203" s="653"/>
      <c r="J1203" s="654"/>
    </row>
    <row r="1204" spans="1:10" x14ac:dyDescent="0.35">
      <c r="A1204" s="615" t="s">
        <v>3775</v>
      </c>
      <c r="B1204" s="616"/>
      <c r="C1204" s="650"/>
      <c r="D1204" s="655">
        <v>0</v>
      </c>
      <c r="E1204" s="236"/>
      <c r="F1204" s="232" t="s">
        <v>2538</v>
      </c>
      <c r="G1204" s="239"/>
      <c r="H1204" s="652"/>
      <c r="I1204" s="653"/>
      <c r="J1204" s="654"/>
    </row>
    <row r="1205" spans="1:10" x14ac:dyDescent="0.35">
      <c r="A1205" s="615" t="s">
        <v>3776</v>
      </c>
      <c r="B1205" s="616"/>
      <c r="C1205" s="665"/>
      <c r="D1205" s="655">
        <v>0</v>
      </c>
      <c r="E1205" s="236"/>
      <c r="F1205" s="232" t="s">
        <v>2538</v>
      </c>
      <c r="G1205" s="239"/>
      <c r="H1205" s="652"/>
      <c r="I1205" s="656"/>
      <c r="J1205" s="654"/>
    </row>
    <row r="1206" spans="1:10" x14ac:dyDescent="0.35">
      <c r="A1206" s="615" t="s">
        <v>3777</v>
      </c>
      <c r="B1206" s="616"/>
      <c r="C1206" s="665"/>
      <c r="D1206" s="655">
        <v>0</v>
      </c>
      <c r="E1206" s="236"/>
      <c r="F1206" s="232" t="s">
        <v>2538</v>
      </c>
      <c r="G1206" s="239"/>
      <c r="H1206" s="652"/>
      <c r="I1206" s="656"/>
      <c r="J1206" s="654"/>
    </row>
    <row r="1207" spans="1:10" x14ac:dyDescent="0.35">
      <c r="A1207" s="615" t="s">
        <v>3778</v>
      </c>
      <c r="B1207" s="616"/>
      <c r="C1207" s="650"/>
      <c r="D1207" s="651">
        <v>2</v>
      </c>
      <c r="E1207" s="236"/>
      <c r="F1207" s="232" t="s">
        <v>2572</v>
      </c>
      <c r="G1207" s="239"/>
      <c r="H1207" s="652"/>
      <c r="I1207" s="653"/>
      <c r="J1207" s="654"/>
    </row>
    <row r="1208" spans="1:10" x14ac:dyDescent="0.35">
      <c r="A1208" s="615" t="s">
        <v>3779</v>
      </c>
      <c r="B1208" s="616"/>
      <c r="C1208" s="665"/>
      <c r="D1208" s="651">
        <v>2</v>
      </c>
      <c r="E1208" s="236"/>
      <c r="F1208" s="232" t="s">
        <v>2572</v>
      </c>
      <c r="G1208" s="239"/>
      <c r="H1208" s="652"/>
      <c r="I1208" s="656"/>
      <c r="J1208" s="654"/>
    </row>
    <row r="1209" spans="1:10" ht="36" x14ac:dyDescent="0.35">
      <c r="A1209" s="615" t="s">
        <v>3780</v>
      </c>
      <c r="B1209" s="616"/>
      <c r="C1209" s="665"/>
      <c r="D1209" s="651">
        <v>2</v>
      </c>
      <c r="E1209" s="236"/>
      <c r="F1209" s="232" t="s">
        <v>2572</v>
      </c>
      <c r="G1209" s="666" t="s">
        <v>2575</v>
      </c>
      <c r="H1209" s="652"/>
      <c r="I1209" s="656"/>
      <c r="J1209" s="654"/>
    </row>
    <row r="1210" spans="1:10" x14ac:dyDescent="0.35">
      <c r="A1210" s="615" t="s">
        <v>3781</v>
      </c>
      <c r="B1210" s="616"/>
      <c r="C1210" s="665"/>
      <c r="D1210" s="655">
        <v>2</v>
      </c>
      <c r="E1210" s="236"/>
      <c r="F1210" s="232" t="s">
        <v>2572</v>
      </c>
      <c r="G1210" s="239"/>
      <c r="H1210" s="652"/>
      <c r="I1210" s="656"/>
      <c r="J1210" s="654"/>
    </row>
    <row r="1211" spans="1:10" x14ac:dyDescent="0.35">
      <c r="A1211" s="615" t="s">
        <v>3782</v>
      </c>
      <c r="B1211" s="616"/>
      <c r="C1211" s="665"/>
      <c r="D1211" s="655">
        <v>2</v>
      </c>
      <c r="E1211" s="236"/>
      <c r="F1211" s="232" t="s">
        <v>2572</v>
      </c>
      <c r="G1211" s="239"/>
      <c r="H1211" s="652"/>
      <c r="I1211" s="656"/>
      <c r="J1211" s="654"/>
    </row>
    <row r="1212" spans="1:10" x14ac:dyDescent="0.35">
      <c r="A1212" s="615" t="s">
        <v>3783</v>
      </c>
      <c r="B1212" s="616"/>
      <c r="C1212" s="665"/>
      <c r="D1212" s="655">
        <v>6</v>
      </c>
      <c r="E1212" s="236"/>
      <c r="F1212" s="232" t="s">
        <v>2579</v>
      </c>
      <c r="G1212" s="239" t="s">
        <v>2583</v>
      </c>
      <c r="H1212" s="652"/>
      <c r="I1212" s="656"/>
      <c r="J1212" s="654"/>
    </row>
    <row r="1213" spans="1:10" x14ac:dyDescent="0.35">
      <c r="A1213" s="615" t="s">
        <v>3784</v>
      </c>
      <c r="B1213" s="616"/>
      <c r="C1213" s="665"/>
      <c r="D1213" s="655" t="s">
        <v>75</v>
      </c>
      <c r="E1213" s="236"/>
      <c r="F1213" s="232" t="s">
        <v>76</v>
      </c>
      <c r="G1213" s="239"/>
      <c r="H1213" s="652"/>
      <c r="I1213" s="656"/>
      <c r="J1213" s="654"/>
    </row>
    <row r="1214" spans="1:10" x14ac:dyDescent="0.35">
      <c r="A1214" s="615" t="s">
        <v>3785</v>
      </c>
      <c r="B1214" s="616"/>
      <c r="C1214" s="650"/>
      <c r="D1214" s="655">
        <v>2</v>
      </c>
      <c r="E1214" s="236"/>
      <c r="F1214" s="232" t="s">
        <v>2539</v>
      </c>
      <c r="G1214" s="239" t="s">
        <v>2585</v>
      </c>
      <c r="H1214" s="652"/>
      <c r="I1214" s="653"/>
      <c r="J1214" s="654"/>
    </row>
    <row r="1215" spans="1:10" x14ac:dyDescent="0.35">
      <c r="A1215" s="615" t="s">
        <v>3786</v>
      </c>
      <c r="B1215" s="616"/>
      <c r="C1215" s="650"/>
      <c r="D1215" s="655">
        <v>2</v>
      </c>
      <c r="E1215" s="236"/>
      <c r="F1215" s="232" t="s">
        <v>2539</v>
      </c>
      <c r="G1215" s="239" t="s">
        <v>2585</v>
      </c>
      <c r="H1215" s="652"/>
      <c r="I1215" s="653"/>
      <c r="J1215" s="654"/>
    </row>
    <row r="1216" spans="1:10" x14ac:dyDescent="0.35">
      <c r="A1216" s="615" t="s">
        <v>3787</v>
      </c>
      <c r="B1216" s="616"/>
      <c r="C1216" s="665"/>
      <c r="D1216" s="655">
        <v>2</v>
      </c>
      <c r="E1216" s="236"/>
      <c r="F1216" s="232" t="s">
        <v>2539</v>
      </c>
      <c r="G1216" s="239" t="s">
        <v>2585</v>
      </c>
      <c r="H1216" s="652"/>
      <c r="I1216" s="656"/>
      <c r="J1216" s="654"/>
    </row>
    <row r="1217" spans="1:10" x14ac:dyDescent="0.35">
      <c r="A1217" s="615" t="s">
        <v>3788</v>
      </c>
      <c r="B1217" s="616"/>
      <c r="C1217" s="665"/>
      <c r="D1217" s="655">
        <v>2</v>
      </c>
      <c r="E1217" s="236"/>
      <c r="F1217" s="232" t="s">
        <v>2539</v>
      </c>
      <c r="G1217" s="239" t="s">
        <v>2585</v>
      </c>
      <c r="H1217" s="652"/>
      <c r="I1217" s="656"/>
      <c r="J1217" s="654"/>
    </row>
    <row r="1218" spans="1:10" x14ac:dyDescent="0.35">
      <c r="A1218" s="615" t="s">
        <v>3789</v>
      </c>
      <c r="B1218" s="616"/>
      <c r="C1218" s="665"/>
      <c r="D1218" s="655">
        <v>2</v>
      </c>
      <c r="E1218" s="236"/>
      <c r="F1218" s="232" t="s">
        <v>2539</v>
      </c>
      <c r="G1218" s="239" t="s">
        <v>2585</v>
      </c>
      <c r="H1218" s="652"/>
      <c r="I1218" s="656"/>
      <c r="J1218" s="654"/>
    </row>
    <row r="1219" spans="1:10" x14ac:dyDescent="0.35">
      <c r="A1219" s="615" t="s">
        <v>3790</v>
      </c>
      <c r="B1219" s="616"/>
      <c r="C1219" s="650"/>
      <c r="D1219" s="655">
        <v>2</v>
      </c>
      <c r="E1219" s="236"/>
      <c r="F1219" s="232" t="s">
        <v>2539</v>
      </c>
      <c r="G1219" s="239" t="s">
        <v>2585</v>
      </c>
      <c r="H1219" s="652"/>
      <c r="I1219" s="653"/>
      <c r="J1219" s="654"/>
    </row>
    <row r="1220" spans="1:10" ht="48" x14ac:dyDescent="0.35">
      <c r="A1220" s="615" t="s">
        <v>3791</v>
      </c>
      <c r="B1220" s="616"/>
      <c r="C1220" s="650"/>
      <c r="D1220" s="655" t="s">
        <v>75</v>
      </c>
      <c r="E1220" s="236"/>
      <c r="F1220" s="232" t="s">
        <v>76</v>
      </c>
      <c r="G1220" s="657" t="s">
        <v>2591</v>
      </c>
      <c r="H1220" s="652"/>
      <c r="I1220" s="653"/>
      <c r="J1220" s="654"/>
    </row>
    <row r="1221" spans="1:10" x14ac:dyDescent="0.35">
      <c r="A1221" s="615" t="s">
        <v>3792</v>
      </c>
      <c r="B1221" s="616"/>
      <c r="C1221" s="665"/>
      <c r="D1221" s="655">
        <v>2</v>
      </c>
      <c r="E1221" s="236"/>
      <c r="F1221" s="232" t="s">
        <v>2539</v>
      </c>
      <c r="G1221" s="239"/>
      <c r="H1221" s="652"/>
      <c r="I1221" s="656"/>
      <c r="J1221" s="654"/>
    </row>
    <row r="1222" spans="1:10" x14ac:dyDescent="0.35">
      <c r="A1222" s="615" t="s">
        <v>3793</v>
      </c>
      <c r="B1222" s="616" t="str">
        <f t="shared" ref="B1222:B1285" si="19">IF(C1222="","",IF(D1222="Datum",TEXT(DAY(C1222),"00")&amp;"."&amp;TEXT(MONTH(C1222),"00")&amp;"."&amp;TEXT(YEAR(C1222),"0000"),IF(AND(ISNUMBER(C1222),D1222="x"),TEXT(C1222,"@"),IF(ISNUMBER(C1222),TEXT(ROUNDDOWN(C1222,0),0)&amp;IF(D1222=0,"","."&amp;IF(C1222-ROUNDDOWN(C1222,0)=0,LEFT("0000000000",D1222),TEXT((C1222-ROUNDDOWN(C1222,0))*(1&amp; LEFT("0000000000",$D1222)),LEFT("0000000000",$D1222)))),C1222))))</f>
        <v/>
      </c>
      <c r="C1222" s="665"/>
      <c r="D1222" s="655">
        <v>0</v>
      </c>
      <c r="E1222" s="236"/>
      <c r="F1222" s="232" t="s">
        <v>2538</v>
      </c>
      <c r="G1222" s="239"/>
      <c r="H1222" s="652"/>
      <c r="I1222" s="656"/>
      <c r="J1222" s="654"/>
    </row>
    <row r="1223" spans="1:10" x14ac:dyDescent="0.35">
      <c r="A1223" s="615" t="s">
        <v>3794</v>
      </c>
      <c r="B1223" s="616" t="str">
        <f t="shared" si="19"/>
        <v/>
      </c>
      <c r="C1223" s="665"/>
      <c r="D1223" s="655">
        <v>0</v>
      </c>
      <c r="E1223" s="236"/>
      <c r="F1223" s="232" t="s">
        <v>2538</v>
      </c>
      <c r="G1223" s="239"/>
      <c r="H1223" s="652"/>
      <c r="I1223" s="656"/>
      <c r="J1223" s="654"/>
    </row>
    <row r="1224" spans="1:10" x14ac:dyDescent="0.35">
      <c r="A1224" s="615" t="s">
        <v>3795</v>
      </c>
      <c r="B1224" s="616" t="str">
        <f t="shared" si="19"/>
        <v/>
      </c>
      <c r="C1224" s="665"/>
      <c r="D1224" s="655">
        <v>0</v>
      </c>
      <c r="E1224" s="236"/>
      <c r="F1224" s="232" t="s">
        <v>2538</v>
      </c>
      <c r="G1224" s="239"/>
      <c r="H1224" s="652"/>
      <c r="I1224" s="656"/>
      <c r="J1224" s="654"/>
    </row>
    <row r="1225" spans="1:10" x14ac:dyDescent="0.35">
      <c r="A1225" s="615" t="s">
        <v>3796</v>
      </c>
      <c r="B1225" s="616" t="str">
        <f t="shared" si="19"/>
        <v/>
      </c>
      <c r="C1225" s="665"/>
      <c r="D1225" s="651">
        <v>2</v>
      </c>
      <c r="E1225" s="236"/>
      <c r="F1225" s="232" t="s">
        <v>2572</v>
      </c>
      <c r="G1225" s="239"/>
      <c r="H1225" s="652"/>
      <c r="I1225" s="656"/>
      <c r="J1225" s="654"/>
    </row>
    <row r="1226" spans="1:10" x14ac:dyDescent="0.35">
      <c r="A1226" s="615" t="s">
        <v>3797</v>
      </c>
      <c r="B1226" s="616" t="str">
        <f t="shared" si="19"/>
        <v/>
      </c>
      <c r="C1226" s="665"/>
      <c r="D1226" s="651">
        <v>2</v>
      </c>
      <c r="E1226" s="236"/>
      <c r="F1226" s="232" t="s">
        <v>2572</v>
      </c>
      <c r="G1226" s="239"/>
      <c r="H1226" s="652"/>
      <c r="I1226" s="656"/>
      <c r="J1226" s="654"/>
    </row>
    <row r="1227" spans="1:10" x14ac:dyDescent="0.35">
      <c r="A1227" s="615" t="s">
        <v>3798</v>
      </c>
      <c r="B1227" s="616" t="str">
        <f t="shared" si="19"/>
        <v/>
      </c>
      <c r="C1227" s="665"/>
      <c r="D1227" s="651">
        <v>2</v>
      </c>
      <c r="E1227" s="236"/>
      <c r="F1227" s="232" t="s">
        <v>2572</v>
      </c>
      <c r="G1227" s="239"/>
      <c r="H1227" s="652"/>
      <c r="I1227" s="656"/>
      <c r="J1227" s="654"/>
    </row>
    <row r="1228" spans="1:10" x14ac:dyDescent="0.35">
      <c r="A1228" s="615" t="s">
        <v>3799</v>
      </c>
      <c r="B1228" s="616" t="str">
        <f t="shared" si="19"/>
        <v/>
      </c>
      <c r="C1228" s="665"/>
      <c r="D1228" s="651">
        <v>2</v>
      </c>
      <c r="E1228" s="236"/>
      <c r="F1228" s="232" t="s">
        <v>2572</v>
      </c>
      <c r="G1228" s="239"/>
      <c r="H1228" s="652"/>
      <c r="I1228" s="656"/>
      <c r="J1228" s="654"/>
    </row>
    <row r="1229" spans="1:10" x14ac:dyDescent="0.35">
      <c r="A1229" s="615" t="s">
        <v>3800</v>
      </c>
      <c r="B1229" s="616" t="str">
        <f t="shared" si="19"/>
        <v/>
      </c>
      <c r="C1229" s="665"/>
      <c r="D1229" s="651">
        <v>2</v>
      </c>
      <c r="E1229" s="236"/>
      <c r="F1229" s="232" t="s">
        <v>2572</v>
      </c>
      <c r="G1229" s="239"/>
      <c r="H1229" s="652"/>
      <c r="I1229" s="656"/>
      <c r="J1229" s="654"/>
    </row>
    <row r="1230" spans="1:10" x14ac:dyDescent="0.35">
      <c r="A1230" s="615" t="s">
        <v>3801</v>
      </c>
      <c r="B1230" s="616" t="str">
        <f t="shared" si="19"/>
        <v/>
      </c>
      <c r="C1230" s="665"/>
      <c r="D1230" s="655">
        <v>6</v>
      </c>
      <c r="E1230" s="236"/>
      <c r="F1230" s="232" t="s">
        <v>2579</v>
      </c>
      <c r="G1230" s="239" t="s">
        <v>2583</v>
      </c>
      <c r="H1230" s="652"/>
      <c r="I1230" s="656"/>
      <c r="J1230" s="654"/>
    </row>
    <row r="1231" spans="1:10" x14ac:dyDescent="0.35">
      <c r="A1231" s="615" t="s">
        <v>3802</v>
      </c>
      <c r="B1231" s="616" t="str">
        <f t="shared" si="19"/>
        <v/>
      </c>
      <c r="C1231" s="665"/>
      <c r="D1231" s="655" t="s">
        <v>75</v>
      </c>
      <c r="E1231" s="236"/>
      <c r="F1231" s="232" t="s">
        <v>76</v>
      </c>
      <c r="G1231" s="239"/>
      <c r="H1231" s="652"/>
      <c r="I1231" s="656"/>
      <c r="J1231" s="654"/>
    </row>
    <row r="1232" spans="1:10" x14ac:dyDescent="0.35">
      <c r="A1232" s="615" t="s">
        <v>3803</v>
      </c>
      <c r="B1232" s="616" t="str">
        <f t="shared" si="19"/>
        <v/>
      </c>
      <c r="C1232" s="665"/>
      <c r="D1232" s="655">
        <v>2</v>
      </c>
      <c r="E1232" s="236"/>
      <c r="F1232" s="232" t="s">
        <v>2539</v>
      </c>
      <c r="G1232" s="239" t="s">
        <v>2585</v>
      </c>
      <c r="H1232" s="652"/>
      <c r="I1232" s="656"/>
      <c r="J1232" s="654"/>
    </row>
    <row r="1233" spans="1:10" x14ac:dyDescent="0.35">
      <c r="A1233" s="615" t="s">
        <v>3804</v>
      </c>
      <c r="B1233" s="616" t="str">
        <f t="shared" si="19"/>
        <v/>
      </c>
      <c r="C1233" s="665"/>
      <c r="D1233" s="655">
        <v>2</v>
      </c>
      <c r="E1233" s="236"/>
      <c r="F1233" s="232" t="s">
        <v>2539</v>
      </c>
      <c r="G1233" s="239" t="s">
        <v>2585</v>
      </c>
      <c r="H1233" s="652"/>
      <c r="I1233" s="656"/>
      <c r="J1233" s="654"/>
    </row>
    <row r="1234" spans="1:10" x14ac:dyDescent="0.35">
      <c r="A1234" s="615" t="s">
        <v>3805</v>
      </c>
      <c r="B1234" s="616" t="str">
        <f t="shared" si="19"/>
        <v/>
      </c>
      <c r="C1234" s="665"/>
      <c r="D1234" s="655">
        <v>2</v>
      </c>
      <c r="E1234" s="236"/>
      <c r="F1234" s="232" t="s">
        <v>2539</v>
      </c>
      <c r="G1234" s="239" t="s">
        <v>2585</v>
      </c>
      <c r="H1234" s="652"/>
      <c r="I1234" s="656"/>
      <c r="J1234" s="654"/>
    </row>
    <row r="1235" spans="1:10" x14ac:dyDescent="0.35">
      <c r="A1235" s="615" t="s">
        <v>3806</v>
      </c>
      <c r="B1235" s="616" t="str">
        <f t="shared" si="19"/>
        <v/>
      </c>
      <c r="C1235" s="665"/>
      <c r="D1235" s="655">
        <v>2</v>
      </c>
      <c r="E1235" s="236"/>
      <c r="F1235" s="232" t="s">
        <v>2539</v>
      </c>
      <c r="G1235" s="239" t="s">
        <v>2585</v>
      </c>
      <c r="H1235" s="652"/>
      <c r="I1235" s="656"/>
      <c r="J1235" s="654"/>
    </row>
    <row r="1236" spans="1:10" x14ac:dyDescent="0.35">
      <c r="A1236" s="615" t="s">
        <v>3807</v>
      </c>
      <c r="B1236" s="616" t="str">
        <f t="shared" si="19"/>
        <v/>
      </c>
      <c r="C1236" s="665"/>
      <c r="D1236" s="655">
        <v>2</v>
      </c>
      <c r="E1236" s="236"/>
      <c r="F1236" s="232" t="s">
        <v>2539</v>
      </c>
      <c r="G1236" s="239" t="s">
        <v>2585</v>
      </c>
      <c r="H1236" s="652"/>
      <c r="I1236" s="656"/>
      <c r="J1236" s="654"/>
    </row>
    <row r="1237" spans="1:10" x14ac:dyDescent="0.35">
      <c r="A1237" s="615" t="s">
        <v>3808</v>
      </c>
      <c r="B1237" s="616" t="str">
        <f t="shared" si="19"/>
        <v/>
      </c>
      <c r="C1237" s="665"/>
      <c r="D1237" s="655">
        <v>2</v>
      </c>
      <c r="E1237" s="236"/>
      <c r="F1237" s="232" t="s">
        <v>2539</v>
      </c>
      <c r="G1237" s="239" t="s">
        <v>2585</v>
      </c>
      <c r="H1237" s="652"/>
      <c r="I1237" s="656"/>
      <c r="J1237" s="654"/>
    </row>
    <row r="1238" spans="1:10" ht="48" x14ac:dyDescent="0.35">
      <c r="A1238" s="615" t="s">
        <v>3809</v>
      </c>
      <c r="B1238" s="616" t="str">
        <f t="shared" si="19"/>
        <v/>
      </c>
      <c r="C1238" s="665"/>
      <c r="D1238" s="655" t="s">
        <v>75</v>
      </c>
      <c r="E1238" s="236"/>
      <c r="F1238" s="232" t="s">
        <v>76</v>
      </c>
      <c r="G1238" s="657" t="s">
        <v>2591</v>
      </c>
      <c r="H1238" s="652"/>
      <c r="I1238" s="656"/>
      <c r="J1238" s="654"/>
    </row>
    <row r="1239" spans="1:10" x14ac:dyDescent="0.35">
      <c r="A1239" s="615" t="s">
        <v>3810</v>
      </c>
      <c r="B1239" s="616" t="str">
        <f t="shared" si="19"/>
        <v/>
      </c>
      <c r="C1239" s="665"/>
      <c r="D1239" s="655">
        <v>2</v>
      </c>
      <c r="E1239" s="236"/>
      <c r="F1239" s="232" t="s">
        <v>2539</v>
      </c>
      <c r="G1239" s="239"/>
      <c r="H1239" s="652"/>
      <c r="I1239" s="656"/>
      <c r="J1239" s="654"/>
    </row>
    <row r="1240" spans="1:10" x14ac:dyDescent="0.35">
      <c r="A1240" s="615" t="s">
        <v>3811</v>
      </c>
      <c r="B1240" s="616" t="str">
        <f t="shared" si="19"/>
        <v/>
      </c>
      <c r="C1240" s="665"/>
      <c r="D1240" s="655">
        <v>0</v>
      </c>
      <c r="E1240" s="236"/>
      <c r="F1240" s="232" t="s">
        <v>2538</v>
      </c>
      <c r="G1240" s="239"/>
      <c r="H1240" s="652"/>
      <c r="I1240" s="656"/>
      <c r="J1240" s="654"/>
    </row>
    <row r="1241" spans="1:10" x14ac:dyDescent="0.35">
      <c r="A1241" s="615" t="s">
        <v>3812</v>
      </c>
      <c r="B1241" s="616" t="str">
        <f t="shared" si="19"/>
        <v/>
      </c>
      <c r="C1241" s="665"/>
      <c r="D1241" s="655">
        <v>0</v>
      </c>
      <c r="E1241" s="236"/>
      <c r="F1241" s="232" t="s">
        <v>2538</v>
      </c>
      <c r="G1241" s="239"/>
      <c r="H1241" s="652"/>
      <c r="I1241" s="656"/>
      <c r="J1241" s="654"/>
    </row>
    <row r="1242" spans="1:10" x14ac:dyDescent="0.35">
      <c r="A1242" s="615" t="s">
        <v>3813</v>
      </c>
      <c r="B1242" s="616" t="str">
        <f t="shared" si="19"/>
        <v/>
      </c>
      <c r="C1242" s="665"/>
      <c r="D1242" s="655">
        <v>0</v>
      </c>
      <c r="E1242" s="236"/>
      <c r="F1242" s="232" t="s">
        <v>2538</v>
      </c>
      <c r="G1242" s="239"/>
      <c r="H1242" s="652"/>
      <c r="I1242" s="656"/>
      <c r="J1242" s="654"/>
    </row>
    <row r="1243" spans="1:10" x14ac:dyDescent="0.35">
      <c r="A1243" s="615" t="s">
        <v>3814</v>
      </c>
      <c r="B1243" s="616" t="str">
        <f t="shared" si="19"/>
        <v/>
      </c>
      <c r="C1243" s="665"/>
      <c r="D1243" s="651">
        <v>2</v>
      </c>
      <c r="E1243" s="236"/>
      <c r="F1243" s="232" t="s">
        <v>2572</v>
      </c>
      <c r="G1243" s="239"/>
      <c r="H1243" s="652"/>
      <c r="I1243" s="656"/>
      <c r="J1243" s="654"/>
    </row>
    <row r="1244" spans="1:10" x14ac:dyDescent="0.35">
      <c r="A1244" s="615" t="s">
        <v>3815</v>
      </c>
      <c r="B1244" s="616" t="str">
        <f t="shared" si="19"/>
        <v/>
      </c>
      <c r="C1244" s="665"/>
      <c r="D1244" s="651">
        <v>2</v>
      </c>
      <c r="E1244" s="236"/>
      <c r="F1244" s="232" t="s">
        <v>2572</v>
      </c>
      <c r="G1244" s="239"/>
      <c r="H1244" s="652"/>
      <c r="I1244" s="656"/>
      <c r="J1244" s="654"/>
    </row>
    <row r="1245" spans="1:10" x14ac:dyDescent="0.35">
      <c r="A1245" s="615" t="s">
        <v>3816</v>
      </c>
      <c r="B1245" s="616" t="str">
        <f t="shared" si="19"/>
        <v/>
      </c>
      <c r="C1245" s="665"/>
      <c r="D1245" s="651">
        <v>2</v>
      </c>
      <c r="E1245" s="236"/>
      <c r="F1245" s="232" t="s">
        <v>2572</v>
      </c>
      <c r="G1245" s="239"/>
      <c r="H1245" s="652"/>
      <c r="I1245" s="656"/>
      <c r="J1245" s="654"/>
    </row>
    <row r="1246" spans="1:10" x14ac:dyDescent="0.35">
      <c r="A1246" s="615" t="s">
        <v>3817</v>
      </c>
      <c r="B1246" s="616" t="str">
        <f t="shared" si="19"/>
        <v/>
      </c>
      <c r="C1246" s="665"/>
      <c r="D1246" s="651">
        <v>2</v>
      </c>
      <c r="E1246" s="236"/>
      <c r="F1246" s="232" t="s">
        <v>2572</v>
      </c>
      <c r="G1246" s="239"/>
      <c r="H1246" s="652"/>
      <c r="I1246" s="656"/>
      <c r="J1246" s="654"/>
    </row>
    <row r="1247" spans="1:10" x14ac:dyDescent="0.35">
      <c r="A1247" s="615" t="s">
        <v>3818</v>
      </c>
      <c r="B1247" s="616" t="str">
        <f t="shared" si="19"/>
        <v/>
      </c>
      <c r="C1247" s="665"/>
      <c r="D1247" s="651">
        <v>2</v>
      </c>
      <c r="E1247" s="236"/>
      <c r="F1247" s="232" t="s">
        <v>2572</v>
      </c>
      <c r="G1247" s="239"/>
      <c r="H1247" s="652"/>
      <c r="I1247" s="656"/>
      <c r="J1247" s="654"/>
    </row>
    <row r="1248" spans="1:10" x14ac:dyDescent="0.35">
      <c r="A1248" s="615" t="s">
        <v>3819</v>
      </c>
      <c r="B1248" s="616" t="str">
        <f t="shared" si="19"/>
        <v/>
      </c>
      <c r="C1248" s="665"/>
      <c r="D1248" s="655">
        <v>6</v>
      </c>
      <c r="E1248" s="236"/>
      <c r="F1248" s="232" t="s">
        <v>2579</v>
      </c>
      <c r="G1248" s="239" t="s">
        <v>2583</v>
      </c>
      <c r="H1248" s="652"/>
      <c r="I1248" s="656"/>
      <c r="J1248" s="654"/>
    </row>
    <row r="1249" spans="1:10" x14ac:dyDescent="0.35">
      <c r="A1249" s="615" t="s">
        <v>3820</v>
      </c>
      <c r="B1249" s="616" t="str">
        <f t="shared" si="19"/>
        <v/>
      </c>
      <c r="C1249" s="665"/>
      <c r="D1249" s="655" t="s">
        <v>75</v>
      </c>
      <c r="E1249" s="236"/>
      <c r="F1249" s="232" t="s">
        <v>76</v>
      </c>
      <c r="G1249" s="239"/>
      <c r="H1249" s="652"/>
      <c r="I1249" s="656"/>
      <c r="J1249" s="654"/>
    </row>
    <row r="1250" spans="1:10" x14ac:dyDescent="0.35">
      <c r="A1250" s="615" t="s">
        <v>3821</v>
      </c>
      <c r="B1250" s="616" t="str">
        <f t="shared" si="19"/>
        <v/>
      </c>
      <c r="C1250" s="665"/>
      <c r="D1250" s="655">
        <v>2</v>
      </c>
      <c r="E1250" s="236"/>
      <c r="F1250" s="232" t="s">
        <v>2539</v>
      </c>
      <c r="G1250" s="239" t="s">
        <v>2585</v>
      </c>
      <c r="H1250" s="652"/>
      <c r="I1250" s="656"/>
      <c r="J1250" s="654"/>
    </row>
    <row r="1251" spans="1:10" x14ac:dyDescent="0.35">
      <c r="A1251" s="615" t="s">
        <v>3822</v>
      </c>
      <c r="B1251" s="616" t="str">
        <f t="shared" si="19"/>
        <v/>
      </c>
      <c r="C1251" s="665"/>
      <c r="D1251" s="655">
        <v>2</v>
      </c>
      <c r="E1251" s="236"/>
      <c r="F1251" s="232" t="s">
        <v>2539</v>
      </c>
      <c r="G1251" s="239" t="s">
        <v>2585</v>
      </c>
      <c r="H1251" s="652"/>
      <c r="I1251" s="656"/>
      <c r="J1251" s="654"/>
    </row>
    <row r="1252" spans="1:10" x14ac:dyDescent="0.35">
      <c r="A1252" s="615" t="s">
        <v>3823</v>
      </c>
      <c r="B1252" s="616" t="str">
        <f t="shared" si="19"/>
        <v/>
      </c>
      <c r="C1252" s="665"/>
      <c r="D1252" s="655">
        <v>2</v>
      </c>
      <c r="E1252" s="236"/>
      <c r="F1252" s="232" t="s">
        <v>2539</v>
      </c>
      <c r="G1252" s="239" t="s">
        <v>2585</v>
      </c>
      <c r="H1252" s="652"/>
      <c r="I1252" s="656"/>
      <c r="J1252" s="654"/>
    </row>
    <row r="1253" spans="1:10" x14ac:dyDescent="0.35">
      <c r="A1253" s="615" t="s">
        <v>3824</v>
      </c>
      <c r="B1253" s="616" t="str">
        <f t="shared" si="19"/>
        <v/>
      </c>
      <c r="C1253" s="665"/>
      <c r="D1253" s="655">
        <v>2</v>
      </c>
      <c r="E1253" s="236"/>
      <c r="F1253" s="232" t="s">
        <v>2539</v>
      </c>
      <c r="G1253" s="239" t="s">
        <v>2585</v>
      </c>
      <c r="H1253" s="652"/>
      <c r="I1253" s="656"/>
      <c r="J1253" s="654"/>
    </row>
    <row r="1254" spans="1:10" x14ac:dyDescent="0.35">
      <c r="A1254" s="615" t="s">
        <v>3825</v>
      </c>
      <c r="B1254" s="616" t="str">
        <f t="shared" si="19"/>
        <v/>
      </c>
      <c r="C1254" s="665"/>
      <c r="D1254" s="655">
        <v>2</v>
      </c>
      <c r="E1254" s="236"/>
      <c r="F1254" s="232" t="s">
        <v>2539</v>
      </c>
      <c r="G1254" s="239" t="s">
        <v>2585</v>
      </c>
      <c r="H1254" s="652"/>
      <c r="I1254" s="656"/>
      <c r="J1254" s="654"/>
    </row>
    <row r="1255" spans="1:10" x14ac:dyDescent="0.35">
      <c r="A1255" s="615" t="s">
        <v>3826</v>
      </c>
      <c r="B1255" s="616" t="str">
        <f t="shared" si="19"/>
        <v/>
      </c>
      <c r="C1255" s="665"/>
      <c r="D1255" s="655">
        <v>2</v>
      </c>
      <c r="E1255" s="236"/>
      <c r="F1255" s="232" t="s">
        <v>2539</v>
      </c>
      <c r="G1255" s="239" t="s">
        <v>2585</v>
      </c>
      <c r="H1255" s="652"/>
      <c r="I1255" s="656"/>
      <c r="J1255" s="654"/>
    </row>
    <row r="1256" spans="1:10" ht="48" x14ac:dyDescent="0.35">
      <c r="A1256" s="615" t="s">
        <v>3827</v>
      </c>
      <c r="B1256" s="616" t="str">
        <f t="shared" si="19"/>
        <v/>
      </c>
      <c r="C1256" s="665"/>
      <c r="D1256" s="655" t="s">
        <v>75</v>
      </c>
      <c r="E1256" s="236"/>
      <c r="F1256" s="232" t="s">
        <v>76</v>
      </c>
      <c r="G1256" s="657" t="s">
        <v>2591</v>
      </c>
      <c r="H1256" s="652"/>
      <c r="I1256" s="656"/>
      <c r="J1256" s="654"/>
    </row>
    <row r="1257" spans="1:10" x14ac:dyDescent="0.35">
      <c r="A1257" s="615" t="s">
        <v>3828</v>
      </c>
      <c r="B1257" s="616" t="str">
        <f t="shared" si="19"/>
        <v/>
      </c>
      <c r="C1257" s="665"/>
      <c r="D1257" s="655">
        <v>2</v>
      </c>
      <c r="E1257" s="236"/>
      <c r="F1257" s="232" t="s">
        <v>2539</v>
      </c>
      <c r="G1257" s="239"/>
      <c r="H1257" s="652"/>
      <c r="I1257" s="656"/>
      <c r="J1257" s="654"/>
    </row>
    <row r="1258" spans="1:10" x14ac:dyDescent="0.35">
      <c r="A1258" s="615" t="s">
        <v>3829</v>
      </c>
      <c r="B1258" s="616" t="str">
        <f t="shared" si="19"/>
        <v/>
      </c>
      <c r="C1258" s="665"/>
      <c r="D1258" s="655">
        <v>0</v>
      </c>
      <c r="E1258" s="236"/>
      <c r="F1258" s="232" t="s">
        <v>2538</v>
      </c>
      <c r="G1258" s="239"/>
      <c r="H1258" s="652"/>
      <c r="I1258" s="656"/>
      <c r="J1258" s="654"/>
    </row>
    <row r="1259" spans="1:10" x14ac:dyDescent="0.35">
      <c r="A1259" s="615" t="s">
        <v>3830</v>
      </c>
      <c r="B1259" s="616" t="str">
        <f t="shared" si="19"/>
        <v/>
      </c>
      <c r="C1259" s="665"/>
      <c r="D1259" s="655">
        <v>0</v>
      </c>
      <c r="E1259" s="236"/>
      <c r="F1259" s="232" t="s">
        <v>2538</v>
      </c>
      <c r="G1259" s="239"/>
      <c r="H1259" s="652"/>
      <c r="I1259" s="656"/>
      <c r="J1259" s="654"/>
    </row>
    <row r="1260" spans="1:10" x14ac:dyDescent="0.35">
      <c r="A1260" s="615" t="s">
        <v>3831</v>
      </c>
      <c r="B1260" s="616" t="str">
        <f t="shared" si="19"/>
        <v/>
      </c>
      <c r="C1260" s="665"/>
      <c r="D1260" s="655">
        <v>0</v>
      </c>
      <c r="E1260" s="236"/>
      <c r="F1260" s="232" t="s">
        <v>2538</v>
      </c>
      <c r="G1260" s="239"/>
      <c r="H1260" s="652"/>
      <c r="I1260" s="656"/>
      <c r="J1260" s="654"/>
    </row>
    <row r="1261" spans="1:10" x14ac:dyDescent="0.35">
      <c r="A1261" s="615" t="s">
        <v>3832</v>
      </c>
      <c r="B1261" s="616" t="str">
        <f t="shared" si="19"/>
        <v/>
      </c>
      <c r="C1261" s="665"/>
      <c r="D1261" s="651">
        <v>2</v>
      </c>
      <c r="E1261" s="236"/>
      <c r="F1261" s="232" t="s">
        <v>2572</v>
      </c>
      <c r="G1261" s="239"/>
      <c r="H1261" s="652"/>
      <c r="I1261" s="656"/>
      <c r="J1261" s="654"/>
    </row>
    <row r="1262" spans="1:10" x14ac:dyDescent="0.35">
      <c r="A1262" s="615" t="s">
        <v>3833</v>
      </c>
      <c r="B1262" s="616" t="str">
        <f t="shared" si="19"/>
        <v/>
      </c>
      <c r="C1262" s="665"/>
      <c r="D1262" s="651">
        <v>2</v>
      </c>
      <c r="E1262" s="236"/>
      <c r="F1262" s="232" t="s">
        <v>2572</v>
      </c>
      <c r="G1262" s="239"/>
      <c r="H1262" s="652"/>
      <c r="I1262" s="656"/>
      <c r="J1262" s="654"/>
    </row>
    <row r="1263" spans="1:10" x14ac:dyDescent="0.35">
      <c r="A1263" s="615" t="s">
        <v>3834</v>
      </c>
      <c r="B1263" s="616" t="str">
        <f t="shared" si="19"/>
        <v/>
      </c>
      <c r="C1263" s="665"/>
      <c r="D1263" s="651">
        <v>2</v>
      </c>
      <c r="E1263" s="236"/>
      <c r="F1263" s="232" t="s">
        <v>2572</v>
      </c>
      <c r="G1263" s="239"/>
      <c r="H1263" s="652"/>
      <c r="I1263" s="656"/>
      <c r="J1263" s="654"/>
    </row>
    <row r="1264" spans="1:10" x14ac:dyDescent="0.35">
      <c r="A1264" s="615" t="s">
        <v>3835</v>
      </c>
      <c r="B1264" s="616" t="str">
        <f t="shared" si="19"/>
        <v/>
      </c>
      <c r="C1264" s="665"/>
      <c r="D1264" s="651">
        <v>2</v>
      </c>
      <c r="E1264" s="236"/>
      <c r="F1264" s="232" t="s">
        <v>2572</v>
      </c>
      <c r="G1264" s="239"/>
      <c r="H1264" s="652"/>
      <c r="I1264" s="656"/>
      <c r="J1264" s="654"/>
    </row>
    <row r="1265" spans="1:10" x14ac:dyDescent="0.35">
      <c r="A1265" s="615" t="s">
        <v>3836</v>
      </c>
      <c r="B1265" s="616" t="str">
        <f t="shared" si="19"/>
        <v/>
      </c>
      <c r="C1265" s="665"/>
      <c r="D1265" s="651">
        <v>2</v>
      </c>
      <c r="E1265" s="236"/>
      <c r="F1265" s="232" t="s">
        <v>2572</v>
      </c>
      <c r="G1265" s="239"/>
      <c r="H1265" s="652"/>
      <c r="I1265" s="656"/>
      <c r="J1265" s="654"/>
    </row>
    <row r="1266" spans="1:10" x14ac:dyDescent="0.35">
      <c r="A1266" s="615" t="s">
        <v>3837</v>
      </c>
      <c r="B1266" s="616" t="str">
        <f t="shared" si="19"/>
        <v/>
      </c>
      <c r="C1266" s="665"/>
      <c r="D1266" s="655">
        <v>6</v>
      </c>
      <c r="E1266" s="236"/>
      <c r="F1266" s="232" t="s">
        <v>2579</v>
      </c>
      <c r="G1266" s="239" t="s">
        <v>2583</v>
      </c>
      <c r="H1266" s="652"/>
      <c r="I1266" s="656"/>
      <c r="J1266" s="654"/>
    </row>
    <row r="1267" spans="1:10" x14ac:dyDescent="0.35">
      <c r="A1267" s="615" t="s">
        <v>3838</v>
      </c>
      <c r="B1267" s="616" t="str">
        <f t="shared" si="19"/>
        <v/>
      </c>
      <c r="C1267" s="665"/>
      <c r="D1267" s="655" t="s">
        <v>75</v>
      </c>
      <c r="E1267" s="236"/>
      <c r="F1267" s="232" t="s">
        <v>76</v>
      </c>
      <c r="G1267" s="239"/>
      <c r="H1267" s="652"/>
      <c r="I1267" s="656"/>
      <c r="J1267" s="654"/>
    </row>
    <row r="1268" spans="1:10" x14ac:dyDescent="0.35">
      <c r="A1268" s="615" t="s">
        <v>3839</v>
      </c>
      <c r="B1268" s="616" t="str">
        <f t="shared" si="19"/>
        <v/>
      </c>
      <c r="C1268" s="665"/>
      <c r="D1268" s="655">
        <v>2</v>
      </c>
      <c r="E1268" s="236"/>
      <c r="F1268" s="232" t="s">
        <v>2539</v>
      </c>
      <c r="G1268" s="239" t="s">
        <v>2585</v>
      </c>
      <c r="H1268" s="652"/>
      <c r="I1268" s="656"/>
      <c r="J1268" s="654"/>
    </row>
    <row r="1269" spans="1:10" x14ac:dyDescent="0.35">
      <c r="A1269" s="615" t="s">
        <v>3840</v>
      </c>
      <c r="B1269" s="616" t="str">
        <f t="shared" si="19"/>
        <v/>
      </c>
      <c r="C1269" s="665"/>
      <c r="D1269" s="655">
        <v>2</v>
      </c>
      <c r="E1269" s="236"/>
      <c r="F1269" s="232" t="s">
        <v>2539</v>
      </c>
      <c r="G1269" s="239" t="s">
        <v>2585</v>
      </c>
      <c r="H1269" s="652"/>
      <c r="I1269" s="656"/>
      <c r="J1269" s="654"/>
    </row>
    <row r="1270" spans="1:10" x14ac:dyDescent="0.35">
      <c r="A1270" s="615" t="s">
        <v>3841</v>
      </c>
      <c r="B1270" s="616" t="str">
        <f t="shared" si="19"/>
        <v/>
      </c>
      <c r="C1270" s="665"/>
      <c r="D1270" s="655">
        <v>2</v>
      </c>
      <c r="E1270" s="236"/>
      <c r="F1270" s="232" t="s">
        <v>2539</v>
      </c>
      <c r="G1270" s="239" t="s">
        <v>2585</v>
      </c>
      <c r="H1270" s="652"/>
      <c r="I1270" s="656"/>
      <c r="J1270" s="654"/>
    </row>
    <row r="1271" spans="1:10" x14ac:dyDescent="0.35">
      <c r="A1271" s="615" t="s">
        <v>3842</v>
      </c>
      <c r="B1271" s="616" t="str">
        <f t="shared" si="19"/>
        <v/>
      </c>
      <c r="C1271" s="665"/>
      <c r="D1271" s="655">
        <v>2</v>
      </c>
      <c r="E1271" s="236"/>
      <c r="F1271" s="232" t="s">
        <v>2539</v>
      </c>
      <c r="G1271" s="239" t="s">
        <v>2585</v>
      </c>
      <c r="H1271" s="652"/>
      <c r="I1271" s="656"/>
      <c r="J1271" s="654"/>
    </row>
    <row r="1272" spans="1:10" x14ac:dyDescent="0.35">
      <c r="A1272" s="615" t="s">
        <v>3843</v>
      </c>
      <c r="B1272" s="616" t="str">
        <f t="shared" si="19"/>
        <v/>
      </c>
      <c r="C1272" s="665"/>
      <c r="D1272" s="655">
        <v>2</v>
      </c>
      <c r="E1272" s="236"/>
      <c r="F1272" s="232" t="s">
        <v>2539</v>
      </c>
      <c r="G1272" s="239" t="s">
        <v>2585</v>
      </c>
      <c r="H1272" s="652"/>
      <c r="I1272" s="656"/>
      <c r="J1272" s="654"/>
    </row>
    <row r="1273" spans="1:10" x14ac:dyDescent="0.35">
      <c r="A1273" s="615" t="s">
        <v>3844</v>
      </c>
      <c r="B1273" s="616" t="str">
        <f t="shared" si="19"/>
        <v/>
      </c>
      <c r="C1273" s="665"/>
      <c r="D1273" s="655">
        <v>2</v>
      </c>
      <c r="E1273" s="236"/>
      <c r="F1273" s="232" t="s">
        <v>2539</v>
      </c>
      <c r="G1273" s="239" t="s">
        <v>2585</v>
      </c>
      <c r="H1273" s="652"/>
      <c r="I1273" s="656"/>
      <c r="J1273" s="654"/>
    </row>
    <row r="1274" spans="1:10" ht="48" x14ac:dyDescent="0.35">
      <c r="A1274" s="615" t="s">
        <v>3845</v>
      </c>
      <c r="B1274" s="616" t="str">
        <f t="shared" si="19"/>
        <v/>
      </c>
      <c r="C1274" s="665"/>
      <c r="D1274" s="655" t="s">
        <v>75</v>
      </c>
      <c r="E1274" s="236"/>
      <c r="F1274" s="232" t="s">
        <v>76</v>
      </c>
      <c r="G1274" s="657" t="s">
        <v>2591</v>
      </c>
      <c r="H1274" s="652"/>
      <c r="I1274" s="656"/>
      <c r="J1274" s="654"/>
    </row>
    <row r="1275" spans="1:10" x14ac:dyDescent="0.35">
      <c r="A1275" s="615" t="s">
        <v>3846</v>
      </c>
      <c r="B1275" s="616" t="str">
        <f t="shared" si="19"/>
        <v/>
      </c>
      <c r="C1275" s="665"/>
      <c r="D1275" s="655">
        <v>2</v>
      </c>
      <c r="E1275" s="236"/>
      <c r="F1275" s="232" t="s">
        <v>2539</v>
      </c>
      <c r="G1275" s="239"/>
      <c r="H1275" s="652"/>
      <c r="I1275" s="656"/>
      <c r="J1275" s="654"/>
    </row>
    <row r="1276" spans="1:10" x14ac:dyDescent="0.35">
      <c r="A1276" s="615" t="s">
        <v>3847</v>
      </c>
      <c r="B1276" s="616" t="str">
        <f t="shared" si="19"/>
        <v/>
      </c>
      <c r="C1276" s="665"/>
      <c r="D1276" s="655">
        <v>0</v>
      </c>
      <c r="E1276" s="236"/>
      <c r="F1276" s="232" t="s">
        <v>2538</v>
      </c>
      <c r="G1276" s="239"/>
      <c r="H1276" s="652"/>
      <c r="I1276" s="656"/>
      <c r="J1276" s="654"/>
    </row>
    <row r="1277" spans="1:10" x14ac:dyDescent="0.35">
      <c r="A1277" s="615" t="s">
        <v>3848</v>
      </c>
      <c r="B1277" s="616" t="str">
        <f t="shared" si="19"/>
        <v/>
      </c>
      <c r="C1277" s="665"/>
      <c r="D1277" s="655">
        <v>0</v>
      </c>
      <c r="E1277" s="236"/>
      <c r="F1277" s="232" t="s">
        <v>2538</v>
      </c>
      <c r="G1277" s="239"/>
      <c r="H1277" s="652"/>
      <c r="I1277" s="656"/>
      <c r="J1277" s="654"/>
    </row>
    <row r="1278" spans="1:10" x14ac:dyDescent="0.35">
      <c r="A1278" s="615" t="s">
        <v>3849</v>
      </c>
      <c r="B1278" s="616" t="str">
        <f t="shared" si="19"/>
        <v/>
      </c>
      <c r="C1278" s="665"/>
      <c r="D1278" s="655">
        <v>0</v>
      </c>
      <c r="E1278" s="236"/>
      <c r="F1278" s="232" t="s">
        <v>2538</v>
      </c>
      <c r="G1278" s="239"/>
      <c r="H1278" s="652"/>
      <c r="I1278" s="656"/>
      <c r="J1278" s="654"/>
    </row>
    <row r="1279" spans="1:10" x14ac:dyDescent="0.35">
      <c r="A1279" s="615" t="s">
        <v>3850</v>
      </c>
      <c r="B1279" s="616" t="str">
        <f t="shared" si="19"/>
        <v/>
      </c>
      <c r="C1279" s="665"/>
      <c r="D1279" s="651">
        <v>2</v>
      </c>
      <c r="E1279" s="236"/>
      <c r="F1279" s="232" t="s">
        <v>2572</v>
      </c>
      <c r="G1279" s="239"/>
      <c r="H1279" s="652"/>
      <c r="I1279" s="656"/>
      <c r="J1279" s="654"/>
    </row>
    <row r="1280" spans="1:10" x14ac:dyDescent="0.35">
      <c r="A1280" s="615" t="s">
        <v>3851</v>
      </c>
      <c r="B1280" s="616" t="str">
        <f t="shared" si="19"/>
        <v/>
      </c>
      <c r="C1280" s="665"/>
      <c r="D1280" s="651">
        <v>2</v>
      </c>
      <c r="E1280" s="236"/>
      <c r="F1280" s="232" t="s">
        <v>2572</v>
      </c>
      <c r="G1280" s="239"/>
      <c r="H1280" s="652"/>
      <c r="I1280" s="656"/>
      <c r="J1280" s="654"/>
    </row>
    <row r="1281" spans="1:10" x14ac:dyDescent="0.35">
      <c r="A1281" s="615" t="s">
        <v>3852</v>
      </c>
      <c r="B1281" s="616" t="str">
        <f t="shared" si="19"/>
        <v/>
      </c>
      <c r="C1281" s="665"/>
      <c r="D1281" s="651">
        <v>2</v>
      </c>
      <c r="E1281" s="236"/>
      <c r="F1281" s="232" t="s">
        <v>2572</v>
      </c>
      <c r="G1281" s="239"/>
      <c r="H1281" s="652"/>
      <c r="I1281" s="656"/>
      <c r="J1281" s="654"/>
    </row>
    <row r="1282" spans="1:10" x14ac:dyDescent="0.35">
      <c r="A1282" s="615" t="s">
        <v>3853</v>
      </c>
      <c r="B1282" s="616" t="str">
        <f t="shared" si="19"/>
        <v/>
      </c>
      <c r="C1282" s="665"/>
      <c r="D1282" s="651">
        <v>2</v>
      </c>
      <c r="E1282" s="236"/>
      <c r="F1282" s="232" t="s">
        <v>2572</v>
      </c>
      <c r="G1282" s="239"/>
      <c r="H1282" s="652"/>
      <c r="I1282" s="656"/>
      <c r="J1282" s="654"/>
    </row>
    <row r="1283" spans="1:10" x14ac:dyDescent="0.35">
      <c r="A1283" s="615" t="s">
        <v>3854</v>
      </c>
      <c r="B1283" s="616" t="str">
        <f t="shared" si="19"/>
        <v/>
      </c>
      <c r="C1283" s="665"/>
      <c r="D1283" s="651">
        <v>2</v>
      </c>
      <c r="E1283" s="236"/>
      <c r="F1283" s="232" t="s">
        <v>2572</v>
      </c>
      <c r="G1283" s="239"/>
      <c r="H1283" s="652"/>
      <c r="I1283" s="656"/>
      <c r="J1283" s="654"/>
    </row>
    <row r="1284" spans="1:10" x14ac:dyDescent="0.35">
      <c r="A1284" s="615" t="s">
        <v>3855</v>
      </c>
      <c r="B1284" s="616" t="str">
        <f t="shared" si="19"/>
        <v/>
      </c>
      <c r="C1284" s="665"/>
      <c r="D1284" s="655">
        <v>6</v>
      </c>
      <c r="E1284" s="236"/>
      <c r="F1284" s="232" t="s">
        <v>2579</v>
      </c>
      <c r="G1284" s="239" t="s">
        <v>2583</v>
      </c>
      <c r="H1284" s="652"/>
      <c r="I1284" s="656"/>
      <c r="J1284" s="654"/>
    </row>
    <row r="1285" spans="1:10" x14ac:dyDescent="0.35">
      <c r="A1285" s="615" t="s">
        <v>3856</v>
      </c>
      <c r="B1285" s="616" t="str">
        <f t="shared" si="19"/>
        <v/>
      </c>
      <c r="C1285" s="665"/>
      <c r="D1285" s="655" t="s">
        <v>75</v>
      </c>
      <c r="E1285" s="236"/>
      <c r="F1285" s="232" t="s">
        <v>76</v>
      </c>
      <c r="G1285" s="239"/>
      <c r="H1285" s="652"/>
      <c r="I1285" s="656"/>
      <c r="J1285" s="654"/>
    </row>
    <row r="1286" spans="1:10" x14ac:dyDescent="0.35">
      <c r="A1286" s="615" t="s">
        <v>3857</v>
      </c>
      <c r="B1286" s="616" t="str">
        <f t="shared" ref="B1286:B1349" si="20">IF(C1286="","",IF(D1286="Datum",TEXT(DAY(C1286),"00")&amp;"."&amp;TEXT(MONTH(C1286),"00")&amp;"."&amp;TEXT(YEAR(C1286),"0000"),IF(AND(ISNUMBER(C1286),D1286="x"),TEXT(C1286,"@"),IF(ISNUMBER(C1286),TEXT(ROUNDDOWN(C1286,0),0)&amp;IF(D1286=0,"","."&amp;IF(C1286-ROUNDDOWN(C1286,0)=0,LEFT("0000000000",D1286),TEXT((C1286-ROUNDDOWN(C1286,0))*(1&amp; LEFT("0000000000",$D1286)),LEFT("0000000000",$D1286)))),C1286))))</f>
        <v/>
      </c>
      <c r="C1286" s="665"/>
      <c r="D1286" s="655">
        <v>2</v>
      </c>
      <c r="E1286" s="236"/>
      <c r="F1286" s="232" t="s">
        <v>2539</v>
      </c>
      <c r="G1286" s="239" t="s">
        <v>2585</v>
      </c>
      <c r="H1286" s="652"/>
      <c r="I1286" s="656"/>
      <c r="J1286" s="654"/>
    </row>
    <row r="1287" spans="1:10" x14ac:dyDescent="0.35">
      <c r="A1287" s="615" t="s">
        <v>3858</v>
      </c>
      <c r="B1287" s="616" t="str">
        <f t="shared" si="20"/>
        <v/>
      </c>
      <c r="C1287" s="665"/>
      <c r="D1287" s="655">
        <v>2</v>
      </c>
      <c r="E1287" s="236"/>
      <c r="F1287" s="232" t="s">
        <v>2539</v>
      </c>
      <c r="G1287" s="239" t="s">
        <v>2585</v>
      </c>
      <c r="H1287" s="652"/>
      <c r="I1287" s="656"/>
      <c r="J1287" s="654"/>
    </row>
    <row r="1288" spans="1:10" x14ac:dyDescent="0.35">
      <c r="A1288" s="615" t="s">
        <v>3859</v>
      </c>
      <c r="B1288" s="616" t="str">
        <f t="shared" si="20"/>
        <v/>
      </c>
      <c r="C1288" s="665"/>
      <c r="D1288" s="655">
        <v>2</v>
      </c>
      <c r="E1288" s="236"/>
      <c r="F1288" s="232" t="s">
        <v>2539</v>
      </c>
      <c r="G1288" s="239" t="s">
        <v>2585</v>
      </c>
      <c r="H1288" s="652"/>
      <c r="I1288" s="656"/>
      <c r="J1288" s="654"/>
    </row>
    <row r="1289" spans="1:10" x14ac:dyDescent="0.35">
      <c r="A1289" s="615" t="s">
        <v>3860</v>
      </c>
      <c r="B1289" s="616" t="str">
        <f t="shared" si="20"/>
        <v/>
      </c>
      <c r="C1289" s="665"/>
      <c r="D1289" s="655">
        <v>2</v>
      </c>
      <c r="E1289" s="236"/>
      <c r="F1289" s="232" t="s">
        <v>2539</v>
      </c>
      <c r="G1289" s="239" t="s">
        <v>2585</v>
      </c>
      <c r="H1289" s="652"/>
      <c r="I1289" s="656"/>
      <c r="J1289" s="654"/>
    </row>
    <row r="1290" spans="1:10" x14ac:dyDescent="0.35">
      <c r="A1290" s="615" t="s">
        <v>3861</v>
      </c>
      <c r="B1290" s="616" t="str">
        <f t="shared" si="20"/>
        <v/>
      </c>
      <c r="C1290" s="665"/>
      <c r="D1290" s="655">
        <v>2</v>
      </c>
      <c r="E1290" s="236"/>
      <c r="F1290" s="232" t="s">
        <v>2539</v>
      </c>
      <c r="G1290" s="239" t="s">
        <v>2585</v>
      </c>
      <c r="H1290" s="652"/>
      <c r="I1290" s="656"/>
      <c r="J1290" s="654"/>
    </row>
    <row r="1291" spans="1:10" x14ac:dyDescent="0.35">
      <c r="A1291" s="615" t="s">
        <v>3862</v>
      </c>
      <c r="B1291" s="616" t="str">
        <f t="shared" si="20"/>
        <v/>
      </c>
      <c r="C1291" s="665"/>
      <c r="D1291" s="655">
        <v>2</v>
      </c>
      <c r="E1291" s="236"/>
      <c r="F1291" s="232" t="s">
        <v>2539</v>
      </c>
      <c r="G1291" s="239" t="s">
        <v>2585</v>
      </c>
      <c r="H1291" s="652"/>
      <c r="I1291" s="656"/>
      <c r="J1291" s="654"/>
    </row>
    <row r="1292" spans="1:10" ht="48" x14ac:dyDescent="0.35">
      <c r="A1292" s="615" t="s">
        <v>3863</v>
      </c>
      <c r="B1292" s="616" t="str">
        <f t="shared" si="20"/>
        <v/>
      </c>
      <c r="C1292" s="665"/>
      <c r="D1292" s="655" t="s">
        <v>75</v>
      </c>
      <c r="E1292" s="236"/>
      <c r="F1292" s="232" t="s">
        <v>76</v>
      </c>
      <c r="G1292" s="657" t="s">
        <v>2591</v>
      </c>
      <c r="H1292" s="652"/>
      <c r="I1292" s="656"/>
      <c r="J1292" s="654"/>
    </row>
    <row r="1293" spans="1:10" x14ac:dyDescent="0.35">
      <c r="A1293" s="615" t="s">
        <v>3864</v>
      </c>
      <c r="B1293" s="616" t="str">
        <f t="shared" si="20"/>
        <v/>
      </c>
      <c r="C1293" s="665"/>
      <c r="D1293" s="655">
        <v>2</v>
      </c>
      <c r="E1293" s="236"/>
      <c r="F1293" s="232" t="s">
        <v>2539</v>
      </c>
      <c r="G1293" s="239"/>
      <c r="H1293" s="652"/>
      <c r="I1293" s="656"/>
      <c r="J1293" s="654"/>
    </row>
    <row r="1294" spans="1:10" x14ac:dyDescent="0.35">
      <c r="A1294" s="615" t="s">
        <v>3865</v>
      </c>
      <c r="B1294" s="616" t="str">
        <f t="shared" si="20"/>
        <v/>
      </c>
      <c r="C1294" s="665"/>
      <c r="D1294" s="655">
        <v>0</v>
      </c>
      <c r="E1294" s="236"/>
      <c r="F1294" s="232" t="s">
        <v>2538</v>
      </c>
      <c r="G1294" s="239"/>
      <c r="H1294" s="652"/>
      <c r="I1294" s="656"/>
      <c r="J1294" s="654"/>
    </row>
    <row r="1295" spans="1:10" x14ac:dyDescent="0.35">
      <c r="A1295" s="615" t="s">
        <v>3866</v>
      </c>
      <c r="B1295" s="616" t="str">
        <f t="shared" si="20"/>
        <v/>
      </c>
      <c r="C1295" s="665"/>
      <c r="D1295" s="655">
        <v>0</v>
      </c>
      <c r="E1295" s="236"/>
      <c r="F1295" s="232" t="s">
        <v>2538</v>
      </c>
      <c r="G1295" s="239"/>
      <c r="H1295" s="652"/>
      <c r="I1295" s="656"/>
      <c r="J1295" s="654"/>
    </row>
    <row r="1296" spans="1:10" x14ac:dyDescent="0.35">
      <c r="A1296" s="615" t="s">
        <v>3867</v>
      </c>
      <c r="B1296" s="616" t="str">
        <f t="shared" si="20"/>
        <v/>
      </c>
      <c r="C1296" s="665"/>
      <c r="D1296" s="655">
        <v>0</v>
      </c>
      <c r="E1296" s="236"/>
      <c r="F1296" s="232" t="s">
        <v>2538</v>
      </c>
      <c r="G1296" s="239"/>
      <c r="H1296" s="652"/>
      <c r="I1296" s="656"/>
      <c r="J1296" s="654"/>
    </row>
    <row r="1297" spans="1:10" x14ac:dyDescent="0.35">
      <c r="A1297" s="615" t="s">
        <v>3868</v>
      </c>
      <c r="B1297" s="616" t="str">
        <f t="shared" si="20"/>
        <v/>
      </c>
      <c r="C1297" s="665"/>
      <c r="D1297" s="651">
        <v>2</v>
      </c>
      <c r="E1297" s="236"/>
      <c r="F1297" s="232" t="s">
        <v>2572</v>
      </c>
      <c r="G1297" s="239"/>
      <c r="H1297" s="652"/>
      <c r="I1297" s="656"/>
      <c r="J1297" s="654"/>
    </row>
    <row r="1298" spans="1:10" x14ac:dyDescent="0.35">
      <c r="A1298" s="615" t="s">
        <v>3869</v>
      </c>
      <c r="B1298" s="616" t="str">
        <f t="shared" si="20"/>
        <v/>
      </c>
      <c r="C1298" s="665"/>
      <c r="D1298" s="651">
        <v>2</v>
      </c>
      <c r="E1298" s="236"/>
      <c r="F1298" s="232" t="s">
        <v>2572</v>
      </c>
      <c r="G1298" s="239"/>
      <c r="H1298" s="652"/>
      <c r="I1298" s="656"/>
      <c r="J1298" s="654"/>
    </row>
    <row r="1299" spans="1:10" x14ac:dyDescent="0.35">
      <c r="A1299" s="615" t="s">
        <v>3870</v>
      </c>
      <c r="B1299" s="616" t="str">
        <f t="shared" si="20"/>
        <v/>
      </c>
      <c r="C1299" s="665"/>
      <c r="D1299" s="651">
        <v>2</v>
      </c>
      <c r="E1299" s="236"/>
      <c r="F1299" s="232" t="s">
        <v>2572</v>
      </c>
      <c r="G1299" s="239"/>
      <c r="H1299" s="652"/>
      <c r="I1299" s="656"/>
      <c r="J1299" s="654"/>
    </row>
    <row r="1300" spans="1:10" x14ac:dyDescent="0.35">
      <c r="A1300" s="615" t="s">
        <v>3871</v>
      </c>
      <c r="B1300" s="616" t="str">
        <f t="shared" si="20"/>
        <v/>
      </c>
      <c r="C1300" s="665"/>
      <c r="D1300" s="651">
        <v>2</v>
      </c>
      <c r="E1300" s="236"/>
      <c r="F1300" s="232" t="s">
        <v>2572</v>
      </c>
      <c r="G1300" s="239"/>
      <c r="H1300" s="652"/>
      <c r="I1300" s="656"/>
      <c r="J1300" s="654"/>
    </row>
    <row r="1301" spans="1:10" x14ac:dyDescent="0.35">
      <c r="A1301" s="615" t="s">
        <v>3872</v>
      </c>
      <c r="B1301" s="616" t="str">
        <f t="shared" si="20"/>
        <v/>
      </c>
      <c r="C1301" s="665"/>
      <c r="D1301" s="651">
        <v>2</v>
      </c>
      <c r="E1301" s="236"/>
      <c r="F1301" s="232" t="s">
        <v>2572</v>
      </c>
      <c r="G1301" s="239"/>
      <c r="H1301" s="652"/>
      <c r="I1301" s="656"/>
      <c r="J1301" s="654"/>
    </row>
    <row r="1302" spans="1:10" x14ac:dyDescent="0.35">
      <c r="A1302" s="615" t="s">
        <v>3873</v>
      </c>
      <c r="B1302" s="616" t="str">
        <f t="shared" si="20"/>
        <v/>
      </c>
      <c r="C1302" s="665"/>
      <c r="D1302" s="655">
        <v>6</v>
      </c>
      <c r="E1302" s="236"/>
      <c r="F1302" s="232" t="s">
        <v>2579</v>
      </c>
      <c r="G1302" s="239" t="s">
        <v>2583</v>
      </c>
      <c r="H1302" s="652"/>
      <c r="I1302" s="656"/>
      <c r="J1302" s="654"/>
    </row>
    <row r="1303" spans="1:10" x14ac:dyDescent="0.35">
      <c r="A1303" s="615" t="s">
        <v>3874</v>
      </c>
      <c r="B1303" s="616" t="str">
        <f t="shared" si="20"/>
        <v/>
      </c>
      <c r="C1303" s="665"/>
      <c r="D1303" s="655" t="s">
        <v>75</v>
      </c>
      <c r="E1303" s="236"/>
      <c r="F1303" s="232" t="s">
        <v>76</v>
      </c>
      <c r="G1303" s="239"/>
      <c r="H1303" s="652"/>
      <c r="I1303" s="656"/>
      <c r="J1303" s="654"/>
    </row>
    <row r="1304" spans="1:10" x14ac:dyDescent="0.35">
      <c r="A1304" s="615" t="s">
        <v>3875</v>
      </c>
      <c r="B1304" s="616" t="str">
        <f t="shared" si="20"/>
        <v/>
      </c>
      <c r="C1304" s="665"/>
      <c r="D1304" s="655">
        <v>2</v>
      </c>
      <c r="E1304" s="236"/>
      <c r="F1304" s="232" t="s">
        <v>2539</v>
      </c>
      <c r="G1304" s="239" t="s">
        <v>2585</v>
      </c>
      <c r="H1304" s="652"/>
      <c r="I1304" s="656"/>
      <c r="J1304" s="654"/>
    </row>
    <row r="1305" spans="1:10" x14ac:dyDescent="0.35">
      <c r="A1305" s="615" t="s">
        <v>3876</v>
      </c>
      <c r="B1305" s="616" t="str">
        <f t="shared" si="20"/>
        <v/>
      </c>
      <c r="C1305" s="665"/>
      <c r="D1305" s="655">
        <v>2</v>
      </c>
      <c r="E1305" s="236"/>
      <c r="F1305" s="232" t="s">
        <v>2539</v>
      </c>
      <c r="G1305" s="239" t="s">
        <v>2585</v>
      </c>
      <c r="H1305" s="652"/>
      <c r="I1305" s="656"/>
      <c r="J1305" s="654"/>
    </row>
    <row r="1306" spans="1:10" x14ac:dyDescent="0.35">
      <c r="A1306" s="615" t="s">
        <v>3877</v>
      </c>
      <c r="B1306" s="616" t="str">
        <f t="shared" si="20"/>
        <v/>
      </c>
      <c r="C1306" s="665"/>
      <c r="D1306" s="655">
        <v>2</v>
      </c>
      <c r="E1306" s="236"/>
      <c r="F1306" s="232" t="s">
        <v>2539</v>
      </c>
      <c r="G1306" s="239" t="s">
        <v>2585</v>
      </c>
      <c r="H1306" s="652"/>
      <c r="I1306" s="656"/>
      <c r="J1306" s="654"/>
    </row>
    <row r="1307" spans="1:10" x14ac:dyDescent="0.35">
      <c r="A1307" s="615" t="s">
        <v>3878</v>
      </c>
      <c r="B1307" s="616" t="str">
        <f t="shared" si="20"/>
        <v/>
      </c>
      <c r="C1307" s="665"/>
      <c r="D1307" s="655">
        <v>2</v>
      </c>
      <c r="E1307" s="236"/>
      <c r="F1307" s="232" t="s">
        <v>2539</v>
      </c>
      <c r="G1307" s="239" t="s">
        <v>2585</v>
      </c>
      <c r="H1307" s="652"/>
      <c r="I1307" s="656"/>
      <c r="J1307" s="654"/>
    </row>
    <row r="1308" spans="1:10" x14ac:dyDescent="0.35">
      <c r="A1308" s="615" t="s">
        <v>3879</v>
      </c>
      <c r="B1308" s="616" t="str">
        <f t="shared" si="20"/>
        <v/>
      </c>
      <c r="C1308" s="665"/>
      <c r="D1308" s="655">
        <v>2</v>
      </c>
      <c r="E1308" s="236"/>
      <c r="F1308" s="232" t="s">
        <v>2539</v>
      </c>
      <c r="G1308" s="239" t="s">
        <v>2585</v>
      </c>
      <c r="H1308" s="652"/>
      <c r="I1308" s="656"/>
      <c r="J1308" s="654"/>
    </row>
    <row r="1309" spans="1:10" x14ac:dyDescent="0.35">
      <c r="A1309" s="615" t="s">
        <v>3880</v>
      </c>
      <c r="B1309" s="616" t="str">
        <f t="shared" si="20"/>
        <v/>
      </c>
      <c r="C1309" s="665"/>
      <c r="D1309" s="655">
        <v>2</v>
      </c>
      <c r="E1309" s="236"/>
      <c r="F1309" s="232" t="s">
        <v>2539</v>
      </c>
      <c r="G1309" s="239" t="s">
        <v>2585</v>
      </c>
      <c r="H1309" s="652"/>
      <c r="I1309" s="656"/>
      <c r="J1309" s="654"/>
    </row>
    <row r="1310" spans="1:10" ht="48" x14ac:dyDescent="0.35">
      <c r="A1310" s="615" t="s">
        <v>3881</v>
      </c>
      <c r="B1310" s="616" t="str">
        <f t="shared" si="20"/>
        <v/>
      </c>
      <c r="C1310" s="665"/>
      <c r="D1310" s="655" t="s">
        <v>75</v>
      </c>
      <c r="E1310" s="236"/>
      <c r="F1310" s="232" t="s">
        <v>76</v>
      </c>
      <c r="G1310" s="657" t="s">
        <v>2591</v>
      </c>
      <c r="H1310" s="652"/>
      <c r="I1310" s="656"/>
      <c r="J1310" s="654"/>
    </row>
    <row r="1311" spans="1:10" x14ac:dyDescent="0.35">
      <c r="A1311" s="615" t="s">
        <v>3882</v>
      </c>
      <c r="B1311" s="616" t="str">
        <f t="shared" si="20"/>
        <v/>
      </c>
      <c r="C1311" s="665"/>
      <c r="D1311" s="655">
        <v>2</v>
      </c>
      <c r="E1311" s="236"/>
      <c r="F1311" s="232" t="s">
        <v>2539</v>
      </c>
      <c r="G1311" s="239"/>
      <c r="H1311" s="652"/>
      <c r="I1311" s="656"/>
      <c r="J1311" s="654"/>
    </row>
    <row r="1312" spans="1:10" x14ac:dyDescent="0.35">
      <c r="A1312" s="615" t="s">
        <v>3883</v>
      </c>
      <c r="B1312" s="616" t="str">
        <f t="shared" si="20"/>
        <v/>
      </c>
      <c r="C1312" s="665"/>
      <c r="D1312" s="655">
        <v>0</v>
      </c>
      <c r="E1312" s="236"/>
      <c r="F1312" s="232" t="s">
        <v>2538</v>
      </c>
      <c r="G1312" s="239"/>
      <c r="H1312" s="652"/>
      <c r="I1312" s="656"/>
      <c r="J1312" s="654"/>
    </row>
    <row r="1313" spans="1:10" x14ac:dyDescent="0.35">
      <c r="A1313" s="615" t="s">
        <v>3884</v>
      </c>
      <c r="B1313" s="616" t="str">
        <f t="shared" si="20"/>
        <v/>
      </c>
      <c r="C1313" s="665"/>
      <c r="D1313" s="655">
        <v>0</v>
      </c>
      <c r="E1313" s="236"/>
      <c r="F1313" s="232" t="s">
        <v>2538</v>
      </c>
      <c r="G1313" s="239"/>
      <c r="H1313" s="652"/>
      <c r="I1313" s="656"/>
      <c r="J1313" s="654"/>
    </row>
    <row r="1314" spans="1:10" x14ac:dyDescent="0.35">
      <c r="A1314" s="615" t="s">
        <v>3885</v>
      </c>
      <c r="B1314" s="616" t="str">
        <f t="shared" si="20"/>
        <v/>
      </c>
      <c r="C1314" s="665"/>
      <c r="D1314" s="655">
        <v>0</v>
      </c>
      <c r="E1314" s="236"/>
      <c r="F1314" s="232" t="s">
        <v>2538</v>
      </c>
      <c r="G1314" s="239"/>
      <c r="H1314" s="652"/>
      <c r="I1314" s="656"/>
      <c r="J1314" s="654"/>
    </row>
    <row r="1315" spans="1:10" x14ac:dyDescent="0.35">
      <c r="A1315" s="615" t="s">
        <v>3886</v>
      </c>
      <c r="B1315" s="616" t="str">
        <f t="shared" si="20"/>
        <v/>
      </c>
      <c r="C1315" s="665"/>
      <c r="D1315" s="651">
        <v>2</v>
      </c>
      <c r="E1315" s="236"/>
      <c r="F1315" s="232" t="s">
        <v>2572</v>
      </c>
      <c r="G1315" s="239"/>
      <c r="H1315" s="652"/>
      <c r="I1315" s="656"/>
      <c r="J1315" s="654"/>
    </row>
    <row r="1316" spans="1:10" x14ac:dyDescent="0.35">
      <c r="A1316" s="615" t="s">
        <v>3887</v>
      </c>
      <c r="B1316" s="616" t="str">
        <f t="shared" si="20"/>
        <v/>
      </c>
      <c r="C1316" s="665"/>
      <c r="D1316" s="651">
        <v>2</v>
      </c>
      <c r="E1316" s="236"/>
      <c r="F1316" s="232" t="s">
        <v>2572</v>
      </c>
      <c r="G1316" s="239"/>
      <c r="H1316" s="652"/>
      <c r="I1316" s="656"/>
      <c r="J1316" s="654"/>
    </row>
    <row r="1317" spans="1:10" x14ac:dyDescent="0.35">
      <c r="A1317" s="615" t="s">
        <v>3888</v>
      </c>
      <c r="B1317" s="616" t="str">
        <f t="shared" si="20"/>
        <v/>
      </c>
      <c r="C1317" s="665"/>
      <c r="D1317" s="651">
        <v>2</v>
      </c>
      <c r="E1317" s="236"/>
      <c r="F1317" s="232" t="s">
        <v>2572</v>
      </c>
      <c r="G1317" s="239"/>
      <c r="H1317" s="652"/>
      <c r="I1317" s="656"/>
      <c r="J1317" s="654"/>
    </row>
    <row r="1318" spans="1:10" x14ac:dyDescent="0.35">
      <c r="A1318" s="615" t="s">
        <v>3889</v>
      </c>
      <c r="B1318" s="616" t="str">
        <f t="shared" si="20"/>
        <v/>
      </c>
      <c r="C1318" s="665"/>
      <c r="D1318" s="651">
        <v>2</v>
      </c>
      <c r="E1318" s="236"/>
      <c r="F1318" s="232" t="s">
        <v>2572</v>
      </c>
      <c r="G1318" s="239"/>
      <c r="H1318" s="652"/>
      <c r="I1318" s="656"/>
      <c r="J1318" s="654"/>
    </row>
    <row r="1319" spans="1:10" x14ac:dyDescent="0.35">
      <c r="A1319" s="615" t="s">
        <v>3890</v>
      </c>
      <c r="B1319" s="616" t="str">
        <f t="shared" si="20"/>
        <v/>
      </c>
      <c r="C1319" s="665"/>
      <c r="D1319" s="651">
        <v>2</v>
      </c>
      <c r="E1319" s="236"/>
      <c r="F1319" s="232" t="s">
        <v>2572</v>
      </c>
      <c r="G1319" s="239"/>
      <c r="H1319" s="652"/>
      <c r="I1319" s="656"/>
      <c r="J1319" s="654"/>
    </row>
    <row r="1320" spans="1:10" x14ac:dyDescent="0.35">
      <c r="A1320" s="615" t="s">
        <v>3891</v>
      </c>
      <c r="B1320" s="616" t="str">
        <f t="shared" si="20"/>
        <v/>
      </c>
      <c r="C1320" s="665"/>
      <c r="D1320" s="655">
        <v>6</v>
      </c>
      <c r="E1320" s="236"/>
      <c r="F1320" s="232" t="s">
        <v>2579</v>
      </c>
      <c r="G1320" s="239" t="s">
        <v>2583</v>
      </c>
      <c r="H1320" s="652"/>
      <c r="I1320" s="656"/>
      <c r="J1320" s="654"/>
    </row>
    <row r="1321" spans="1:10" x14ac:dyDescent="0.35">
      <c r="A1321" s="615" t="s">
        <v>3892</v>
      </c>
      <c r="B1321" s="616" t="str">
        <f t="shared" si="20"/>
        <v/>
      </c>
      <c r="C1321" s="665"/>
      <c r="D1321" s="655" t="s">
        <v>75</v>
      </c>
      <c r="E1321" s="236"/>
      <c r="F1321" s="232" t="s">
        <v>76</v>
      </c>
      <c r="G1321" s="239"/>
      <c r="H1321" s="652"/>
      <c r="I1321" s="656"/>
      <c r="J1321" s="654"/>
    </row>
    <row r="1322" spans="1:10" x14ac:dyDescent="0.35">
      <c r="A1322" s="615" t="s">
        <v>3893</v>
      </c>
      <c r="B1322" s="616" t="str">
        <f t="shared" si="20"/>
        <v/>
      </c>
      <c r="C1322" s="665"/>
      <c r="D1322" s="655">
        <v>2</v>
      </c>
      <c r="E1322" s="236"/>
      <c r="F1322" s="232" t="s">
        <v>2539</v>
      </c>
      <c r="G1322" s="239" t="s">
        <v>2585</v>
      </c>
      <c r="H1322" s="652"/>
      <c r="I1322" s="656"/>
      <c r="J1322" s="654"/>
    </row>
    <row r="1323" spans="1:10" x14ac:dyDescent="0.35">
      <c r="A1323" s="615" t="s">
        <v>3894</v>
      </c>
      <c r="B1323" s="616" t="str">
        <f t="shared" si="20"/>
        <v/>
      </c>
      <c r="C1323" s="665"/>
      <c r="D1323" s="655">
        <v>2</v>
      </c>
      <c r="E1323" s="236"/>
      <c r="F1323" s="232" t="s">
        <v>2539</v>
      </c>
      <c r="G1323" s="239" t="s">
        <v>2585</v>
      </c>
      <c r="H1323" s="652"/>
      <c r="I1323" s="656"/>
      <c r="J1323" s="654"/>
    </row>
    <row r="1324" spans="1:10" x14ac:dyDescent="0.35">
      <c r="A1324" s="615" t="s">
        <v>3895</v>
      </c>
      <c r="B1324" s="616" t="str">
        <f t="shared" si="20"/>
        <v/>
      </c>
      <c r="C1324" s="665"/>
      <c r="D1324" s="655">
        <v>2</v>
      </c>
      <c r="E1324" s="236"/>
      <c r="F1324" s="232" t="s">
        <v>2539</v>
      </c>
      <c r="G1324" s="239" t="s">
        <v>2585</v>
      </c>
      <c r="H1324" s="652"/>
      <c r="I1324" s="656"/>
      <c r="J1324" s="654"/>
    </row>
    <row r="1325" spans="1:10" x14ac:dyDescent="0.35">
      <c r="A1325" s="615" t="s">
        <v>3896</v>
      </c>
      <c r="B1325" s="616" t="str">
        <f t="shared" si="20"/>
        <v/>
      </c>
      <c r="C1325" s="665"/>
      <c r="D1325" s="655">
        <v>2</v>
      </c>
      <c r="E1325" s="236"/>
      <c r="F1325" s="232" t="s">
        <v>2539</v>
      </c>
      <c r="G1325" s="239" t="s">
        <v>2585</v>
      </c>
      <c r="H1325" s="652"/>
      <c r="I1325" s="656"/>
      <c r="J1325" s="654"/>
    </row>
    <row r="1326" spans="1:10" x14ac:dyDescent="0.35">
      <c r="A1326" s="615" t="s">
        <v>3897</v>
      </c>
      <c r="B1326" s="616" t="str">
        <f t="shared" si="20"/>
        <v/>
      </c>
      <c r="C1326" s="665"/>
      <c r="D1326" s="655">
        <v>2</v>
      </c>
      <c r="E1326" s="236"/>
      <c r="F1326" s="232" t="s">
        <v>2539</v>
      </c>
      <c r="G1326" s="239" t="s">
        <v>2585</v>
      </c>
      <c r="H1326" s="652"/>
      <c r="I1326" s="656"/>
      <c r="J1326" s="654"/>
    </row>
    <row r="1327" spans="1:10" x14ac:dyDescent="0.35">
      <c r="A1327" s="615" t="s">
        <v>3898</v>
      </c>
      <c r="B1327" s="616" t="str">
        <f t="shared" si="20"/>
        <v/>
      </c>
      <c r="C1327" s="665"/>
      <c r="D1327" s="655">
        <v>2</v>
      </c>
      <c r="E1327" s="236"/>
      <c r="F1327" s="232" t="s">
        <v>2539</v>
      </c>
      <c r="G1327" s="239" t="s">
        <v>2585</v>
      </c>
      <c r="H1327" s="652"/>
      <c r="I1327" s="656"/>
      <c r="J1327" s="654"/>
    </row>
    <row r="1328" spans="1:10" ht="48" x14ac:dyDescent="0.35">
      <c r="A1328" s="615" t="s">
        <v>3899</v>
      </c>
      <c r="B1328" s="616" t="str">
        <f t="shared" si="20"/>
        <v/>
      </c>
      <c r="C1328" s="665"/>
      <c r="D1328" s="655" t="s">
        <v>75</v>
      </c>
      <c r="E1328" s="236"/>
      <c r="F1328" s="232" t="s">
        <v>76</v>
      </c>
      <c r="G1328" s="657" t="s">
        <v>2591</v>
      </c>
      <c r="H1328" s="652"/>
      <c r="I1328" s="656"/>
      <c r="J1328" s="654"/>
    </row>
    <row r="1329" spans="1:10" x14ac:dyDescent="0.35">
      <c r="A1329" s="615" t="s">
        <v>3900</v>
      </c>
      <c r="B1329" s="616" t="str">
        <f t="shared" si="20"/>
        <v/>
      </c>
      <c r="C1329" s="665"/>
      <c r="D1329" s="655">
        <v>2</v>
      </c>
      <c r="E1329" s="236"/>
      <c r="F1329" s="232" t="s">
        <v>2539</v>
      </c>
      <c r="G1329" s="239"/>
      <c r="H1329" s="652"/>
      <c r="I1329" s="656"/>
      <c r="J1329" s="654"/>
    </row>
    <row r="1330" spans="1:10" x14ac:dyDescent="0.35">
      <c r="A1330" s="615" t="s">
        <v>3901</v>
      </c>
      <c r="B1330" s="616" t="str">
        <f t="shared" si="20"/>
        <v/>
      </c>
      <c r="C1330" s="665"/>
      <c r="D1330" s="655">
        <v>0</v>
      </c>
      <c r="E1330" s="236"/>
      <c r="F1330" s="232" t="s">
        <v>2538</v>
      </c>
      <c r="G1330" s="239"/>
      <c r="H1330" s="652"/>
      <c r="I1330" s="656"/>
      <c r="J1330" s="654"/>
    </row>
    <row r="1331" spans="1:10" x14ac:dyDescent="0.35">
      <c r="A1331" s="615" t="s">
        <v>3902</v>
      </c>
      <c r="B1331" s="616" t="str">
        <f t="shared" si="20"/>
        <v/>
      </c>
      <c r="C1331" s="665"/>
      <c r="D1331" s="655">
        <v>0</v>
      </c>
      <c r="E1331" s="236"/>
      <c r="F1331" s="232" t="s">
        <v>2538</v>
      </c>
      <c r="G1331" s="239"/>
      <c r="H1331" s="652"/>
      <c r="I1331" s="656"/>
      <c r="J1331" s="654"/>
    </row>
    <row r="1332" spans="1:10" x14ac:dyDescent="0.35">
      <c r="A1332" s="615" t="s">
        <v>3903</v>
      </c>
      <c r="B1332" s="616" t="str">
        <f t="shared" si="20"/>
        <v/>
      </c>
      <c r="C1332" s="665"/>
      <c r="D1332" s="655">
        <v>0</v>
      </c>
      <c r="E1332" s="236"/>
      <c r="F1332" s="232" t="s">
        <v>2538</v>
      </c>
      <c r="G1332" s="239"/>
      <c r="H1332" s="652"/>
      <c r="I1332" s="656"/>
      <c r="J1332" s="654"/>
    </row>
    <row r="1333" spans="1:10" x14ac:dyDescent="0.35">
      <c r="A1333" s="615" t="s">
        <v>3904</v>
      </c>
      <c r="B1333" s="616" t="str">
        <f t="shared" si="20"/>
        <v/>
      </c>
      <c r="C1333" s="665"/>
      <c r="D1333" s="651">
        <v>2</v>
      </c>
      <c r="E1333" s="236"/>
      <c r="F1333" s="232" t="s">
        <v>2572</v>
      </c>
      <c r="G1333" s="239"/>
      <c r="H1333" s="652"/>
      <c r="I1333" s="656"/>
      <c r="J1333" s="654"/>
    </row>
    <row r="1334" spans="1:10" x14ac:dyDescent="0.35">
      <c r="A1334" s="615" t="s">
        <v>3905</v>
      </c>
      <c r="B1334" s="616" t="str">
        <f t="shared" si="20"/>
        <v/>
      </c>
      <c r="C1334" s="665"/>
      <c r="D1334" s="651">
        <v>2</v>
      </c>
      <c r="E1334" s="236"/>
      <c r="F1334" s="232" t="s">
        <v>2572</v>
      </c>
      <c r="G1334" s="239"/>
      <c r="H1334" s="652"/>
      <c r="I1334" s="656"/>
      <c r="J1334" s="654"/>
    </row>
    <row r="1335" spans="1:10" x14ac:dyDescent="0.35">
      <c r="A1335" s="615" t="s">
        <v>3906</v>
      </c>
      <c r="B1335" s="616" t="str">
        <f t="shared" si="20"/>
        <v/>
      </c>
      <c r="C1335" s="665"/>
      <c r="D1335" s="651">
        <v>2</v>
      </c>
      <c r="E1335" s="236"/>
      <c r="F1335" s="232" t="s">
        <v>2572</v>
      </c>
      <c r="G1335" s="239"/>
      <c r="H1335" s="652"/>
      <c r="I1335" s="656"/>
      <c r="J1335" s="654"/>
    </row>
    <row r="1336" spans="1:10" x14ac:dyDescent="0.35">
      <c r="A1336" s="615" t="s">
        <v>3907</v>
      </c>
      <c r="B1336" s="616" t="str">
        <f t="shared" si="20"/>
        <v/>
      </c>
      <c r="C1336" s="665"/>
      <c r="D1336" s="651">
        <v>2</v>
      </c>
      <c r="E1336" s="236"/>
      <c r="F1336" s="232" t="s">
        <v>2572</v>
      </c>
      <c r="G1336" s="239"/>
      <c r="H1336" s="652"/>
      <c r="I1336" s="656"/>
      <c r="J1336" s="654"/>
    </row>
    <row r="1337" spans="1:10" x14ac:dyDescent="0.35">
      <c r="A1337" s="615" t="s">
        <v>3908</v>
      </c>
      <c r="B1337" s="616" t="str">
        <f t="shared" si="20"/>
        <v/>
      </c>
      <c r="C1337" s="665"/>
      <c r="D1337" s="651">
        <v>2</v>
      </c>
      <c r="E1337" s="236"/>
      <c r="F1337" s="232" t="s">
        <v>2572</v>
      </c>
      <c r="G1337" s="239"/>
      <c r="H1337" s="652"/>
      <c r="I1337" s="656"/>
      <c r="J1337" s="654"/>
    </row>
    <row r="1338" spans="1:10" x14ac:dyDescent="0.35">
      <c r="A1338" s="615" t="s">
        <v>3909</v>
      </c>
      <c r="B1338" s="616" t="str">
        <f t="shared" si="20"/>
        <v/>
      </c>
      <c r="C1338" s="665"/>
      <c r="D1338" s="655">
        <v>6</v>
      </c>
      <c r="E1338" s="236"/>
      <c r="F1338" s="232" t="s">
        <v>2579</v>
      </c>
      <c r="G1338" s="239" t="s">
        <v>2583</v>
      </c>
      <c r="H1338" s="652"/>
      <c r="I1338" s="656"/>
      <c r="J1338" s="654"/>
    </row>
    <row r="1339" spans="1:10" x14ac:dyDescent="0.35">
      <c r="A1339" s="615" t="s">
        <v>3910</v>
      </c>
      <c r="B1339" s="616" t="str">
        <f t="shared" si="20"/>
        <v/>
      </c>
      <c r="C1339" s="665"/>
      <c r="D1339" s="655" t="s">
        <v>75</v>
      </c>
      <c r="E1339" s="236"/>
      <c r="F1339" s="232" t="s">
        <v>76</v>
      </c>
      <c r="G1339" s="239"/>
      <c r="H1339" s="652"/>
      <c r="I1339" s="656"/>
      <c r="J1339" s="654"/>
    </row>
    <row r="1340" spans="1:10" x14ac:dyDescent="0.35">
      <c r="A1340" s="615" t="s">
        <v>3911</v>
      </c>
      <c r="B1340" s="616" t="str">
        <f t="shared" si="20"/>
        <v/>
      </c>
      <c r="C1340" s="665"/>
      <c r="D1340" s="655">
        <v>2</v>
      </c>
      <c r="E1340" s="236"/>
      <c r="F1340" s="232" t="s">
        <v>2539</v>
      </c>
      <c r="G1340" s="239" t="s">
        <v>2585</v>
      </c>
      <c r="H1340" s="652"/>
      <c r="I1340" s="656"/>
      <c r="J1340" s="654"/>
    </row>
    <row r="1341" spans="1:10" x14ac:dyDescent="0.35">
      <c r="A1341" s="615" t="s">
        <v>3912</v>
      </c>
      <c r="B1341" s="616" t="str">
        <f t="shared" si="20"/>
        <v/>
      </c>
      <c r="C1341" s="665"/>
      <c r="D1341" s="655">
        <v>2</v>
      </c>
      <c r="E1341" s="236"/>
      <c r="F1341" s="232" t="s">
        <v>2539</v>
      </c>
      <c r="G1341" s="239" t="s">
        <v>2585</v>
      </c>
      <c r="H1341" s="652"/>
      <c r="I1341" s="656"/>
      <c r="J1341" s="654"/>
    </row>
    <row r="1342" spans="1:10" x14ac:dyDescent="0.35">
      <c r="A1342" s="615" t="s">
        <v>3913</v>
      </c>
      <c r="B1342" s="616" t="str">
        <f t="shared" si="20"/>
        <v/>
      </c>
      <c r="C1342" s="665"/>
      <c r="D1342" s="655">
        <v>2</v>
      </c>
      <c r="E1342" s="236"/>
      <c r="F1342" s="232" t="s">
        <v>2539</v>
      </c>
      <c r="G1342" s="239" t="s">
        <v>2585</v>
      </c>
      <c r="H1342" s="652"/>
      <c r="I1342" s="656"/>
      <c r="J1342" s="654"/>
    </row>
    <row r="1343" spans="1:10" x14ac:dyDescent="0.35">
      <c r="A1343" s="615" t="s">
        <v>3914</v>
      </c>
      <c r="B1343" s="616" t="str">
        <f t="shared" si="20"/>
        <v/>
      </c>
      <c r="C1343" s="665"/>
      <c r="D1343" s="655">
        <v>2</v>
      </c>
      <c r="E1343" s="236"/>
      <c r="F1343" s="232" t="s">
        <v>2539</v>
      </c>
      <c r="G1343" s="239" t="s">
        <v>2585</v>
      </c>
      <c r="H1343" s="652"/>
      <c r="I1343" s="656"/>
      <c r="J1343" s="654"/>
    </row>
    <row r="1344" spans="1:10" x14ac:dyDescent="0.35">
      <c r="A1344" s="615" t="s">
        <v>3915</v>
      </c>
      <c r="B1344" s="616" t="str">
        <f t="shared" si="20"/>
        <v/>
      </c>
      <c r="C1344" s="665"/>
      <c r="D1344" s="655">
        <v>2</v>
      </c>
      <c r="E1344" s="236"/>
      <c r="F1344" s="232" t="s">
        <v>2539</v>
      </c>
      <c r="G1344" s="239" t="s">
        <v>2585</v>
      </c>
      <c r="H1344" s="652"/>
      <c r="I1344" s="656"/>
      <c r="J1344" s="654"/>
    </row>
    <row r="1345" spans="1:10" x14ac:dyDescent="0.35">
      <c r="A1345" s="615" t="s">
        <v>3916</v>
      </c>
      <c r="B1345" s="616" t="str">
        <f t="shared" si="20"/>
        <v/>
      </c>
      <c r="C1345" s="665"/>
      <c r="D1345" s="655">
        <v>2</v>
      </c>
      <c r="E1345" s="236"/>
      <c r="F1345" s="232" t="s">
        <v>2539</v>
      </c>
      <c r="G1345" s="239" t="s">
        <v>2585</v>
      </c>
      <c r="H1345" s="652"/>
      <c r="I1345" s="656"/>
      <c r="J1345" s="654"/>
    </row>
    <row r="1346" spans="1:10" ht="48" x14ac:dyDescent="0.35">
      <c r="A1346" s="615" t="s">
        <v>3917</v>
      </c>
      <c r="B1346" s="616" t="str">
        <f t="shared" si="20"/>
        <v/>
      </c>
      <c r="C1346" s="665"/>
      <c r="D1346" s="655" t="s">
        <v>75</v>
      </c>
      <c r="E1346" s="236"/>
      <c r="F1346" s="232" t="s">
        <v>76</v>
      </c>
      <c r="G1346" s="657" t="s">
        <v>2591</v>
      </c>
      <c r="H1346" s="652"/>
      <c r="I1346" s="656"/>
      <c r="J1346" s="654"/>
    </row>
    <row r="1347" spans="1:10" x14ac:dyDescent="0.35">
      <c r="A1347" s="615" t="s">
        <v>3918</v>
      </c>
      <c r="B1347" s="616" t="str">
        <f t="shared" si="20"/>
        <v/>
      </c>
      <c r="C1347" s="665"/>
      <c r="D1347" s="655">
        <v>2</v>
      </c>
      <c r="E1347" s="236"/>
      <c r="F1347" s="232" t="s">
        <v>2539</v>
      </c>
      <c r="G1347" s="239"/>
      <c r="H1347" s="652"/>
      <c r="I1347" s="656"/>
      <c r="J1347" s="654"/>
    </row>
    <row r="1348" spans="1:10" x14ac:dyDescent="0.35">
      <c r="A1348" s="615" t="s">
        <v>3919</v>
      </c>
      <c r="B1348" s="616" t="str">
        <f t="shared" si="20"/>
        <v/>
      </c>
      <c r="C1348" s="665"/>
      <c r="D1348" s="655">
        <v>0</v>
      </c>
      <c r="E1348" s="236"/>
      <c r="F1348" s="232" t="s">
        <v>2538</v>
      </c>
      <c r="G1348" s="239"/>
      <c r="H1348" s="652"/>
      <c r="I1348" s="656"/>
      <c r="J1348" s="654"/>
    </row>
    <row r="1349" spans="1:10" x14ac:dyDescent="0.35">
      <c r="A1349" s="615" t="s">
        <v>3920</v>
      </c>
      <c r="B1349" s="616" t="str">
        <f t="shared" si="20"/>
        <v/>
      </c>
      <c r="C1349" s="665"/>
      <c r="D1349" s="655">
        <v>0</v>
      </c>
      <c r="E1349" s="236"/>
      <c r="F1349" s="232" t="s">
        <v>2538</v>
      </c>
      <c r="G1349" s="239"/>
      <c r="H1349" s="652"/>
      <c r="I1349" s="656"/>
      <c r="J1349" s="654"/>
    </row>
    <row r="1350" spans="1:10" x14ac:dyDescent="0.35">
      <c r="A1350" s="615" t="s">
        <v>3921</v>
      </c>
      <c r="B1350" s="616" t="str">
        <f t="shared" ref="B1350:B1401" si="21">IF(C1350="","",IF(D1350="Datum",TEXT(DAY(C1350),"00")&amp;"."&amp;TEXT(MONTH(C1350),"00")&amp;"."&amp;TEXT(YEAR(C1350),"0000"),IF(AND(ISNUMBER(C1350),D1350="x"),TEXT(C1350,"@"),IF(ISNUMBER(C1350),TEXT(ROUNDDOWN(C1350,0),0)&amp;IF(D1350=0,"","."&amp;IF(C1350-ROUNDDOWN(C1350,0)=0,LEFT("0000000000",D1350),TEXT((C1350-ROUNDDOWN(C1350,0))*(1&amp; LEFT("0000000000",$D1350)),LEFT("0000000000",$D1350)))),C1350))))</f>
        <v/>
      </c>
      <c r="C1350" s="665"/>
      <c r="D1350" s="655">
        <v>0</v>
      </c>
      <c r="E1350" s="236"/>
      <c r="F1350" s="232" t="s">
        <v>2538</v>
      </c>
      <c r="G1350" s="239"/>
      <c r="H1350" s="652"/>
      <c r="I1350" s="656"/>
      <c r="J1350" s="654"/>
    </row>
    <row r="1351" spans="1:10" x14ac:dyDescent="0.35">
      <c r="A1351" s="615" t="s">
        <v>3922</v>
      </c>
      <c r="B1351" s="616" t="str">
        <f t="shared" si="21"/>
        <v/>
      </c>
      <c r="C1351" s="665"/>
      <c r="D1351" s="651">
        <v>2</v>
      </c>
      <c r="E1351" s="236"/>
      <c r="F1351" s="232" t="s">
        <v>2572</v>
      </c>
      <c r="G1351" s="239"/>
      <c r="H1351" s="652"/>
      <c r="I1351" s="656"/>
      <c r="J1351" s="654"/>
    </row>
    <row r="1352" spans="1:10" x14ac:dyDescent="0.35">
      <c r="A1352" s="615" t="s">
        <v>3923</v>
      </c>
      <c r="B1352" s="616" t="str">
        <f t="shared" si="21"/>
        <v/>
      </c>
      <c r="C1352" s="665"/>
      <c r="D1352" s="651">
        <v>2</v>
      </c>
      <c r="E1352" s="236"/>
      <c r="F1352" s="232" t="s">
        <v>2572</v>
      </c>
      <c r="G1352" s="239"/>
      <c r="H1352" s="652"/>
      <c r="I1352" s="656"/>
      <c r="J1352" s="654"/>
    </row>
    <row r="1353" spans="1:10" x14ac:dyDescent="0.35">
      <c r="A1353" s="615" t="s">
        <v>3924</v>
      </c>
      <c r="B1353" s="616" t="str">
        <f t="shared" si="21"/>
        <v/>
      </c>
      <c r="C1353" s="665"/>
      <c r="D1353" s="651">
        <v>2</v>
      </c>
      <c r="E1353" s="236"/>
      <c r="F1353" s="232" t="s">
        <v>2572</v>
      </c>
      <c r="G1353" s="239"/>
      <c r="H1353" s="652"/>
      <c r="I1353" s="656"/>
      <c r="J1353" s="654"/>
    </row>
    <row r="1354" spans="1:10" x14ac:dyDescent="0.35">
      <c r="A1354" s="615" t="s">
        <v>3925</v>
      </c>
      <c r="B1354" s="616" t="str">
        <f t="shared" si="21"/>
        <v/>
      </c>
      <c r="C1354" s="665"/>
      <c r="D1354" s="651">
        <v>2</v>
      </c>
      <c r="E1354" s="236"/>
      <c r="F1354" s="232" t="s">
        <v>2572</v>
      </c>
      <c r="G1354" s="239"/>
      <c r="H1354" s="652"/>
      <c r="I1354" s="656"/>
      <c r="J1354" s="654"/>
    </row>
    <row r="1355" spans="1:10" x14ac:dyDescent="0.35">
      <c r="A1355" s="615" t="s">
        <v>3926</v>
      </c>
      <c r="B1355" s="616" t="str">
        <f t="shared" si="21"/>
        <v/>
      </c>
      <c r="C1355" s="665"/>
      <c r="D1355" s="651">
        <v>2</v>
      </c>
      <c r="E1355" s="236"/>
      <c r="F1355" s="232" t="s">
        <v>2572</v>
      </c>
      <c r="G1355" s="239"/>
      <c r="H1355" s="652"/>
      <c r="I1355" s="656"/>
      <c r="J1355" s="654"/>
    </row>
    <row r="1356" spans="1:10" x14ac:dyDescent="0.35">
      <c r="A1356" s="615" t="s">
        <v>3927</v>
      </c>
      <c r="B1356" s="616" t="str">
        <f t="shared" si="21"/>
        <v/>
      </c>
      <c r="C1356" s="665"/>
      <c r="D1356" s="655">
        <v>6</v>
      </c>
      <c r="E1356" s="236"/>
      <c r="F1356" s="232" t="s">
        <v>2579</v>
      </c>
      <c r="G1356" s="239" t="s">
        <v>2583</v>
      </c>
      <c r="H1356" s="652"/>
      <c r="I1356" s="656"/>
      <c r="J1356" s="654"/>
    </row>
    <row r="1357" spans="1:10" x14ac:dyDescent="0.35">
      <c r="A1357" s="615" t="s">
        <v>3928</v>
      </c>
      <c r="B1357" s="616" t="str">
        <f t="shared" si="21"/>
        <v/>
      </c>
      <c r="C1357" s="665"/>
      <c r="D1357" s="655" t="s">
        <v>75</v>
      </c>
      <c r="E1357" s="236"/>
      <c r="F1357" s="232" t="s">
        <v>76</v>
      </c>
      <c r="G1357" s="239"/>
      <c r="H1357" s="652"/>
      <c r="I1357" s="656"/>
      <c r="J1357" s="654"/>
    </row>
    <row r="1358" spans="1:10" x14ac:dyDescent="0.35">
      <c r="A1358" s="615" t="s">
        <v>3929</v>
      </c>
      <c r="B1358" s="616" t="str">
        <f t="shared" si="21"/>
        <v/>
      </c>
      <c r="C1358" s="665"/>
      <c r="D1358" s="655">
        <v>2</v>
      </c>
      <c r="E1358" s="236"/>
      <c r="F1358" s="232" t="s">
        <v>2539</v>
      </c>
      <c r="G1358" s="239" t="s">
        <v>2585</v>
      </c>
      <c r="H1358" s="652"/>
      <c r="I1358" s="656"/>
      <c r="J1358" s="654"/>
    </row>
    <row r="1359" spans="1:10" x14ac:dyDescent="0.35">
      <c r="A1359" s="615" t="s">
        <v>3930</v>
      </c>
      <c r="B1359" s="616" t="str">
        <f t="shared" si="21"/>
        <v/>
      </c>
      <c r="C1359" s="665"/>
      <c r="D1359" s="655">
        <v>2</v>
      </c>
      <c r="E1359" s="236"/>
      <c r="F1359" s="232" t="s">
        <v>2539</v>
      </c>
      <c r="G1359" s="239" t="s">
        <v>2585</v>
      </c>
      <c r="H1359" s="652"/>
      <c r="I1359" s="656"/>
      <c r="J1359" s="654"/>
    </row>
    <row r="1360" spans="1:10" x14ac:dyDescent="0.35">
      <c r="A1360" s="615" t="s">
        <v>3931</v>
      </c>
      <c r="B1360" s="616" t="str">
        <f t="shared" si="21"/>
        <v/>
      </c>
      <c r="C1360" s="665"/>
      <c r="D1360" s="655">
        <v>2</v>
      </c>
      <c r="E1360" s="236"/>
      <c r="F1360" s="232" t="s">
        <v>2539</v>
      </c>
      <c r="G1360" s="239" t="s">
        <v>2585</v>
      </c>
      <c r="H1360" s="652"/>
      <c r="I1360" s="656"/>
      <c r="J1360" s="654"/>
    </row>
    <row r="1361" spans="1:10" x14ac:dyDescent="0.35">
      <c r="A1361" s="615" t="s">
        <v>3932</v>
      </c>
      <c r="B1361" s="616" t="str">
        <f t="shared" si="21"/>
        <v/>
      </c>
      <c r="C1361" s="665"/>
      <c r="D1361" s="655">
        <v>2</v>
      </c>
      <c r="E1361" s="236"/>
      <c r="F1361" s="232" t="s">
        <v>2539</v>
      </c>
      <c r="G1361" s="239" t="s">
        <v>2585</v>
      </c>
      <c r="H1361" s="652"/>
      <c r="I1361" s="656"/>
      <c r="J1361" s="654"/>
    </row>
    <row r="1362" spans="1:10" x14ac:dyDescent="0.35">
      <c r="A1362" s="615" t="s">
        <v>3933</v>
      </c>
      <c r="B1362" s="616" t="str">
        <f t="shared" si="21"/>
        <v/>
      </c>
      <c r="C1362" s="665"/>
      <c r="D1362" s="655">
        <v>2</v>
      </c>
      <c r="E1362" s="236"/>
      <c r="F1362" s="232" t="s">
        <v>2539</v>
      </c>
      <c r="G1362" s="239" t="s">
        <v>2585</v>
      </c>
      <c r="H1362" s="652"/>
      <c r="I1362" s="656"/>
      <c r="J1362" s="654"/>
    </row>
    <row r="1363" spans="1:10" x14ac:dyDescent="0.35">
      <c r="A1363" s="615" t="s">
        <v>3934</v>
      </c>
      <c r="B1363" s="616" t="str">
        <f t="shared" si="21"/>
        <v/>
      </c>
      <c r="C1363" s="665"/>
      <c r="D1363" s="655">
        <v>2</v>
      </c>
      <c r="E1363" s="236"/>
      <c r="F1363" s="232" t="s">
        <v>2539</v>
      </c>
      <c r="G1363" s="239" t="s">
        <v>2585</v>
      </c>
      <c r="H1363" s="652"/>
      <c r="I1363" s="656"/>
      <c r="J1363" s="654"/>
    </row>
    <row r="1364" spans="1:10" ht="48" x14ac:dyDescent="0.35">
      <c r="A1364" s="615" t="s">
        <v>3935</v>
      </c>
      <c r="B1364" s="616" t="str">
        <f t="shared" si="21"/>
        <v/>
      </c>
      <c r="C1364" s="665"/>
      <c r="D1364" s="655" t="s">
        <v>75</v>
      </c>
      <c r="E1364" s="236"/>
      <c r="F1364" s="232" t="s">
        <v>76</v>
      </c>
      <c r="G1364" s="657" t="s">
        <v>2591</v>
      </c>
      <c r="H1364" s="652"/>
      <c r="I1364" s="656"/>
      <c r="J1364" s="654"/>
    </row>
    <row r="1365" spans="1:10" x14ac:dyDescent="0.35">
      <c r="A1365" s="615" t="s">
        <v>3936</v>
      </c>
      <c r="B1365" s="616" t="str">
        <f t="shared" si="21"/>
        <v/>
      </c>
      <c r="C1365" s="665"/>
      <c r="D1365" s="655">
        <v>2</v>
      </c>
      <c r="E1365" s="236"/>
      <c r="F1365" s="232" t="s">
        <v>2539</v>
      </c>
      <c r="G1365" s="239"/>
      <c r="H1365" s="652"/>
      <c r="I1365" s="656"/>
      <c r="J1365" s="654"/>
    </row>
    <row r="1366" spans="1:10" x14ac:dyDescent="0.35">
      <c r="A1366" s="615" t="s">
        <v>3937</v>
      </c>
      <c r="B1366" s="616" t="str">
        <f t="shared" si="21"/>
        <v/>
      </c>
      <c r="C1366" s="665"/>
      <c r="D1366" s="655">
        <v>0</v>
      </c>
      <c r="E1366" s="236"/>
      <c r="F1366" s="232" t="s">
        <v>2538</v>
      </c>
      <c r="G1366" s="239"/>
      <c r="H1366" s="652"/>
      <c r="I1366" s="656"/>
      <c r="J1366" s="654"/>
    </row>
    <row r="1367" spans="1:10" x14ac:dyDescent="0.35">
      <c r="A1367" s="615" t="s">
        <v>3938</v>
      </c>
      <c r="B1367" s="616" t="str">
        <f t="shared" si="21"/>
        <v/>
      </c>
      <c r="C1367" s="665"/>
      <c r="D1367" s="655">
        <v>0</v>
      </c>
      <c r="E1367" s="236"/>
      <c r="F1367" s="232" t="s">
        <v>2538</v>
      </c>
      <c r="G1367" s="239"/>
      <c r="H1367" s="652"/>
      <c r="I1367" s="656"/>
      <c r="J1367" s="654"/>
    </row>
    <row r="1368" spans="1:10" x14ac:dyDescent="0.35">
      <c r="A1368" s="615" t="s">
        <v>3939</v>
      </c>
      <c r="B1368" s="616" t="str">
        <f t="shared" si="21"/>
        <v/>
      </c>
      <c r="C1368" s="665"/>
      <c r="D1368" s="655">
        <v>0</v>
      </c>
      <c r="E1368" s="236"/>
      <c r="F1368" s="232" t="s">
        <v>2538</v>
      </c>
      <c r="G1368" s="239"/>
      <c r="H1368" s="652"/>
      <c r="I1368" s="656"/>
      <c r="J1368" s="654"/>
    </row>
    <row r="1369" spans="1:10" x14ac:dyDescent="0.35">
      <c r="A1369" s="615" t="s">
        <v>3940</v>
      </c>
      <c r="B1369" s="616" t="str">
        <f t="shared" si="21"/>
        <v/>
      </c>
      <c r="C1369" s="665"/>
      <c r="D1369" s="651">
        <v>2</v>
      </c>
      <c r="E1369" s="236"/>
      <c r="F1369" s="232" t="s">
        <v>2572</v>
      </c>
      <c r="G1369" s="239"/>
      <c r="H1369" s="652"/>
      <c r="I1369" s="656"/>
      <c r="J1369" s="654"/>
    </row>
    <row r="1370" spans="1:10" x14ac:dyDescent="0.35">
      <c r="A1370" s="615" t="s">
        <v>3941</v>
      </c>
      <c r="B1370" s="616" t="str">
        <f t="shared" si="21"/>
        <v/>
      </c>
      <c r="C1370" s="665"/>
      <c r="D1370" s="651">
        <v>2</v>
      </c>
      <c r="E1370" s="236"/>
      <c r="F1370" s="232" t="s">
        <v>2572</v>
      </c>
      <c r="G1370" s="239"/>
      <c r="H1370" s="652"/>
      <c r="I1370" s="656"/>
      <c r="J1370" s="654"/>
    </row>
    <row r="1371" spans="1:10" x14ac:dyDescent="0.35">
      <c r="A1371" s="615" t="s">
        <v>3942</v>
      </c>
      <c r="B1371" s="616" t="str">
        <f t="shared" si="21"/>
        <v/>
      </c>
      <c r="C1371" s="665"/>
      <c r="D1371" s="651">
        <v>2</v>
      </c>
      <c r="E1371" s="236"/>
      <c r="F1371" s="232" t="s">
        <v>2572</v>
      </c>
      <c r="G1371" s="239"/>
      <c r="H1371" s="652"/>
      <c r="I1371" s="656"/>
      <c r="J1371" s="654"/>
    </row>
    <row r="1372" spans="1:10" x14ac:dyDescent="0.35">
      <c r="A1372" s="615" t="s">
        <v>3943</v>
      </c>
      <c r="B1372" s="616" t="str">
        <f t="shared" si="21"/>
        <v/>
      </c>
      <c r="C1372" s="665"/>
      <c r="D1372" s="651">
        <v>2</v>
      </c>
      <c r="E1372" s="236"/>
      <c r="F1372" s="232" t="s">
        <v>2572</v>
      </c>
      <c r="G1372" s="239"/>
      <c r="H1372" s="652"/>
      <c r="I1372" s="656"/>
      <c r="J1372" s="654"/>
    </row>
    <row r="1373" spans="1:10" x14ac:dyDescent="0.35">
      <c r="A1373" s="615" t="s">
        <v>3944</v>
      </c>
      <c r="B1373" s="616" t="str">
        <f t="shared" si="21"/>
        <v/>
      </c>
      <c r="C1373" s="665"/>
      <c r="D1373" s="651">
        <v>2</v>
      </c>
      <c r="E1373" s="236"/>
      <c r="F1373" s="232" t="s">
        <v>2572</v>
      </c>
      <c r="G1373" s="239"/>
      <c r="H1373" s="652"/>
      <c r="I1373" s="656"/>
      <c r="J1373" s="654"/>
    </row>
    <row r="1374" spans="1:10" x14ac:dyDescent="0.35">
      <c r="A1374" s="615" t="s">
        <v>3945</v>
      </c>
      <c r="B1374" s="616" t="str">
        <f t="shared" si="21"/>
        <v/>
      </c>
      <c r="C1374" s="665"/>
      <c r="D1374" s="655">
        <v>6</v>
      </c>
      <c r="E1374" s="236"/>
      <c r="F1374" s="232" t="s">
        <v>2579</v>
      </c>
      <c r="G1374" s="239" t="s">
        <v>2583</v>
      </c>
      <c r="H1374" s="652"/>
      <c r="I1374" s="656"/>
      <c r="J1374" s="654"/>
    </row>
    <row r="1375" spans="1:10" x14ac:dyDescent="0.35">
      <c r="A1375" s="615" t="s">
        <v>3946</v>
      </c>
      <c r="B1375" s="616" t="str">
        <f t="shared" si="21"/>
        <v/>
      </c>
      <c r="C1375" s="665"/>
      <c r="D1375" s="655" t="s">
        <v>75</v>
      </c>
      <c r="E1375" s="236"/>
      <c r="F1375" s="232" t="s">
        <v>76</v>
      </c>
      <c r="G1375" s="239"/>
      <c r="H1375" s="652"/>
      <c r="I1375" s="656"/>
      <c r="J1375" s="654"/>
    </row>
    <row r="1376" spans="1:10" x14ac:dyDescent="0.35">
      <c r="A1376" s="615" t="s">
        <v>3947</v>
      </c>
      <c r="B1376" s="616" t="str">
        <f t="shared" si="21"/>
        <v/>
      </c>
      <c r="C1376" s="665"/>
      <c r="D1376" s="655">
        <v>2</v>
      </c>
      <c r="E1376" s="236"/>
      <c r="F1376" s="232" t="s">
        <v>2539</v>
      </c>
      <c r="G1376" s="239" t="s">
        <v>2585</v>
      </c>
      <c r="H1376" s="652"/>
      <c r="I1376" s="656"/>
      <c r="J1376" s="654"/>
    </row>
    <row r="1377" spans="1:10" x14ac:dyDescent="0.35">
      <c r="A1377" s="615" t="s">
        <v>3948</v>
      </c>
      <c r="B1377" s="616" t="str">
        <f t="shared" si="21"/>
        <v/>
      </c>
      <c r="C1377" s="665"/>
      <c r="D1377" s="655">
        <v>2</v>
      </c>
      <c r="E1377" s="236"/>
      <c r="F1377" s="232" t="s">
        <v>2539</v>
      </c>
      <c r="G1377" s="239" t="s">
        <v>2585</v>
      </c>
      <c r="H1377" s="652"/>
      <c r="I1377" s="656"/>
      <c r="J1377" s="654"/>
    </row>
    <row r="1378" spans="1:10" x14ac:dyDescent="0.35">
      <c r="A1378" s="615" t="s">
        <v>3949</v>
      </c>
      <c r="B1378" s="616" t="str">
        <f t="shared" si="21"/>
        <v/>
      </c>
      <c r="C1378" s="665"/>
      <c r="D1378" s="655">
        <v>2</v>
      </c>
      <c r="E1378" s="236"/>
      <c r="F1378" s="232" t="s">
        <v>2539</v>
      </c>
      <c r="G1378" s="239" t="s">
        <v>2585</v>
      </c>
      <c r="H1378" s="652"/>
      <c r="I1378" s="656"/>
      <c r="J1378" s="654"/>
    </row>
    <row r="1379" spans="1:10" x14ac:dyDescent="0.35">
      <c r="A1379" s="615" t="s">
        <v>3950</v>
      </c>
      <c r="B1379" s="616" t="str">
        <f t="shared" si="21"/>
        <v/>
      </c>
      <c r="C1379" s="665"/>
      <c r="D1379" s="655">
        <v>2</v>
      </c>
      <c r="E1379" s="236"/>
      <c r="F1379" s="232" t="s">
        <v>2539</v>
      </c>
      <c r="G1379" s="239" t="s">
        <v>2585</v>
      </c>
      <c r="H1379" s="652"/>
      <c r="I1379" s="656"/>
      <c r="J1379" s="654"/>
    </row>
    <row r="1380" spans="1:10" x14ac:dyDescent="0.35">
      <c r="A1380" s="615" t="s">
        <v>3951</v>
      </c>
      <c r="B1380" s="616" t="str">
        <f t="shared" si="21"/>
        <v/>
      </c>
      <c r="C1380" s="665"/>
      <c r="D1380" s="655">
        <v>2</v>
      </c>
      <c r="E1380" s="236"/>
      <c r="F1380" s="232" t="s">
        <v>2539</v>
      </c>
      <c r="G1380" s="239" t="s">
        <v>2585</v>
      </c>
      <c r="H1380" s="652"/>
      <c r="I1380" s="656"/>
      <c r="J1380" s="654"/>
    </row>
    <row r="1381" spans="1:10" x14ac:dyDescent="0.35">
      <c r="A1381" s="615" t="s">
        <v>3952</v>
      </c>
      <c r="B1381" s="616" t="str">
        <f t="shared" si="21"/>
        <v/>
      </c>
      <c r="C1381" s="665"/>
      <c r="D1381" s="655">
        <v>2</v>
      </c>
      <c r="E1381" s="236"/>
      <c r="F1381" s="232" t="s">
        <v>2539</v>
      </c>
      <c r="G1381" s="239" t="s">
        <v>2585</v>
      </c>
      <c r="H1381" s="652"/>
      <c r="I1381" s="656"/>
      <c r="J1381" s="654"/>
    </row>
    <row r="1382" spans="1:10" ht="48" x14ac:dyDescent="0.35">
      <c r="A1382" s="615" t="s">
        <v>3953</v>
      </c>
      <c r="B1382" s="616" t="str">
        <f t="shared" si="21"/>
        <v/>
      </c>
      <c r="C1382" s="665"/>
      <c r="D1382" s="655" t="s">
        <v>75</v>
      </c>
      <c r="E1382" s="236"/>
      <c r="F1382" s="232" t="s">
        <v>76</v>
      </c>
      <c r="G1382" s="657" t="s">
        <v>2591</v>
      </c>
      <c r="H1382" s="652"/>
      <c r="I1382" s="656"/>
      <c r="J1382" s="654"/>
    </row>
    <row r="1383" spans="1:10" x14ac:dyDescent="0.35">
      <c r="A1383" s="615" t="s">
        <v>3954</v>
      </c>
      <c r="B1383" s="616" t="str">
        <f t="shared" si="21"/>
        <v/>
      </c>
      <c r="C1383" s="665"/>
      <c r="D1383" s="655">
        <v>2</v>
      </c>
      <c r="E1383" s="236"/>
      <c r="F1383" s="232" t="s">
        <v>2539</v>
      </c>
      <c r="G1383" s="239"/>
      <c r="H1383" s="652"/>
      <c r="I1383" s="656"/>
      <c r="J1383" s="654"/>
    </row>
    <row r="1384" spans="1:10" x14ac:dyDescent="0.35">
      <c r="A1384" s="615" t="s">
        <v>3955</v>
      </c>
      <c r="B1384" s="616" t="str">
        <f t="shared" si="21"/>
        <v/>
      </c>
      <c r="C1384" s="665"/>
      <c r="D1384" s="655">
        <v>0</v>
      </c>
      <c r="E1384" s="236"/>
      <c r="F1384" s="232" t="s">
        <v>2538</v>
      </c>
      <c r="G1384" s="239"/>
      <c r="H1384" s="652"/>
      <c r="I1384" s="656"/>
      <c r="J1384" s="654"/>
    </row>
    <row r="1385" spans="1:10" x14ac:dyDescent="0.35">
      <c r="A1385" s="615" t="s">
        <v>3956</v>
      </c>
      <c r="B1385" s="616" t="str">
        <f t="shared" si="21"/>
        <v/>
      </c>
      <c r="C1385" s="665"/>
      <c r="D1385" s="655">
        <v>0</v>
      </c>
      <c r="E1385" s="236"/>
      <c r="F1385" s="232" t="s">
        <v>2538</v>
      </c>
      <c r="G1385" s="239"/>
      <c r="H1385" s="652"/>
      <c r="I1385" s="656"/>
      <c r="J1385" s="654"/>
    </row>
    <row r="1386" spans="1:10" x14ac:dyDescent="0.35">
      <c r="A1386" s="615" t="s">
        <v>3957</v>
      </c>
      <c r="B1386" s="616" t="str">
        <f t="shared" si="21"/>
        <v/>
      </c>
      <c r="C1386" s="665"/>
      <c r="D1386" s="655">
        <v>0</v>
      </c>
      <c r="E1386" s="236"/>
      <c r="F1386" s="232" t="s">
        <v>2538</v>
      </c>
      <c r="G1386" s="239"/>
      <c r="H1386" s="652"/>
      <c r="I1386" s="656"/>
      <c r="J1386" s="654"/>
    </row>
    <row r="1387" spans="1:10" x14ac:dyDescent="0.35">
      <c r="A1387" s="615" t="s">
        <v>3958</v>
      </c>
      <c r="B1387" s="616" t="str">
        <f t="shared" si="21"/>
        <v/>
      </c>
      <c r="C1387" s="665"/>
      <c r="D1387" s="651">
        <v>2</v>
      </c>
      <c r="E1387" s="236"/>
      <c r="F1387" s="232" t="s">
        <v>2572</v>
      </c>
      <c r="G1387" s="239"/>
      <c r="H1387" s="652"/>
      <c r="I1387" s="656"/>
      <c r="J1387" s="654"/>
    </row>
    <row r="1388" spans="1:10" x14ac:dyDescent="0.35">
      <c r="A1388" s="615" t="s">
        <v>3959</v>
      </c>
      <c r="B1388" s="616" t="str">
        <f t="shared" si="21"/>
        <v/>
      </c>
      <c r="C1388" s="665"/>
      <c r="D1388" s="651">
        <v>2</v>
      </c>
      <c r="E1388" s="236"/>
      <c r="F1388" s="232" t="s">
        <v>2572</v>
      </c>
      <c r="G1388" s="239"/>
      <c r="H1388" s="652"/>
      <c r="I1388" s="656"/>
      <c r="J1388" s="654"/>
    </row>
    <row r="1389" spans="1:10" x14ac:dyDescent="0.35">
      <c r="A1389" s="615" t="s">
        <v>3960</v>
      </c>
      <c r="B1389" s="616" t="str">
        <f t="shared" si="21"/>
        <v/>
      </c>
      <c r="C1389" s="665"/>
      <c r="D1389" s="651">
        <v>2</v>
      </c>
      <c r="E1389" s="236"/>
      <c r="F1389" s="232" t="s">
        <v>2572</v>
      </c>
      <c r="G1389" s="239"/>
      <c r="H1389" s="652"/>
      <c r="I1389" s="656"/>
      <c r="J1389" s="654"/>
    </row>
    <row r="1390" spans="1:10" x14ac:dyDescent="0.35">
      <c r="A1390" s="615" t="s">
        <v>3961</v>
      </c>
      <c r="B1390" s="616" t="str">
        <f t="shared" si="21"/>
        <v/>
      </c>
      <c r="C1390" s="665"/>
      <c r="D1390" s="651">
        <v>2</v>
      </c>
      <c r="E1390" s="236"/>
      <c r="F1390" s="232" t="s">
        <v>2572</v>
      </c>
      <c r="G1390" s="239"/>
      <c r="H1390" s="652"/>
      <c r="I1390" s="656"/>
      <c r="J1390" s="654"/>
    </row>
    <row r="1391" spans="1:10" x14ac:dyDescent="0.35">
      <c r="A1391" s="615" t="s">
        <v>3962</v>
      </c>
      <c r="B1391" s="616" t="str">
        <f t="shared" si="21"/>
        <v/>
      </c>
      <c r="C1391" s="665"/>
      <c r="D1391" s="651">
        <v>2</v>
      </c>
      <c r="E1391" s="236"/>
      <c r="F1391" s="232" t="s">
        <v>2572</v>
      </c>
      <c r="G1391" s="239"/>
      <c r="H1391" s="652"/>
      <c r="I1391" s="656"/>
      <c r="J1391" s="654"/>
    </row>
    <row r="1392" spans="1:10" x14ac:dyDescent="0.35">
      <c r="A1392" s="615" t="s">
        <v>3963</v>
      </c>
      <c r="B1392" s="616" t="str">
        <f t="shared" si="21"/>
        <v/>
      </c>
      <c r="C1392" s="665"/>
      <c r="D1392" s="655">
        <v>6</v>
      </c>
      <c r="E1392" s="236"/>
      <c r="F1392" s="232" t="s">
        <v>2579</v>
      </c>
      <c r="G1392" s="239" t="s">
        <v>2583</v>
      </c>
      <c r="H1392" s="652"/>
      <c r="I1392" s="656"/>
      <c r="J1392" s="654"/>
    </row>
    <row r="1393" spans="1:10" x14ac:dyDescent="0.35">
      <c r="A1393" s="615" t="s">
        <v>3964</v>
      </c>
      <c r="B1393" s="616" t="str">
        <f t="shared" si="21"/>
        <v/>
      </c>
      <c r="C1393" s="665"/>
      <c r="D1393" s="655" t="s">
        <v>75</v>
      </c>
      <c r="E1393" s="236"/>
      <c r="F1393" s="232" t="s">
        <v>76</v>
      </c>
      <c r="G1393" s="239"/>
      <c r="H1393" s="652"/>
      <c r="I1393" s="656"/>
      <c r="J1393" s="654"/>
    </row>
    <row r="1394" spans="1:10" x14ac:dyDescent="0.35">
      <c r="A1394" s="615" t="s">
        <v>3965</v>
      </c>
      <c r="B1394" s="616" t="str">
        <f t="shared" si="21"/>
        <v/>
      </c>
      <c r="C1394" s="665"/>
      <c r="D1394" s="655">
        <v>2</v>
      </c>
      <c r="E1394" s="236"/>
      <c r="F1394" s="232" t="s">
        <v>2539</v>
      </c>
      <c r="G1394" s="239" t="s">
        <v>2585</v>
      </c>
      <c r="H1394" s="652"/>
      <c r="I1394" s="656"/>
      <c r="J1394" s="654"/>
    </row>
    <row r="1395" spans="1:10" x14ac:dyDescent="0.35">
      <c r="A1395" s="615" t="s">
        <v>3966</v>
      </c>
      <c r="B1395" s="616" t="str">
        <f t="shared" si="21"/>
        <v/>
      </c>
      <c r="C1395" s="665"/>
      <c r="D1395" s="655">
        <v>2</v>
      </c>
      <c r="E1395" s="236"/>
      <c r="F1395" s="232" t="s">
        <v>2539</v>
      </c>
      <c r="G1395" s="239" t="s">
        <v>2585</v>
      </c>
      <c r="H1395" s="652"/>
      <c r="I1395" s="656"/>
      <c r="J1395" s="654"/>
    </row>
    <row r="1396" spans="1:10" x14ac:dyDescent="0.35">
      <c r="A1396" s="615" t="s">
        <v>3967</v>
      </c>
      <c r="B1396" s="616" t="str">
        <f t="shared" si="21"/>
        <v/>
      </c>
      <c r="C1396" s="665"/>
      <c r="D1396" s="655">
        <v>2</v>
      </c>
      <c r="E1396" s="236"/>
      <c r="F1396" s="232" t="s">
        <v>2539</v>
      </c>
      <c r="G1396" s="239" t="s">
        <v>2585</v>
      </c>
      <c r="H1396" s="652"/>
      <c r="I1396" s="656"/>
      <c r="J1396" s="654"/>
    </row>
    <row r="1397" spans="1:10" x14ac:dyDescent="0.35">
      <c r="A1397" s="615" t="s">
        <v>3968</v>
      </c>
      <c r="B1397" s="616" t="str">
        <f t="shared" si="21"/>
        <v/>
      </c>
      <c r="C1397" s="665"/>
      <c r="D1397" s="655">
        <v>2</v>
      </c>
      <c r="E1397" s="236"/>
      <c r="F1397" s="232" t="s">
        <v>2539</v>
      </c>
      <c r="G1397" s="239" t="s">
        <v>2585</v>
      </c>
      <c r="H1397" s="652"/>
      <c r="I1397" s="656"/>
      <c r="J1397" s="654"/>
    </row>
    <row r="1398" spans="1:10" x14ac:dyDescent="0.35">
      <c r="A1398" s="615" t="s">
        <v>3969</v>
      </c>
      <c r="B1398" s="616" t="str">
        <f t="shared" si="21"/>
        <v/>
      </c>
      <c r="C1398" s="665"/>
      <c r="D1398" s="655">
        <v>2</v>
      </c>
      <c r="E1398" s="236"/>
      <c r="F1398" s="232" t="s">
        <v>2539</v>
      </c>
      <c r="G1398" s="239" t="s">
        <v>2585</v>
      </c>
      <c r="H1398" s="652"/>
      <c r="I1398" s="656"/>
      <c r="J1398" s="654"/>
    </row>
    <row r="1399" spans="1:10" x14ac:dyDescent="0.35">
      <c r="A1399" s="615" t="s">
        <v>3970</v>
      </c>
      <c r="B1399" s="616" t="str">
        <f t="shared" si="21"/>
        <v/>
      </c>
      <c r="C1399" s="665"/>
      <c r="D1399" s="655">
        <v>2</v>
      </c>
      <c r="E1399" s="236"/>
      <c r="F1399" s="232" t="s">
        <v>2539</v>
      </c>
      <c r="G1399" s="239" t="s">
        <v>2585</v>
      </c>
      <c r="H1399" s="652"/>
      <c r="I1399" s="656"/>
      <c r="J1399" s="654"/>
    </row>
    <row r="1400" spans="1:10" ht="48" x14ac:dyDescent="0.35">
      <c r="A1400" s="615" t="s">
        <v>3971</v>
      </c>
      <c r="B1400" s="616" t="str">
        <f t="shared" si="21"/>
        <v/>
      </c>
      <c r="C1400" s="665"/>
      <c r="D1400" s="655" t="s">
        <v>75</v>
      </c>
      <c r="E1400" s="236"/>
      <c r="F1400" s="232" t="s">
        <v>76</v>
      </c>
      <c r="G1400" s="657" t="s">
        <v>2591</v>
      </c>
      <c r="H1400" s="652"/>
      <c r="I1400" s="656"/>
      <c r="J1400" s="654"/>
    </row>
    <row r="1401" spans="1:10" x14ac:dyDescent="0.35">
      <c r="A1401" s="615" t="s">
        <v>3972</v>
      </c>
      <c r="B1401" s="616" t="str">
        <f t="shared" si="21"/>
        <v/>
      </c>
      <c r="C1401" s="665"/>
      <c r="D1401" s="655">
        <v>2</v>
      </c>
      <c r="E1401" s="236"/>
      <c r="F1401" s="232" t="s">
        <v>2539</v>
      </c>
      <c r="G1401" s="239"/>
      <c r="H1401" s="652"/>
      <c r="I1401" s="656"/>
      <c r="J1401" s="654"/>
    </row>
    <row r="1402" spans="1:10" x14ac:dyDescent="0.35">
      <c r="A1402" s="615" t="s">
        <v>3973</v>
      </c>
      <c r="B1402" s="616"/>
      <c r="C1402" s="650"/>
      <c r="D1402" s="655">
        <v>0</v>
      </c>
      <c r="E1402" s="236"/>
      <c r="F1402" s="232" t="s">
        <v>2538</v>
      </c>
      <c r="G1402" s="239"/>
      <c r="H1402" s="652"/>
      <c r="I1402" s="653"/>
      <c r="J1402" s="654"/>
    </row>
    <row r="1403" spans="1:10" x14ac:dyDescent="0.35">
      <c r="A1403" s="615" t="s">
        <v>3974</v>
      </c>
      <c r="B1403" s="616"/>
      <c r="C1403" s="650"/>
      <c r="D1403" s="655">
        <v>0</v>
      </c>
      <c r="E1403" s="236"/>
      <c r="F1403" s="232" t="s">
        <v>2538</v>
      </c>
      <c r="G1403" s="239"/>
      <c r="H1403" s="652"/>
      <c r="I1403" s="653"/>
      <c r="J1403" s="654"/>
    </row>
    <row r="1404" spans="1:10" x14ac:dyDescent="0.35">
      <c r="A1404" s="615" t="s">
        <v>3975</v>
      </c>
      <c r="B1404" s="616"/>
      <c r="C1404" s="650"/>
      <c r="D1404" s="655">
        <v>0</v>
      </c>
      <c r="E1404" s="236"/>
      <c r="F1404" s="232" t="s">
        <v>2538</v>
      </c>
      <c r="G1404" s="239"/>
      <c r="H1404" s="652"/>
      <c r="I1404" s="653"/>
      <c r="J1404" s="654"/>
    </row>
    <row r="1405" spans="1:10" x14ac:dyDescent="0.35">
      <c r="A1405" s="615" t="s">
        <v>3976</v>
      </c>
      <c r="B1405" s="616"/>
      <c r="C1405" s="665"/>
      <c r="D1405" s="655">
        <v>0</v>
      </c>
      <c r="E1405" s="236"/>
      <c r="F1405" s="232" t="s">
        <v>2538</v>
      </c>
      <c r="G1405" s="239"/>
      <c r="H1405" s="652"/>
      <c r="I1405" s="656"/>
      <c r="J1405" s="654"/>
    </row>
    <row r="1406" spans="1:10" x14ac:dyDescent="0.35">
      <c r="A1406" s="615" t="s">
        <v>3977</v>
      </c>
      <c r="B1406" s="616"/>
      <c r="C1406" s="665"/>
      <c r="D1406" s="655">
        <v>0</v>
      </c>
      <c r="E1406" s="236"/>
      <c r="F1406" s="232" t="s">
        <v>2538</v>
      </c>
      <c r="G1406" s="239"/>
      <c r="H1406" s="652"/>
      <c r="I1406" s="656"/>
      <c r="J1406" s="654"/>
    </row>
    <row r="1407" spans="1:10" x14ac:dyDescent="0.35">
      <c r="A1407" s="615" t="s">
        <v>3978</v>
      </c>
      <c r="B1407" s="616"/>
      <c r="C1407" s="650"/>
      <c r="D1407" s="651">
        <v>2</v>
      </c>
      <c r="E1407" s="236"/>
      <c r="F1407" s="232" t="s">
        <v>2572</v>
      </c>
      <c r="G1407" s="239"/>
      <c r="H1407" s="652"/>
      <c r="I1407" s="653"/>
      <c r="J1407" s="654"/>
    </row>
    <row r="1408" spans="1:10" x14ac:dyDescent="0.35">
      <c r="A1408" s="615" t="s">
        <v>3979</v>
      </c>
      <c r="B1408" s="616"/>
      <c r="C1408" s="665"/>
      <c r="D1408" s="651">
        <v>2</v>
      </c>
      <c r="E1408" s="236"/>
      <c r="F1408" s="232" t="s">
        <v>2572</v>
      </c>
      <c r="G1408" s="239"/>
      <c r="H1408" s="652"/>
      <c r="I1408" s="656"/>
      <c r="J1408" s="654"/>
    </row>
    <row r="1409" spans="1:10" ht="36" x14ac:dyDescent="0.35">
      <c r="A1409" s="615" t="s">
        <v>3980</v>
      </c>
      <c r="B1409" s="616"/>
      <c r="C1409" s="665"/>
      <c r="D1409" s="651">
        <v>2</v>
      </c>
      <c r="E1409" s="236"/>
      <c r="F1409" s="232" t="s">
        <v>2572</v>
      </c>
      <c r="G1409" s="666" t="s">
        <v>2575</v>
      </c>
      <c r="H1409" s="652"/>
      <c r="I1409" s="656"/>
      <c r="J1409" s="654"/>
    </row>
    <row r="1410" spans="1:10" x14ac:dyDescent="0.35">
      <c r="A1410" s="615" t="s">
        <v>3981</v>
      </c>
      <c r="B1410" s="616"/>
      <c r="C1410" s="665"/>
      <c r="D1410" s="655">
        <v>2</v>
      </c>
      <c r="E1410" s="236"/>
      <c r="F1410" s="232" t="s">
        <v>2572</v>
      </c>
      <c r="G1410" s="239"/>
      <c r="H1410" s="652"/>
      <c r="I1410" s="656"/>
      <c r="J1410" s="654"/>
    </row>
    <row r="1411" spans="1:10" x14ac:dyDescent="0.35">
      <c r="A1411" s="615" t="s">
        <v>3982</v>
      </c>
      <c r="B1411" s="616"/>
      <c r="C1411" s="665"/>
      <c r="D1411" s="655">
        <v>2</v>
      </c>
      <c r="E1411" s="236"/>
      <c r="F1411" s="232" t="s">
        <v>2572</v>
      </c>
      <c r="G1411" s="239"/>
      <c r="H1411" s="652"/>
      <c r="I1411" s="656"/>
      <c r="J1411" s="654"/>
    </row>
    <row r="1412" spans="1:10" x14ac:dyDescent="0.35">
      <c r="A1412" s="615" t="s">
        <v>3983</v>
      </c>
      <c r="B1412" s="616"/>
      <c r="C1412" s="665"/>
      <c r="D1412" s="655">
        <v>6</v>
      </c>
      <c r="E1412" s="236"/>
      <c r="F1412" s="232" t="s">
        <v>2579</v>
      </c>
      <c r="G1412" s="239" t="s">
        <v>2583</v>
      </c>
      <c r="H1412" s="652"/>
      <c r="I1412" s="656"/>
      <c r="J1412" s="654"/>
    </row>
    <row r="1413" spans="1:10" x14ac:dyDescent="0.35">
      <c r="A1413" s="615" t="s">
        <v>3984</v>
      </c>
      <c r="B1413" s="616"/>
      <c r="C1413" s="665"/>
      <c r="D1413" s="655" t="s">
        <v>75</v>
      </c>
      <c r="E1413" s="236"/>
      <c r="F1413" s="232" t="s">
        <v>76</v>
      </c>
      <c r="G1413" s="239"/>
      <c r="H1413" s="652"/>
      <c r="I1413" s="656"/>
      <c r="J1413" s="654"/>
    </row>
    <row r="1414" spans="1:10" x14ac:dyDescent="0.35">
      <c r="A1414" s="615" t="s">
        <v>3985</v>
      </c>
      <c r="B1414" s="616"/>
      <c r="C1414" s="650"/>
      <c r="D1414" s="655">
        <v>2</v>
      </c>
      <c r="E1414" s="236"/>
      <c r="F1414" s="232" t="s">
        <v>2539</v>
      </c>
      <c r="G1414" s="239" t="s">
        <v>2585</v>
      </c>
      <c r="H1414" s="652"/>
      <c r="I1414" s="653"/>
      <c r="J1414" s="654"/>
    </row>
    <row r="1415" spans="1:10" x14ac:dyDescent="0.35">
      <c r="A1415" s="615" t="s">
        <v>3986</v>
      </c>
      <c r="B1415" s="616"/>
      <c r="C1415" s="650"/>
      <c r="D1415" s="655">
        <v>2</v>
      </c>
      <c r="E1415" s="236"/>
      <c r="F1415" s="232" t="s">
        <v>2539</v>
      </c>
      <c r="G1415" s="239" t="s">
        <v>2585</v>
      </c>
      <c r="H1415" s="652"/>
      <c r="I1415" s="653"/>
      <c r="J1415" s="654"/>
    </row>
    <row r="1416" spans="1:10" x14ac:dyDescent="0.35">
      <c r="A1416" s="615" t="s">
        <v>3987</v>
      </c>
      <c r="B1416" s="616"/>
      <c r="C1416" s="665"/>
      <c r="D1416" s="655">
        <v>2</v>
      </c>
      <c r="E1416" s="236"/>
      <c r="F1416" s="232" t="s">
        <v>2539</v>
      </c>
      <c r="G1416" s="239" t="s">
        <v>2585</v>
      </c>
      <c r="H1416" s="652"/>
      <c r="I1416" s="656"/>
      <c r="J1416" s="654"/>
    </row>
    <row r="1417" spans="1:10" x14ac:dyDescent="0.35">
      <c r="A1417" s="615" t="s">
        <v>3988</v>
      </c>
      <c r="B1417" s="616"/>
      <c r="C1417" s="665"/>
      <c r="D1417" s="655">
        <v>2</v>
      </c>
      <c r="E1417" s="236"/>
      <c r="F1417" s="232" t="s">
        <v>2539</v>
      </c>
      <c r="G1417" s="239" t="s">
        <v>2585</v>
      </c>
      <c r="H1417" s="652"/>
      <c r="I1417" s="656"/>
      <c r="J1417" s="654"/>
    </row>
    <row r="1418" spans="1:10" x14ac:dyDescent="0.35">
      <c r="A1418" s="615" t="s">
        <v>3989</v>
      </c>
      <c r="B1418" s="616"/>
      <c r="C1418" s="665"/>
      <c r="D1418" s="655">
        <v>2</v>
      </c>
      <c r="E1418" s="236"/>
      <c r="F1418" s="232" t="s">
        <v>2539</v>
      </c>
      <c r="G1418" s="239" t="s">
        <v>2585</v>
      </c>
      <c r="H1418" s="652"/>
      <c r="I1418" s="656"/>
      <c r="J1418" s="654"/>
    </row>
    <row r="1419" spans="1:10" x14ac:dyDescent="0.35">
      <c r="A1419" s="615" t="s">
        <v>3990</v>
      </c>
      <c r="B1419" s="616"/>
      <c r="C1419" s="650"/>
      <c r="D1419" s="655">
        <v>2</v>
      </c>
      <c r="E1419" s="236"/>
      <c r="F1419" s="232" t="s">
        <v>2539</v>
      </c>
      <c r="G1419" s="239" t="s">
        <v>2585</v>
      </c>
      <c r="H1419" s="652"/>
      <c r="I1419" s="653"/>
      <c r="J1419" s="654"/>
    </row>
    <row r="1420" spans="1:10" ht="48" x14ac:dyDescent="0.35">
      <c r="A1420" s="615" t="s">
        <v>3991</v>
      </c>
      <c r="B1420" s="616"/>
      <c r="C1420" s="650"/>
      <c r="D1420" s="655" t="s">
        <v>75</v>
      </c>
      <c r="E1420" s="236"/>
      <c r="F1420" s="232" t="s">
        <v>76</v>
      </c>
      <c r="G1420" s="657" t="s">
        <v>2591</v>
      </c>
      <c r="H1420" s="652"/>
      <c r="I1420" s="653"/>
      <c r="J1420" s="654"/>
    </row>
    <row r="1421" spans="1:10" x14ac:dyDescent="0.35">
      <c r="A1421" s="615" t="s">
        <v>3992</v>
      </c>
      <c r="B1421" s="616"/>
      <c r="C1421" s="665"/>
      <c r="D1421" s="655">
        <v>2</v>
      </c>
      <c r="E1421" s="236"/>
      <c r="F1421" s="232" t="s">
        <v>2539</v>
      </c>
      <c r="G1421" s="239"/>
      <c r="H1421" s="652"/>
      <c r="I1421" s="656"/>
      <c r="J1421" s="654"/>
    </row>
    <row r="1422" spans="1:10" x14ac:dyDescent="0.35">
      <c r="A1422" s="615" t="s">
        <v>3993</v>
      </c>
      <c r="B1422" s="616" t="str">
        <f t="shared" ref="B1422:B1485" si="22">IF(C1422="","",IF(D1422="Datum",TEXT(DAY(C1422),"00")&amp;"."&amp;TEXT(MONTH(C1422),"00")&amp;"."&amp;TEXT(YEAR(C1422),"0000"),IF(AND(ISNUMBER(C1422),D1422="x"),TEXT(C1422,"@"),IF(ISNUMBER(C1422),TEXT(ROUNDDOWN(C1422,0),0)&amp;IF(D1422=0,"","."&amp;IF(C1422-ROUNDDOWN(C1422,0)=0,LEFT("0000000000",D1422),TEXT((C1422-ROUNDDOWN(C1422,0))*(1&amp; LEFT("0000000000",$D1422)),LEFT("0000000000",$D1422)))),C1422))))</f>
        <v/>
      </c>
      <c r="C1422" s="665"/>
      <c r="D1422" s="655">
        <v>0</v>
      </c>
      <c r="E1422" s="236"/>
      <c r="F1422" s="232" t="s">
        <v>2538</v>
      </c>
      <c r="G1422" s="239"/>
      <c r="H1422" s="652"/>
      <c r="I1422" s="656"/>
      <c r="J1422" s="654"/>
    </row>
    <row r="1423" spans="1:10" x14ac:dyDescent="0.35">
      <c r="A1423" s="615" t="s">
        <v>3994</v>
      </c>
      <c r="B1423" s="616" t="str">
        <f t="shared" si="22"/>
        <v/>
      </c>
      <c r="C1423" s="665"/>
      <c r="D1423" s="655">
        <v>0</v>
      </c>
      <c r="E1423" s="236"/>
      <c r="F1423" s="232" t="s">
        <v>2538</v>
      </c>
      <c r="G1423" s="239"/>
      <c r="H1423" s="652"/>
      <c r="I1423" s="656"/>
      <c r="J1423" s="654"/>
    </row>
    <row r="1424" spans="1:10" x14ac:dyDescent="0.35">
      <c r="A1424" s="615" t="s">
        <v>3995</v>
      </c>
      <c r="B1424" s="616" t="str">
        <f t="shared" si="22"/>
        <v/>
      </c>
      <c r="C1424" s="665"/>
      <c r="D1424" s="655">
        <v>0</v>
      </c>
      <c r="E1424" s="236"/>
      <c r="F1424" s="232" t="s">
        <v>2538</v>
      </c>
      <c r="G1424" s="239"/>
      <c r="H1424" s="652"/>
      <c r="I1424" s="656"/>
      <c r="J1424" s="654"/>
    </row>
    <row r="1425" spans="1:10" x14ac:dyDescent="0.35">
      <c r="A1425" s="615" t="s">
        <v>3996</v>
      </c>
      <c r="B1425" s="616" t="str">
        <f t="shared" si="22"/>
        <v/>
      </c>
      <c r="C1425" s="665"/>
      <c r="D1425" s="651">
        <v>2</v>
      </c>
      <c r="E1425" s="236"/>
      <c r="F1425" s="232" t="s">
        <v>2572</v>
      </c>
      <c r="G1425" s="239"/>
      <c r="H1425" s="652"/>
      <c r="I1425" s="656"/>
      <c r="J1425" s="654"/>
    </row>
    <row r="1426" spans="1:10" x14ac:dyDescent="0.35">
      <c r="A1426" s="615" t="s">
        <v>3997</v>
      </c>
      <c r="B1426" s="616" t="str">
        <f t="shared" si="22"/>
        <v/>
      </c>
      <c r="C1426" s="665"/>
      <c r="D1426" s="651">
        <v>2</v>
      </c>
      <c r="E1426" s="236"/>
      <c r="F1426" s="232" t="s">
        <v>2572</v>
      </c>
      <c r="G1426" s="239"/>
      <c r="H1426" s="652"/>
      <c r="I1426" s="656"/>
      <c r="J1426" s="654"/>
    </row>
    <row r="1427" spans="1:10" x14ac:dyDescent="0.35">
      <c r="A1427" s="615" t="s">
        <v>3998</v>
      </c>
      <c r="B1427" s="616" t="str">
        <f t="shared" si="22"/>
        <v/>
      </c>
      <c r="C1427" s="665"/>
      <c r="D1427" s="651">
        <v>2</v>
      </c>
      <c r="E1427" s="236"/>
      <c r="F1427" s="232" t="s">
        <v>2572</v>
      </c>
      <c r="G1427" s="239"/>
      <c r="H1427" s="652"/>
      <c r="I1427" s="656"/>
      <c r="J1427" s="654"/>
    </row>
    <row r="1428" spans="1:10" x14ac:dyDescent="0.35">
      <c r="A1428" s="615" t="s">
        <v>3999</v>
      </c>
      <c r="B1428" s="616" t="str">
        <f t="shared" si="22"/>
        <v/>
      </c>
      <c r="C1428" s="665"/>
      <c r="D1428" s="651">
        <v>2</v>
      </c>
      <c r="E1428" s="236"/>
      <c r="F1428" s="232" t="s">
        <v>2572</v>
      </c>
      <c r="G1428" s="239"/>
      <c r="H1428" s="652"/>
      <c r="I1428" s="656"/>
      <c r="J1428" s="654"/>
    </row>
    <row r="1429" spans="1:10" x14ac:dyDescent="0.35">
      <c r="A1429" s="615" t="s">
        <v>4000</v>
      </c>
      <c r="B1429" s="616" t="str">
        <f t="shared" si="22"/>
        <v/>
      </c>
      <c r="C1429" s="665"/>
      <c r="D1429" s="651">
        <v>2</v>
      </c>
      <c r="E1429" s="236"/>
      <c r="F1429" s="232" t="s">
        <v>2572</v>
      </c>
      <c r="G1429" s="239"/>
      <c r="H1429" s="652"/>
      <c r="I1429" s="656"/>
      <c r="J1429" s="654"/>
    </row>
    <row r="1430" spans="1:10" x14ac:dyDescent="0.35">
      <c r="A1430" s="615" t="s">
        <v>4001</v>
      </c>
      <c r="B1430" s="616" t="str">
        <f t="shared" si="22"/>
        <v/>
      </c>
      <c r="C1430" s="665"/>
      <c r="D1430" s="655">
        <v>6</v>
      </c>
      <c r="E1430" s="236"/>
      <c r="F1430" s="232" t="s">
        <v>2579</v>
      </c>
      <c r="G1430" s="239" t="s">
        <v>2583</v>
      </c>
      <c r="H1430" s="652"/>
      <c r="I1430" s="656"/>
      <c r="J1430" s="654"/>
    </row>
    <row r="1431" spans="1:10" x14ac:dyDescent="0.35">
      <c r="A1431" s="615" t="s">
        <v>4002</v>
      </c>
      <c r="B1431" s="616" t="str">
        <f t="shared" si="22"/>
        <v/>
      </c>
      <c r="C1431" s="665"/>
      <c r="D1431" s="655" t="s">
        <v>75</v>
      </c>
      <c r="E1431" s="236"/>
      <c r="F1431" s="232" t="s">
        <v>76</v>
      </c>
      <c r="G1431" s="239"/>
      <c r="H1431" s="652"/>
      <c r="I1431" s="656"/>
      <c r="J1431" s="654"/>
    </row>
    <row r="1432" spans="1:10" x14ac:dyDescent="0.35">
      <c r="A1432" s="615" t="s">
        <v>4003</v>
      </c>
      <c r="B1432" s="616" t="str">
        <f t="shared" si="22"/>
        <v/>
      </c>
      <c r="C1432" s="665"/>
      <c r="D1432" s="655">
        <v>2</v>
      </c>
      <c r="E1432" s="236"/>
      <c r="F1432" s="232" t="s">
        <v>2539</v>
      </c>
      <c r="G1432" s="239" t="s">
        <v>2585</v>
      </c>
      <c r="H1432" s="652"/>
      <c r="I1432" s="656"/>
      <c r="J1432" s="654"/>
    </row>
    <row r="1433" spans="1:10" x14ac:dyDescent="0.35">
      <c r="A1433" s="615" t="s">
        <v>4004</v>
      </c>
      <c r="B1433" s="616" t="str">
        <f t="shared" si="22"/>
        <v/>
      </c>
      <c r="C1433" s="665"/>
      <c r="D1433" s="655">
        <v>2</v>
      </c>
      <c r="E1433" s="236"/>
      <c r="F1433" s="232" t="s">
        <v>2539</v>
      </c>
      <c r="G1433" s="239" t="s">
        <v>2585</v>
      </c>
      <c r="H1433" s="652"/>
      <c r="I1433" s="656"/>
      <c r="J1433" s="654"/>
    </row>
    <row r="1434" spans="1:10" x14ac:dyDescent="0.35">
      <c r="A1434" s="615" t="s">
        <v>4005</v>
      </c>
      <c r="B1434" s="616" t="str">
        <f t="shared" si="22"/>
        <v/>
      </c>
      <c r="C1434" s="665"/>
      <c r="D1434" s="655">
        <v>2</v>
      </c>
      <c r="E1434" s="236"/>
      <c r="F1434" s="232" t="s">
        <v>2539</v>
      </c>
      <c r="G1434" s="239" t="s">
        <v>2585</v>
      </c>
      <c r="H1434" s="652"/>
      <c r="I1434" s="656"/>
      <c r="J1434" s="654"/>
    </row>
    <row r="1435" spans="1:10" x14ac:dyDescent="0.35">
      <c r="A1435" s="615" t="s">
        <v>4006</v>
      </c>
      <c r="B1435" s="616" t="str">
        <f t="shared" si="22"/>
        <v/>
      </c>
      <c r="C1435" s="665"/>
      <c r="D1435" s="655">
        <v>2</v>
      </c>
      <c r="E1435" s="236"/>
      <c r="F1435" s="232" t="s">
        <v>2539</v>
      </c>
      <c r="G1435" s="239" t="s">
        <v>2585</v>
      </c>
      <c r="H1435" s="652"/>
      <c r="I1435" s="656"/>
      <c r="J1435" s="654"/>
    </row>
    <row r="1436" spans="1:10" x14ac:dyDescent="0.35">
      <c r="A1436" s="615" t="s">
        <v>4007</v>
      </c>
      <c r="B1436" s="616" t="str">
        <f t="shared" si="22"/>
        <v/>
      </c>
      <c r="C1436" s="665"/>
      <c r="D1436" s="655">
        <v>2</v>
      </c>
      <c r="E1436" s="236"/>
      <c r="F1436" s="232" t="s">
        <v>2539</v>
      </c>
      <c r="G1436" s="239" t="s">
        <v>2585</v>
      </c>
      <c r="H1436" s="652"/>
      <c r="I1436" s="656"/>
      <c r="J1436" s="654"/>
    </row>
    <row r="1437" spans="1:10" x14ac:dyDescent="0.35">
      <c r="A1437" s="615" t="s">
        <v>4008</v>
      </c>
      <c r="B1437" s="616" t="str">
        <f t="shared" si="22"/>
        <v/>
      </c>
      <c r="C1437" s="665"/>
      <c r="D1437" s="655">
        <v>2</v>
      </c>
      <c r="E1437" s="236"/>
      <c r="F1437" s="232" t="s">
        <v>2539</v>
      </c>
      <c r="G1437" s="239" t="s">
        <v>2585</v>
      </c>
      <c r="H1437" s="652"/>
      <c r="I1437" s="656"/>
      <c r="J1437" s="654"/>
    </row>
    <row r="1438" spans="1:10" ht="48" x14ac:dyDescent="0.35">
      <c r="A1438" s="615" t="s">
        <v>4009</v>
      </c>
      <c r="B1438" s="616" t="str">
        <f t="shared" si="22"/>
        <v/>
      </c>
      <c r="C1438" s="665"/>
      <c r="D1438" s="655" t="s">
        <v>75</v>
      </c>
      <c r="E1438" s="236"/>
      <c r="F1438" s="232" t="s">
        <v>76</v>
      </c>
      <c r="G1438" s="657" t="s">
        <v>2591</v>
      </c>
      <c r="H1438" s="652"/>
      <c r="I1438" s="656"/>
      <c r="J1438" s="654"/>
    </row>
    <row r="1439" spans="1:10" x14ac:dyDescent="0.35">
      <c r="A1439" s="615" t="s">
        <v>4010</v>
      </c>
      <c r="B1439" s="616" t="str">
        <f t="shared" si="22"/>
        <v/>
      </c>
      <c r="C1439" s="665"/>
      <c r="D1439" s="655">
        <v>2</v>
      </c>
      <c r="E1439" s="236"/>
      <c r="F1439" s="232" t="s">
        <v>2539</v>
      </c>
      <c r="G1439" s="239"/>
      <c r="H1439" s="652"/>
      <c r="I1439" s="656"/>
      <c r="J1439" s="654"/>
    </row>
    <row r="1440" spans="1:10" x14ac:dyDescent="0.35">
      <c r="A1440" s="615" t="s">
        <v>4011</v>
      </c>
      <c r="B1440" s="616" t="str">
        <f t="shared" si="22"/>
        <v/>
      </c>
      <c r="C1440" s="665"/>
      <c r="D1440" s="655">
        <v>0</v>
      </c>
      <c r="E1440" s="236"/>
      <c r="F1440" s="232" t="s">
        <v>2538</v>
      </c>
      <c r="G1440" s="239"/>
      <c r="H1440" s="652"/>
      <c r="I1440" s="656"/>
      <c r="J1440" s="654"/>
    </row>
    <row r="1441" spans="1:10" x14ac:dyDescent="0.35">
      <c r="A1441" s="615" t="s">
        <v>4012</v>
      </c>
      <c r="B1441" s="616" t="str">
        <f t="shared" si="22"/>
        <v/>
      </c>
      <c r="C1441" s="665"/>
      <c r="D1441" s="655">
        <v>0</v>
      </c>
      <c r="E1441" s="236"/>
      <c r="F1441" s="232" t="s">
        <v>2538</v>
      </c>
      <c r="G1441" s="239"/>
      <c r="H1441" s="652"/>
      <c r="I1441" s="656"/>
      <c r="J1441" s="654"/>
    </row>
    <row r="1442" spans="1:10" x14ac:dyDescent="0.35">
      <c r="A1442" s="615" t="s">
        <v>4013</v>
      </c>
      <c r="B1442" s="616" t="str">
        <f t="shared" si="22"/>
        <v/>
      </c>
      <c r="C1442" s="665"/>
      <c r="D1442" s="655">
        <v>0</v>
      </c>
      <c r="E1442" s="236"/>
      <c r="F1442" s="232" t="s">
        <v>2538</v>
      </c>
      <c r="G1442" s="239"/>
      <c r="H1442" s="652"/>
      <c r="I1442" s="656"/>
      <c r="J1442" s="654"/>
    </row>
    <row r="1443" spans="1:10" x14ac:dyDescent="0.35">
      <c r="A1443" s="615" t="s">
        <v>4014</v>
      </c>
      <c r="B1443" s="616" t="str">
        <f t="shared" si="22"/>
        <v/>
      </c>
      <c r="C1443" s="665"/>
      <c r="D1443" s="651">
        <v>2</v>
      </c>
      <c r="E1443" s="236"/>
      <c r="F1443" s="232" t="s">
        <v>2572</v>
      </c>
      <c r="G1443" s="239"/>
      <c r="H1443" s="652"/>
      <c r="I1443" s="656"/>
      <c r="J1443" s="654"/>
    </row>
    <row r="1444" spans="1:10" x14ac:dyDescent="0.35">
      <c r="A1444" s="615" t="s">
        <v>4015</v>
      </c>
      <c r="B1444" s="616" t="str">
        <f t="shared" si="22"/>
        <v/>
      </c>
      <c r="C1444" s="665"/>
      <c r="D1444" s="651">
        <v>2</v>
      </c>
      <c r="E1444" s="236"/>
      <c r="F1444" s="232" t="s">
        <v>2572</v>
      </c>
      <c r="G1444" s="239"/>
      <c r="H1444" s="652"/>
      <c r="I1444" s="656"/>
      <c r="J1444" s="654"/>
    </row>
    <row r="1445" spans="1:10" x14ac:dyDescent="0.35">
      <c r="A1445" s="615" t="s">
        <v>4016</v>
      </c>
      <c r="B1445" s="616" t="str">
        <f t="shared" si="22"/>
        <v/>
      </c>
      <c r="C1445" s="665"/>
      <c r="D1445" s="651">
        <v>2</v>
      </c>
      <c r="E1445" s="236"/>
      <c r="F1445" s="232" t="s">
        <v>2572</v>
      </c>
      <c r="G1445" s="239"/>
      <c r="H1445" s="652"/>
      <c r="I1445" s="656"/>
      <c r="J1445" s="654"/>
    </row>
    <row r="1446" spans="1:10" x14ac:dyDescent="0.35">
      <c r="A1446" s="615" t="s">
        <v>4017</v>
      </c>
      <c r="B1446" s="616" t="str">
        <f t="shared" si="22"/>
        <v/>
      </c>
      <c r="C1446" s="665"/>
      <c r="D1446" s="651">
        <v>2</v>
      </c>
      <c r="E1446" s="236"/>
      <c r="F1446" s="232" t="s">
        <v>2572</v>
      </c>
      <c r="G1446" s="239"/>
      <c r="H1446" s="652"/>
      <c r="I1446" s="656"/>
      <c r="J1446" s="654"/>
    </row>
    <row r="1447" spans="1:10" x14ac:dyDescent="0.35">
      <c r="A1447" s="615" t="s">
        <v>4018</v>
      </c>
      <c r="B1447" s="616" t="str">
        <f t="shared" si="22"/>
        <v/>
      </c>
      <c r="C1447" s="665"/>
      <c r="D1447" s="651">
        <v>2</v>
      </c>
      <c r="E1447" s="236"/>
      <c r="F1447" s="232" t="s">
        <v>2572</v>
      </c>
      <c r="G1447" s="239"/>
      <c r="H1447" s="652"/>
      <c r="I1447" s="656"/>
      <c r="J1447" s="654"/>
    </row>
    <row r="1448" spans="1:10" x14ac:dyDescent="0.35">
      <c r="A1448" s="615" t="s">
        <v>4019</v>
      </c>
      <c r="B1448" s="616" t="str">
        <f t="shared" si="22"/>
        <v/>
      </c>
      <c r="C1448" s="665"/>
      <c r="D1448" s="655">
        <v>6</v>
      </c>
      <c r="E1448" s="236"/>
      <c r="F1448" s="232" t="s">
        <v>2579</v>
      </c>
      <c r="G1448" s="239" t="s">
        <v>2583</v>
      </c>
      <c r="H1448" s="652"/>
      <c r="I1448" s="656"/>
      <c r="J1448" s="654"/>
    </row>
    <row r="1449" spans="1:10" x14ac:dyDescent="0.35">
      <c r="A1449" s="615" t="s">
        <v>4020</v>
      </c>
      <c r="B1449" s="616" t="str">
        <f t="shared" si="22"/>
        <v/>
      </c>
      <c r="C1449" s="665"/>
      <c r="D1449" s="655" t="s">
        <v>75</v>
      </c>
      <c r="E1449" s="236"/>
      <c r="F1449" s="232" t="s">
        <v>76</v>
      </c>
      <c r="G1449" s="239"/>
      <c r="H1449" s="652"/>
      <c r="I1449" s="656"/>
      <c r="J1449" s="654"/>
    </row>
    <row r="1450" spans="1:10" x14ac:dyDescent="0.35">
      <c r="A1450" s="615" t="s">
        <v>4021</v>
      </c>
      <c r="B1450" s="616" t="str">
        <f t="shared" si="22"/>
        <v/>
      </c>
      <c r="C1450" s="665"/>
      <c r="D1450" s="655">
        <v>2</v>
      </c>
      <c r="E1450" s="236"/>
      <c r="F1450" s="232" t="s">
        <v>2539</v>
      </c>
      <c r="G1450" s="239" t="s">
        <v>2585</v>
      </c>
      <c r="H1450" s="652"/>
      <c r="I1450" s="656"/>
      <c r="J1450" s="654"/>
    </row>
    <row r="1451" spans="1:10" x14ac:dyDescent="0.35">
      <c r="A1451" s="615" t="s">
        <v>4022</v>
      </c>
      <c r="B1451" s="616" t="str">
        <f t="shared" si="22"/>
        <v/>
      </c>
      <c r="C1451" s="665"/>
      <c r="D1451" s="655">
        <v>2</v>
      </c>
      <c r="E1451" s="236"/>
      <c r="F1451" s="232" t="s">
        <v>2539</v>
      </c>
      <c r="G1451" s="239" t="s">
        <v>2585</v>
      </c>
      <c r="H1451" s="652"/>
      <c r="I1451" s="656"/>
      <c r="J1451" s="654"/>
    </row>
    <row r="1452" spans="1:10" x14ac:dyDescent="0.35">
      <c r="A1452" s="615" t="s">
        <v>4023</v>
      </c>
      <c r="B1452" s="616" t="str">
        <f t="shared" si="22"/>
        <v/>
      </c>
      <c r="C1452" s="665"/>
      <c r="D1452" s="655">
        <v>2</v>
      </c>
      <c r="E1452" s="236"/>
      <c r="F1452" s="232" t="s">
        <v>2539</v>
      </c>
      <c r="G1452" s="239" t="s">
        <v>2585</v>
      </c>
      <c r="H1452" s="652"/>
      <c r="I1452" s="656"/>
      <c r="J1452" s="654"/>
    </row>
    <row r="1453" spans="1:10" x14ac:dyDescent="0.35">
      <c r="A1453" s="615" t="s">
        <v>4024</v>
      </c>
      <c r="B1453" s="616" t="str">
        <f t="shared" si="22"/>
        <v/>
      </c>
      <c r="C1453" s="665"/>
      <c r="D1453" s="655">
        <v>2</v>
      </c>
      <c r="E1453" s="236"/>
      <c r="F1453" s="232" t="s">
        <v>2539</v>
      </c>
      <c r="G1453" s="239" t="s">
        <v>2585</v>
      </c>
      <c r="H1453" s="652"/>
      <c r="I1453" s="656"/>
      <c r="J1453" s="654"/>
    </row>
    <row r="1454" spans="1:10" x14ac:dyDescent="0.35">
      <c r="A1454" s="615" t="s">
        <v>4025</v>
      </c>
      <c r="B1454" s="616" t="str">
        <f t="shared" si="22"/>
        <v/>
      </c>
      <c r="C1454" s="665"/>
      <c r="D1454" s="655">
        <v>2</v>
      </c>
      <c r="E1454" s="236"/>
      <c r="F1454" s="232" t="s">
        <v>2539</v>
      </c>
      <c r="G1454" s="239" t="s">
        <v>2585</v>
      </c>
      <c r="H1454" s="652"/>
      <c r="I1454" s="656"/>
      <c r="J1454" s="654"/>
    </row>
    <row r="1455" spans="1:10" x14ac:dyDescent="0.35">
      <c r="A1455" s="615" t="s">
        <v>4026</v>
      </c>
      <c r="B1455" s="616" t="str">
        <f t="shared" si="22"/>
        <v/>
      </c>
      <c r="C1455" s="665"/>
      <c r="D1455" s="655">
        <v>2</v>
      </c>
      <c r="E1455" s="236"/>
      <c r="F1455" s="232" t="s">
        <v>2539</v>
      </c>
      <c r="G1455" s="239" t="s">
        <v>2585</v>
      </c>
      <c r="H1455" s="652"/>
      <c r="I1455" s="656"/>
      <c r="J1455" s="654"/>
    </row>
    <row r="1456" spans="1:10" ht="48" x14ac:dyDescent="0.35">
      <c r="A1456" s="615" t="s">
        <v>4027</v>
      </c>
      <c r="B1456" s="616" t="str">
        <f t="shared" si="22"/>
        <v/>
      </c>
      <c r="C1456" s="665"/>
      <c r="D1456" s="655" t="s">
        <v>75</v>
      </c>
      <c r="E1456" s="236"/>
      <c r="F1456" s="232" t="s">
        <v>76</v>
      </c>
      <c r="G1456" s="657" t="s">
        <v>2591</v>
      </c>
      <c r="H1456" s="652"/>
      <c r="I1456" s="656"/>
      <c r="J1456" s="654"/>
    </row>
    <row r="1457" spans="1:10" x14ac:dyDescent="0.35">
      <c r="A1457" s="615" t="s">
        <v>4028</v>
      </c>
      <c r="B1457" s="616" t="str">
        <f t="shared" si="22"/>
        <v/>
      </c>
      <c r="C1457" s="665"/>
      <c r="D1457" s="655">
        <v>2</v>
      </c>
      <c r="E1457" s="236"/>
      <c r="F1457" s="232" t="s">
        <v>2539</v>
      </c>
      <c r="G1457" s="239"/>
      <c r="H1457" s="652"/>
      <c r="I1457" s="656"/>
      <c r="J1457" s="654"/>
    </row>
    <row r="1458" spans="1:10" x14ac:dyDescent="0.35">
      <c r="A1458" s="615" t="s">
        <v>4029</v>
      </c>
      <c r="B1458" s="616" t="str">
        <f t="shared" si="22"/>
        <v/>
      </c>
      <c r="C1458" s="665"/>
      <c r="D1458" s="655">
        <v>0</v>
      </c>
      <c r="E1458" s="236"/>
      <c r="F1458" s="232" t="s">
        <v>2538</v>
      </c>
      <c r="G1458" s="239"/>
      <c r="H1458" s="652"/>
      <c r="I1458" s="656"/>
      <c r="J1458" s="654"/>
    </row>
    <row r="1459" spans="1:10" x14ac:dyDescent="0.35">
      <c r="A1459" s="615" t="s">
        <v>4030</v>
      </c>
      <c r="B1459" s="616" t="str">
        <f t="shared" si="22"/>
        <v/>
      </c>
      <c r="C1459" s="665"/>
      <c r="D1459" s="655">
        <v>0</v>
      </c>
      <c r="E1459" s="236"/>
      <c r="F1459" s="232" t="s">
        <v>2538</v>
      </c>
      <c r="G1459" s="239"/>
      <c r="H1459" s="652"/>
      <c r="I1459" s="656"/>
      <c r="J1459" s="654"/>
    </row>
    <row r="1460" spans="1:10" x14ac:dyDescent="0.35">
      <c r="A1460" s="615" t="s">
        <v>4031</v>
      </c>
      <c r="B1460" s="616" t="str">
        <f t="shared" si="22"/>
        <v/>
      </c>
      <c r="C1460" s="665"/>
      <c r="D1460" s="655">
        <v>0</v>
      </c>
      <c r="E1460" s="236"/>
      <c r="F1460" s="232" t="s">
        <v>2538</v>
      </c>
      <c r="G1460" s="239"/>
      <c r="H1460" s="652"/>
      <c r="I1460" s="656"/>
      <c r="J1460" s="654"/>
    </row>
    <row r="1461" spans="1:10" x14ac:dyDescent="0.35">
      <c r="A1461" s="615" t="s">
        <v>4032</v>
      </c>
      <c r="B1461" s="616" t="str">
        <f t="shared" si="22"/>
        <v/>
      </c>
      <c r="C1461" s="665"/>
      <c r="D1461" s="651">
        <v>2</v>
      </c>
      <c r="E1461" s="236"/>
      <c r="F1461" s="232" t="s">
        <v>2572</v>
      </c>
      <c r="G1461" s="239"/>
      <c r="H1461" s="652"/>
      <c r="I1461" s="656"/>
      <c r="J1461" s="654"/>
    </row>
    <row r="1462" spans="1:10" x14ac:dyDescent="0.35">
      <c r="A1462" s="615" t="s">
        <v>4033</v>
      </c>
      <c r="B1462" s="616" t="str">
        <f t="shared" si="22"/>
        <v/>
      </c>
      <c r="C1462" s="665"/>
      <c r="D1462" s="651">
        <v>2</v>
      </c>
      <c r="E1462" s="236"/>
      <c r="F1462" s="232" t="s">
        <v>2572</v>
      </c>
      <c r="G1462" s="239"/>
      <c r="H1462" s="652"/>
      <c r="I1462" s="656"/>
      <c r="J1462" s="654"/>
    </row>
    <row r="1463" spans="1:10" x14ac:dyDescent="0.35">
      <c r="A1463" s="615" t="s">
        <v>4034</v>
      </c>
      <c r="B1463" s="616" t="str">
        <f t="shared" si="22"/>
        <v/>
      </c>
      <c r="C1463" s="665"/>
      <c r="D1463" s="651">
        <v>2</v>
      </c>
      <c r="E1463" s="236"/>
      <c r="F1463" s="232" t="s">
        <v>2572</v>
      </c>
      <c r="G1463" s="239"/>
      <c r="H1463" s="652"/>
      <c r="I1463" s="656"/>
      <c r="J1463" s="654"/>
    </row>
    <row r="1464" spans="1:10" x14ac:dyDescent="0.35">
      <c r="A1464" s="615" t="s">
        <v>4035</v>
      </c>
      <c r="B1464" s="616" t="str">
        <f t="shared" si="22"/>
        <v/>
      </c>
      <c r="C1464" s="665"/>
      <c r="D1464" s="651">
        <v>2</v>
      </c>
      <c r="E1464" s="236"/>
      <c r="F1464" s="232" t="s">
        <v>2572</v>
      </c>
      <c r="G1464" s="239"/>
      <c r="H1464" s="652"/>
      <c r="I1464" s="656"/>
      <c r="J1464" s="654"/>
    </row>
    <row r="1465" spans="1:10" x14ac:dyDescent="0.35">
      <c r="A1465" s="615" t="s">
        <v>4036</v>
      </c>
      <c r="B1465" s="616" t="str">
        <f t="shared" si="22"/>
        <v/>
      </c>
      <c r="C1465" s="665"/>
      <c r="D1465" s="651">
        <v>2</v>
      </c>
      <c r="E1465" s="236"/>
      <c r="F1465" s="232" t="s">
        <v>2572</v>
      </c>
      <c r="G1465" s="239"/>
      <c r="H1465" s="652"/>
      <c r="I1465" s="656"/>
      <c r="J1465" s="654"/>
    </row>
    <row r="1466" spans="1:10" x14ac:dyDescent="0.35">
      <c r="A1466" s="615" t="s">
        <v>4037</v>
      </c>
      <c r="B1466" s="616" t="str">
        <f t="shared" si="22"/>
        <v/>
      </c>
      <c r="C1466" s="665"/>
      <c r="D1466" s="655">
        <v>6</v>
      </c>
      <c r="E1466" s="236"/>
      <c r="F1466" s="232" t="s">
        <v>2579</v>
      </c>
      <c r="G1466" s="239" t="s">
        <v>2583</v>
      </c>
      <c r="H1466" s="652"/>
      <c r="I1466" s="656"/>
      <c r="J1466" s="654"/>
    </row>
    <row r="1467" spans="1:10" x14ac:dyDescent="0.35">
      <c r="A1467" s="615" t="s">
        <v>4038</v>
      </c>
      <c r="B1467" s="616" t="str">
        <f t="shared" si="22"/>
        <v/>
      </c>
      <c r="C1467" s="665"/>
      <c r="D1467" s="655" t="s">
        <v>75</v>
      </c>
      <c r="E1467" s="236"/>
      <c r="F1467" s="232" t="s">
        <v>76</v>
      </c>
      <c r="G1467" s="239"/>
      <c r="H1467" s="652"/>
      <c r="I1467" s="656"/>
      <c r="J1467" s="654"/>
    </row>
    <row r="1468" spans="1:10" x14ac:dyDescent="0.35">
      <c r="A1468" s="615" t="s">
        <v>4039</v>
      </c>
      <c r="B1468" s="616" t="str">
        <f t="shared" si="22"/>
        <v/>
      </c>
      <c r="C1468" s="665"/>
      <c r="D1468" s="655">
        <v>2</v>
      </c>
      <c r="E1468" s="236"/>
      <c r="F1468" s="232" t="s">
        <v>2539</v>
      </c>
      <c r="G1468" s="239" t="s">
        <v>2585</v>
      </c>
      <c r="H1468" s="652"/>
      <c r="I1468" s="656"/>
      <c r="J1468" s="654"/>
    </row>
    <row r="1469" spans="1:10" x14ac:dyDescent="0.35">
      <c r="A1469" s="615" t="s">
        <v>4040</v>
      </c>
      <c r="B1469" s="616" t="str">
        <f t="shared" si="22"/>
        <v/>
      </c>
      <c r="C1469" s="665"/>
      <c r="D1469" s="655">
        <v>2</v>
      </c>
      <c r="E1469" s="236"/>
      <c r="F1469" s="232" t="s">
        <v>2539</v>
      </c>
      <c r="G1469" s="239" t="s">
        <v>2585</v>
      </c>
      <c r="H1469" s="652"/>
      <c r="I1469" s="656"/>
      <c r="J1469" s="654"/>
    </row>
    <row r="1470" spans="1:10" x14ac:dyDescent="0.35">
      <c r="A1470" s="615" t="s">
        <v>4041</v>
      </c>
      <c r="B1470" s="616" t="str">
        <f t="shared" si="22"/>
        <v/>
      </c>
      <c r="C1470" s="665"/>
      <c r="D1470" s="655">
        <v>2</v>
      </c>
      <c r="E1470" s="236"/>
      <c r="F1470" s="232" t="s">
        <v>2539</v>
      </c>
      <c r="G1470" s="239" t="s">
        <v>2585</v>
      </c>
      <c r="H1470" s="652"/>
      <c r="I1470" s="656"/>
      <c r="J1470" s="654"/>
    </row>
    <row r="1471" spans="1:10" x14ac:dyDescent="0.35">
      <c r="A1471" s="615" t="s">
        <v>4042</v>
      </c>
      <c r="B1471" s="616" t="str">
        <f t="shared" si="22"/>
        <v/>
      </c>
      <c r="C1471" s="665"/>
      <c r="D1471" s="655">
        <v>2</v>
      </c>
      <c r="E1471" s="236"/>
      <c r="F1471" s="232" t="s">
        <v>2539</v>
      </c>
      <c r="G1471" s="239" t="s">
        <v>2585</v>
      </c>
      <c r="H1471" s="652"/>
      <c r="I1471" s="656"/>
      <c r="J1471" s="654"/>
    </row>
    <row r="1472" spans="1:10" x14ac:dyDescent="0.35">
      <c r="A1472" s="615" t="s">
        <v>4043</v>
      </c>
      <c r="B1472" s="616" t="str">
        <f t="shared" si="22"/>
        <v/>
      </c>
      <c r="C1472" s="665"/>
      <c r="D1472" s="655">
        <v>2</v>
      </c>
      <c r="E1472" s="236"/>
      <c r="F1472" s="232" t="s">
        <v>2539</v>
      </c>
      <c r="G1472" s="239" t="s">
        <v>2585</v>
      </c>
      <c r="H1472" s="652"/>
      <c r="I1472" s="656"/>
      <c r="J1472" s="654"/>
    </row>
    <row r="1473" spans="1:10" x14ac:dyDescent="0.35">
      <c r="A1473" s="615" t="s">
        <v>4044</v>
      </c>
      <c r="B1473" s="616" t="str">
        <f t="shared" si="22"/>
        <v/>
      </c>
      <c r="C1473" s="665"/>
      <c r="D1473" s="655">
        <v>2</v>
      </c>
      <c r="E1473" s="236"/>
      <c r="F1473" s="232" t="s">
        <v>2539</v>
      </c>
      <c r="G1473" s="239" t="s">
        <v>2585</v>
      </c>
      <c r="H1473" s="652"/>
      <c r="I1473" s="656"/>
      <c r="J1473" s="654"/>
    </row>
    <row r="1474" spans="1:10" ht="48" x14ac:dyDescent="0.35">
      <c r="A1474" s="615" t="s">
        <v>4045</v>
      </c>
      <c r="B1474" s="616" t="str">
        <f t="shared" si="22"/>
        <v/>
      </c>
      <c r="C1474" s="665"/>
      <c r="D1474" s="655" t="s">
        <v>75</v>
      </c>
      <c r="E1474" s="236"/>
      <c r="F1474" s="232" t="s">
        <v>76</v>
      </c>
      <c r="G1474" s="657" t="s">
        <v>2591</v>
      </c>
      <c r="H1474" s="652"/>
      <c r="I1474" s="656"/>
      <c r="J1474" s="654"/>
    </row>
    <row r="1475" spans="1:10" x14ac:dyDescent="0.35">
      <c r="A1475" s="615" t="s">
        <v>4046</v>
      </c>
      <c r="B1475" s="616" t="str">
        <f t="shared" si="22"/>
        <v/>
      </c>
      <c r="C1475" s="665"/>
      <c r="D1475" s="655">
        <v>2</v>
      </c>
      <c r="E1475" s="236"/>
      <c r="F1475" s="232" t="s">
        <v>2539</v>
      </c>
      <c r="G1475" s="239"/>
      <c r="H1475" s="652"/>
      <c r="I1475" s="656"/>
      <c r="J1475" s="654"/>
    </row>
    <row r="1476" spans="1:10" x14ac:dyDescent="0.35">
      <c r="A1476" s="615" t="s">
        <v>4047</v>
      </c>
      <c r="B1476" s="616" t="str">
        <f t="shared" si="22"/>
        <v/>
      </c>
      <c r="C1476" s="665"/>
      <c r="D1476" s="655">
        <v>0</v>
      </c>
      <c r="E1476" s="236"/>
      <c r="F1476" s="232" t="s">
        <v>2538</v>
      </c>
      <c r="G1476" s="239"/>
      <c r="H1476" s="652"/>
      <c r="I1476" s="656"/>
      <c r="J1476" s="654"/>
    </row>
    <row r="1477" spans="1:10" x14ac:dyDescent="0.35">
      <c r="A1477" s="615" t="s">
        <v>4048</v>
      </c>
      <c r="B1477" s="616" t="str">
        <f t="shared" si="22"/>
        <v/>
      </c>
      <c r="C1477" s="665"/>
      <c r="D1477" s="655">
        <v>0</v>
      </c>
      <c r="E1477" s="236"/>
      <c r="F1477" s="232" t="s">
        <v>2538</v>
      </c>
      <c r="G1477" s="239"/>
      <c r="H1477" s="652"/>
      <c r="I1477" s="656"/>
      <c r="J1477" s="654"/>
    </row>
    <row r="1478" spans="1:10" x14ac:dyDescent="0.35">
      <c r="A1478" s="615" t="s">
        <v>4049</v>
      </c>
      <c r="B1478" s="616" t="str">
        <f t="shared" si="22"/>
        <v/>
      </c>
      <c r="C1478" s="665"/>
      <c r="D1478" s="655">
        <v>0</v>
      </c>
      <c r="E1478" s="236"/>
      <c r="F1478" s="232" t="s">
        <v>2538</v>
      </c>
      <c r="G1478" s="239"/>
      <c r="H1478" s="652"/>
      <c r="I1478" s="656"/>
      <c r="J1478" s="654"/>
    </row>
    <row r="1479" spans="1:10" x14ac:dyDescent="0.35">
      <c r="A1479" s="615" t="s">
        <v>4050</v>
      </c>
      <c r="B1479" s="616" t="str">
        <f t="shared" si="22"/>
        <v/>
      </c>
      <c r="C1479" s="665"/>
      <c r="D1479" s="651">
        <v>2</v>
      </c>
      <c r="E1479" s="236"/>
      <c r="F1479" s="232" t="s">
        <v>2572</v>
      </c>
      <c r="G1479" s="239"/>
      <c r="H1479" s="652"/>
      <c r="I1479" s="656"/>
      <c r="J1479" s="654"/>
    </row>
    <row r="1480" spans="1:10" x14ac:dyDescent="0.35">
      <c r="A1480" s="615" t="s">
        <v>4051</v>
      </c>
      <c r="B1480" s="616" t="str">
        <f t="shared" si="22"/>
        <v/>
      </c>
      <c r="C1480" s="665"/>
      <c r="D1480" s="651">
        <v>2</v>
      </c>
      <c r="E1480" s="236"/>
      <c r="F1480" s="232" t="s">
        <v>2572</v>
      </c>
      <c r="G1480" s="239"/>
      <c r="H1480" s="652"/>
      <c r="I1480" s="656"/>
      <c r="J1480" s="654"/>
    </row>
    <row r="1481" spans="1:10" x14ac:dyDescent="0.35">
      <c r="A1481" s="615" t="s">
        <v>4052</v>
      </c>
      <c r="B1481" s="616" t="str">
        <f t="shared" si="22"/>
        <v/>
      </c>
      <c r="C1481" s="665"/>
      <c r="D1481" s="651">
        <v>2</v>
      </c>
      <c r="E1481" s="236"/>
      <c r="F1481" s="232" t="s">
        <v>2572</v>
      </c>
      <c r="G1481" s="239"/>
      <c r="H1481" s="652"/>
      <c r="I1481" s="656"/>
      <c r="J1481" s="654"/>
    </row>
    <row r="1482" spans="1:10" x14ac:dyDescent="0.35">
      <c r="A1482" s="615" t="s">
        <v>4053</v>
      </c>
      <c r="B1482" s="616" t="str">
        <f t="shared" si="22"/>
        <v/>
      </c>
      <c r="C1482" s="665"/>
      <c r="D1482" s="651">
        <v>2</v>
      </c>
      <c r="E1482" s="236"/>
      <c r="F1482" s="232" t="s">
        <v>2572</v>
      </c>
      <c r="G1482" s="239"/>
      <c r="H1482" s="652"/>
      <c r="I1482" s="656"/>
      <c r="J1482" s="654"/>
    </row>
    <row r="1483" spans="1:10" x14ac:dyDescent="0.35">
      <c r="A1483" s="615" t="s">
        <v>4054</v>
      </c>
      <c r="B1483" s="616" t="str">
        <f t="shared" si="22"/>
        <v/>
      </c>
      <c r="C1483" s="665"/>
      <c r="D1483" s="651">
        <v>2</v>
      </c>
      <c r="E1483" s="236"/>
      <c r="F1483" s="232" t="s">
        <v>2572</v>
      </c>
      <c r="G1483" s="239"/>
      <c r="H1483" s="652"/>
      <c r="I1483" s="656"/>
      <c r="J1483" s="654"/>
    </row>
    <row r="1484" spans="1:10" x14ac:dyDescent="0.35">
      <c r="A1484" s="615" t="s">
        <v>4055</v>
      </c>
      <c r="B1484" s="616" t="str">
        <f t="shared" si="22"/>
        <v/>
      </c>
      <c r="C1484" s="665"/>
      <c r="D1484" s="655">
        <v>6</v>
      </c>
      <c r="E1484" s="236"/>
      <c r="F1484" s="232" t="s">
        <v>2579</v>
      </c>
      <c r="G1484" s="239" t="s">
        <v>2583</v>
      </c>
      <c r="H1484" s="652"/>
      <c r="I1484" s="656"/>
      <c r="J1484" s="654"/>
    </row>
    <row r="1485" spans="1:10" x14ac:dyDescent="0.35">
      <c r="A1485" s="615" t="s">
        <v>4056</v>
      </c>
      <c r="B1485" s="616" t="str">
        <f t="shared" si="22"/>
        <v/>
      </c>
      <c r="C1485" s="665"/>
      <c r="D1485" s="655" t="s">
        <v>75</v>
      </c>
      <c r="E1485" s="236"/>
      <c r="F1485" s="232" t="s">
        <v>76</v>
      </c>
      <c r="G1485" s="239"/>
      <c r="H1485" s="652"/>
      <c r="I1485" s="656"/>
      <c r="J1485" s="654"/>
    </row>
    <row r="1486" spans="1:10" x14ac:dyDescent="0.35">
      <c r="A1486" s="615" t="s">
        <v>4057</v>
      </c>
      <c r="B1486" s="616" t="str">
        <f t="shared" ref="B1486:B1549" si="23">IF(C1486="","",IF(D1486="Datum",TEXT(DAY(C1486),"00")&amp;"."&amp;TEXT(MONTH(C1486),"00")&amp;"."&amp;TEXT(YEAR(C1486),"0000"),IF(AND(ISNUMBER(C1486),D1486="x"),TEXT(C1486,"@"),IF(ISNUMBER(C1486),TEXT(ROUNDDOWN(C1486,0),0)&amp;IF(D1486=0,"","."&amp;IF(C1486-ROUNDDOWN(C1486,0)=0,LEFT("0000000000",D1486),TEXT((C1486-ROUNDDOWN(C1486,0))*(1&amp; LEFT("0000000000",$D1486)),LEFT("0000000000",$D1486)))),C1486))))</f>
        <v/>
      </c>
      <c r="C1486" s="665"/>
      <c r="D1486" s="655">
        <v>2</v>
      </c>
      <c r="E1486" s="236"/>
      <c r="F1486" s="232" t="s">
        <v>2539</v>
      </c>
      <c r="G1486" s="239" t="s">
        <v>2585</v>
      </c>
      <c r="H1486" s="652"/>
      <c r="I1486" s="656"/>
      <c r="J1486" s="654"/>
    </row>
    <row r="1487" spans="1:10" x14ac:dyDescent="0.35">
      <c r="A1487" s="615" t="s">
        <v>4058</v>
      </c>
      <c r="B1487" s="616" t="str">
        <f t="shared" si="23"/>
        <v/>
      </c>
      <c r="C1487" s="665"/>
      <c r="D1487" s="655">
        <v>2</v>
      </c>
      <c r="E1487" s="236"/>
      <c r="F1487" s="232" t="s">
        <v>2539</v>
      </c>
      <c r="G1487" s="239" t="s">
        <v>2585</v>
      </c>
      <c r="H1487" s="652"/>
      <c r="I1487" s="656"/>
      <c r="J1487" s="654"/>
    </row>
    <row r="1488" spans="1:10" x14ac:dyDescent="0.35">
      <c r="A1488" s="615" t="s">
        <v>4059</v>
      </c>
      <c r="B1488" s="616" t="str">
        <f t="shared" si="23"/>
        <v/>
      </c>
      <c r="C1488" s="665"/>
      <c r="D1488" s="655">
        <v>2</v>
      </c>
      <c r="E1488" s="236"/>
      <c r="F1488" s="232" t="s">
        <v>2539</v>
      </c>
      <c r="G1488" s="239" t="s">
        <v>2585</v>
      </c>
      <c r="H1488" s="652"/>
      <c r="I1488" s="656"/>
      <c r="J1488" s="654"/>
    </row>
    <row r="1489" spans="1:10" x14ac:dyDescent="0.35">
      <c r="A1489" s="615" t="s">
        <v>4060</v>
      </c>
      <c r="B1489" s="616" t="str">
        <f t="shared" si="23"/>
        <v/>
      </c>
      <c r="C1489" s="665"/>
      <c r="D1489" s="655">
        <v>2</v>
      </c>
      <c r="E1489" s="236"/>
      <c r="F1489" s="232" t="s">
        <v>2539</v>
      </c>
      <c r="G1489" s="239" t="s">
        <v>2585</v>
      </c>
      <c r="H1489" s="652"/>
      <c r="I1489" s="656"/>
      <c r="J1489" s="654"/>
    </row>
    <row r="1490" spans="1:10" x14ac:dyDescent="0.35">
      <c r="A1490" s="615" t="s">
        <v>4061</v>
      </c>
      <c r="B1490" s="616" t="str">
        <f t="shared" si="23"/>
        <v/>
      </c>
      <c r="C1490" s="665"/>
      <c r="D1490" s="655">
        <v>2</v>
      </c>
      <c r="E1490" s="236"/>
      <c r="F1490" s="232" t="s">
        <v>2539</v>
      </c>
      <c r="G1490" s="239" t="s">
        <v>2585</v>
      </c>
      <c r="H1490" s="652"/>
      <c r="I1490" s="656"/>
      <c r="J1490" s="654"/>
    </row>
    <row r="1491" spans="1:10" x14ac:dyDescent="0.35">
      <c r="A1491" s="615" t="s">
        <v>4062</v>
      </c>
      <c r="B1491" s="616" t="str">
        <f t="shared" si="23"/>
        <v/>
      </c>
      <c r="C1491" s="665"/>
      <c r="D1491" s="655">
        <v>2</v>
      </c>
      <c r="E1491" s="236"/>
      <c r="F1491" s="232" t="s">
        <v>2539</v>
      </c>
      <c r="G1491" s="239" t="s">
        <v>2585</v>
      </c>
      <c r="H1491" s="652"/>
      <c r="I1491" s="656"/>
      <c r="J1491" s="654"/>
    </row>
    <row r="1492" spans="1:10" ht="48" x14ac:dyDescent="0.35">
      <c r="A1492" s="615" t="s">
        <v>4063</v>
      </c>
      <c r="B1492" s="616" t="str">
        <f t="shared" si="23"/>
        <v/>
      </c>
      <c r="C1492" s="665"/>
      <c r="D1492" s="655" t="s">
        <v>75</v>
      </c>
      <c r="E1492" s="236"/>
      <c r="F1492" s="232" t="s">
        <v>76</v>
      </c>
      <c r="G1492" s="657" t="s">
        <v>2591</v>
      </c>
      <c r="H1492" s="652"/>
      <c r="I1492" s="656"/>
      <c r="J1492" s="654"/>
    </row>
    <row r="1493" spans="1:10" x14ac:dyDescent="0.35">
      <c r="A1493" s="615" t="s">
        <v>4064</v>
      </c>
      <c r="B1493" s="616" t="str">
        <f t="shared" si="23"/>
        <v/>
      </c>
      <c r="C1493" s="665"/>
      <c r="D1493" s="655">
        <v>2</v>
      </c>
      <c r="E1493" s="236"/>
      <c r="F1493" s="232" t="s">
        <v>2539</v>
      </c>
      <c r="G1493" s="239"/>
      <c r="H1493" s="652"/>
      <c r="I1493" s="656"/>
      <c r="J1493" s="654"/>
    </row>
    <row r="1494" spans="1:10" x14ac:dyDescent="0.35">
      <c r="A1494" s="615" t="s">
        <v>4065</v>
      </c>
      <c r="B1494" s="616" t="str">
        <f t="shared" si="23"/>
        <v/>
      </c>
      <c r="C1494" s="665"/>
      <c r="D1494" s="655">
        <v>0</v>
      </c>
      <c r="E1494" s="236"/>
      <c r="F1494" s="232" t="s">
        <v>2538</v>
      </c>
      <c r="G1494" s="239"/>
      <c r="H1494" s="652"/>
      <c r="I1494" s="656"/>
      <c r="J1494" s="654"/>
    </row>
    <row r="1495" spans="1:10" x14ac:dyDescent="0.35">
      <c r="A1495" s="615" t="s">
        <v>4066</v>
      </c>
      <c r="B1495" s="616" t="str">
        <f t="shared" si="23"/>
        <v/>
      </c>
      <c r="C1495" s="665"/>
      <c r="D1495" s="655">
        <v>0</v>
      </c>
      <c r="E1495" s="236"/>
      <c r="F1495" s="232" t="s">
        <v>2538</v>
      </c>
      <c r="G1495" s="239"/>
      <c r="H1495" s="652"/>
      <c r="I1495" s="656"/>
      <c r="J1495" s="654"/>
    </row>
    <row r="1496" spans="1:10" x14ac:dyDescent="0.35">
      <c r="A1496" s="615" t="s">
        <v>4067</v>
      </c>
      <c r="B1496" s="616" t="str">
        <f t="shared" si="23"/>
        <v/>
      </c>
      <c r="C1496" s="665"/>
      <c r="D1496" s="655">
        <v>0</v>
      </c>
      <c r="E1496" s="236"/>
      <c r="F1496" s="232" t="s">
        <v>2538</v>
      </c>
      <c r="G1496" s="239"/>
      <c r="H1496" s="652"/>
      <c r="I1496" s="656"/>
      <c r="J1496" s="654"/>
    </row>
    <row r="1497" spans="1:10" x14ac:dyDescent="0.35">
      <c r="A1497" s="615" t="s">
        <v>4068</v>
      </c>
      <c r="B1497" s="616" t="str">
        <f t="shared" si="23"/>
        <v/>
      </c>
      <c r="C1497" s="665"/>
      <c r="D1497" s="651">
        <v>2</v>
      </c>
      <c r="E1497" s="236"/>
      <c r="F1497" s="232" t="s">
        <v>2572</v>
      </c>
      <c r="G1497" s="239"/>
      <c r="H1497" s="652"/>
      <c r="I1497" s="656"/>
      <c r="J1497" s="654"/>
    </row>
    <row r="1498" spans="1:10" x14ac:dyDescent="0.35">
      <c r="A1498" s="615" t="s">
        <v>4069</v>
      </c>
      <c r="B1498" s="616" t="str">
        <f t="shared" si="23"/>
        <v/>
      </c>
      <c r="C1498" s="665"/>
      <c r="D1498" s="651">
        <v>2</v>
      </c>
      <c r="E1498" s="236"/>
      <c r="F1498" s="232" t="s">
        <v>2572</v>
      </c>
      <c r="G1498" s="239"/>
      <c r="H1498" s="652"/>
      <c r="I1498" s="656"/>
      <c r="J1498" s="654"/>
    </row>
    <row r="1499" spans="1:10" x14ac:dyDescent="0.35">
      <c r="A1499" s="615" t="s">
        <v>4070</v>
      </c>
      <c r="B1499" s="616" t="str">
        <f t="shared" si="23"/>
        <v/>
      </c>
      <c r="C1499" s="665"/>
      <c r="D1499" s="651">
        <v>2</v>
      </c>
      <c r="E1499" s="236"/>
      <c r="F1499" s="232" t="s">
        <v>2572</v>
      </c>
      <c r="G1499" s="239"/>
      <c r="H1499" s="652"/>
      <c r="I1499" s="656"/>
      <c r="J1499" s="654"/>
    </row>
    <row r="1500" spans="1:10" x14ac:dyDescent="0.35">
      <c r="A1500" s="615" t="s">
        <v>4071</v>
      </c>
      <c r="B1500" s="616" t="str">
        <f t="shared" si="23"/>
        <v/>
      </c>
      <c r="C1500" s="665"/>
      <c r="D1500" s="651">
        <v>2</v>
      </c>
      <c r="E1500" s="236"/>
      <c r="F1500" s="232" t="s">
        <v>2572</v>
      </c>
      <c r="G1500" s="239"/>
      <c r="H1500" s="652"/>
      <c r="I1500" s="656"/>
      <c r="J1500" s="654"/>
    </row>
    <row r="1501" spans="1:10" x14ac:dyDescent="0.35">
      <c r="A1501" s="615" t="s">
        <v>4072</v>
      </c>
      <c r="B1501" s="616" t="str">
        <f t="shared" si="23"/>
        <v/>
      </c>
      <c r="C1501" s="665"/>
      <c r="D1501" s="651">
        <v>2</v>
      </c>
      <c r="E1501" s="236"/>
      <c r="F1501" s="232" t="s">
        <v>2572</v>
      </c>
      <c r="G1501" s="239"/>
      <c r="H1501" s="652"/>
      <c r="I1501" s="656"/>
      <c r="J1501" s="654"/>
    </row>
    <row r="1502" spans="1:10" x14ac:dyDescent="0.35">
      <c r="A1502" s="615" t="s">
        <v>4073</v>
      </c>
      <c r="B1502" s="616" t="str">
        <f t="shared" si="23"/>
        <v/>
      </c>
      <c r="C1502" s="665"/>
      <c r="D1502" s="655">
        <v>6</v>
      </c>
      <c r="E1502" s="236"/>
      <c r="F1502" s="232" t="s">
        <v>2579</v>
      </c>
      <c r="G1502" s="239" t="s">
        <v>2583</v>
      </c>
      <c r="H1502" s="652"/>
      <c r="I1502" s="656"/>
      <c r="J1502" s="654"/>
    </row>
    <row r="1503" spans="1:10" x14ac:dyDescent="0.35">
      <c r="A1503" s="615" t="s">
        <v>4074</v>
      </c>
      <c r="B1503" s="616" t="str">
        <f t="shared" si="23"/>
        <v/>
      </c>
      <c r="C1503" s="665"/>
      <c r="D1503" s="655" t="s">
        <v>75</v>
      </c>
      <c r="E1503" s="236"/>
      <c r="F1503" s="232" t="s">
        <v>76</v>
      </c>
      <c r="G1503" s="239"/>
      <c r="H1503" s="652"/>
      <c r="I1503" s="656"/>
      <c r="J1503" s="654"/>
    </row>
    <row r="1504" spans="1:10" x14ac:dyDescent="0.35">
      <c r="A1504" s="615" t="s">
        <v>4075</v>
      </c>
      <c r="B1504" s="616" t="str">
        <f t="shared" si="23"/>
        <v/>
      </c>
      <c r="C1504" s="665"/>
      <c r="D1504" s="655">
        <v>2</v>
      </c>
      <c r="E1504" s="236"/>
      <c r="F1504" s="232" t="s">
        <v>2539</v>
      </c>
      <c r="G1504" s="239" t="s">
        <v>2585</v>
      </c>
      <c r="H1504" s="652"/>
      <c r="I1504" s="656"/>
      <c r="J1504" s="654"/>
    </row>
    <row r="1505" spans="1:10" x14ac:dyDescent="0.35">
      <c r="A1505" s="615" t="s">
        <v>4076</v>
      </c>
      <c r="B1505" s="616" t="str">
        <f t="shared" si="23"/>
        <v/>
      </c>
      <c r="C1505" s="665"/>
      <c r="D1505" s="655">
        <v>2</v>
      </c>
      <c r="E1505" s="236"/>
      <c r="F1505" s="232" t="s">
        <v>2539</v>
      </c>
      <c r="G1505" s="239" t="s">
        <v>2585</v>
      </c>
      <c r="H1505" s="652"/>
      <c r="I1505" s="656"/>
      <c r="J1505" s="654"/>
    </row>
    <row r="1506" spans="1:10" x14ac:dyDescent="0.35">
      <c r="A1506" s="615" t="s">
        <v>4077</v>
      </c>
      <c r="B1506" s="616" t="str">
        <f t="shared" si="23"/>
        <v/>
      </c>
      <c r="C1506" s="665"/>
      <c r="D1506" s="655">
        <v>2</v>
      </c>
      <c r="E1506" s="236"/>
      <c r="F1506" s="232" t="s">
        <v>2539</v>
      </c>
      <c r="G1506" s="239" t="s">
        <v>2585</v>
      </c>
      <c r="H1506" s="652"/>
      <c r="I1506" s="656"/>
      <c r="J1506" s="654"/>
    </row>
    <row r="1507" spans="1:10" x14ac:dyDescent="0.35">
      <c r="A1507" s="615" t="s">
        <v>4078</v>
      </c>
      <c r="B1507" s="616" t="str">
        <f t="shared" si="23"/>
        <v/>
      </c>
      <c r="C1507" s="665"/>
      <c r="D1507" s="655">
        <v>2</v>
      </c>
      <c r="E1507" s="236"/>
      <c r="F1507" s="232" t="s">
        <v>2539</v>
      </c>
      <c r="G1507" s="239" t="s">
        <v>2585</v>
      </c>
      <c r="H1507" s="652"/>
      <c r="I1507" s="656"/>
      <c r="J1507" s="654"/>
    </row>
    <row r="1508" spans="1:10" x14ac:dyDescent="0.35">
      <c r="A1508" s="615" t="s">
        <v>4079</v>
      </c>
      <c r="B1508" s="616" t="str">
        <f t="shared" si="23"/>
        <v/>
      </c>
      <c r="C1508" s="665"/>
      <c r="D1508" s="655">
        <v>2</v>
      </c>
      <c r="E1508" s="236"/>
      <c r="F1508" s="232" t="s">
        <v>2539</v>
      </c>
      <c r="G1508" s="239" t="s">
        <v>2585</v>
      </c>
      <c r="H1508" s="652"/>
      <c r="I1508" s="656"/>
      <c r="J1508" s="654"/>
    </row>
    <row r="1509" spans="1:10" x14ac:dyDescent="0.35">
      <c r="A1509" s="615" t="s">
        <v>4080</v>
      </c>
      <c r="B1509" s="616" t="str">
        <f t="shared" si="23"/>
        <v/>
      </c>
      <c r="C1509" s="665"/>
      <c r="D1509" s="655">
        <v>2</v>
      </c>
      <c r="E1509" s="236"/>
      <c r="F1509" s="232" t="s">
        <v>2539</v>
      </c>
      <c r="G1509" s="239" t="s">
        <v>2585</v>
      </c>
      <c r="H1509" s="652"/>
      <c r="I1509" s="656"/>
      <c r="J1509" s="654"/>
    </row>
    <row r="1510" spans="1:10" ht="48" x14ac:dyDescent="0.35">
      <c r="A1510" s="615" t="s">
        <v>4081</v>
      </c>
      <c r="B1510" s="616" t="str">
        <f t="shared" si="23"/>
        <v/>
      </c>
      <c r="C1510" s="665"/>
      <c r="D1510" s="655" t="s">
        <v>75</v>
      </c>
      <c r="E1510" s="236"/>
      <c r="F1510" s="232" t="s">
        <v>76</v>
      </c>
      <c r="G1510" s="657" t="s">
        <v>2591</v>
      </c>
      <c r="H1510" s="652"/>
      <c r="I1510" s="656"/>
      <c r="J1510" s="654"/>
    </row>
    <row r="1511" spans="1:10" x14ac:dyDescent="0.35">
      <c r="A1511" s="615" t="s">
        <v>4082</v>
      </c>
      <c r="B1511" s="616" t="str">
        <f t="shared" si="23"/>
        <v/>
      </c>
      <c r="C1511" s="665"/>
      <c r="D1511" s="655">
        <v>2</v>
      </c>
      <c r="E1511" s="236"/>
      <c r="F1511" s="232" t="s">
        <v>2539</v>
      </c>
      <c r="G1511" s="239"/>
      <c r="H1511" s="652"/>
      <c r="I1511" s="656"/>
      <c r="J1511" s="654"/>
    </row>
    <row r="1512" spans="1:10" x14ac:dyDescent="0.35">
      <c r="A1512" s="615" t="s">
        <v>4083</v>
      </c>
      <c r="B1512" s="616" t="str">
        <f t="shared" si="23"/>
        <v/>
      </c>
      <c r="C1512" s="665"/>
      <c r="D1512" s="655">
        <v>0</v>
      </c>
      <c r="E1512" s="236"/>
      <c r="F1512" s="232" t="s">
        <v>2538</v>
      </c>
      <c r="G1512" s="239"/>
      <c r="H1512" s="652"/>
      <c r="I1512" s="656"/>
      <c r="J1512" s="654"/>
    </row>
    <row r="1513" spans="1:10" x14ac:dyDescent="0.35">
      <c r="A1513" s="615" t="s">
        <v>4084</v>
      </c>
      <c r="B1513" s="616" t="str">
        <f t="shared" si="23"/>
        <v/>
      </c>
      <c r="C1513" s="665"/>
      <c r="D1513" s="655">
        <v>0</v>
      </c>
      <c r="E1513" s="236"/>
      <c r="F1513" s="232" t="s">
        <v>2538</v>
      </c>
      <c r="G1513" s="239"/>
      <c r="H1513" s="652"/>
      <c r="I1513" s="656"/>
      <c r="J1513" s="654"/>
    </row>
    <row r="1514" spans="1:10" x14ac:dyDescent="0.35">
      <c r="A1514" s="615" t="s">
        <v>4085</v>
      </c>
      <c r="B1514" s="616" t="str">
        <f t="shared" si="23"/>
        <v/>
      </c>
      <c r="C1514" s="665"/>
      <c r="D1514" s="655">
        <v>0</v>
      </c>
      <c r="E1514" s="236"/>
      <c r="F1514" s="232" t="s">
        <v>2538</v>
      </c>
      <c r="G1514" s="239"/>
      <c r="H1514" s="652"/>
      <c r="I1514" s="656"/>
      <c r="J1514" s="654"/>
    </row>
    <row r="1515" spans="1:10" x14ac:dyDescent="0.35">
      <c r="A1515" s="615" t="s">
        <v>4086</v>
      </c>
      <c r="B1515" s="616" t="str">
        <f t="shared" si="23"/>
        <v/>
      </c>
      <c r="C1515" s="665"/>
      <c r="D1515" s="651">
        <v>2</v>
      </c>
      <c r="E1515" s="236"/>
      <c r="F1515" s="232" t="s">
        <v>2572</v>
      </c>
      <c r="G1515" s="239"/>
      <c r="H1515" s="652"/>
      <c r="I1515" s="656"/>
      <c r="J1515" s="654"/>
    </row>
    <row r="1516" spans="1:10" x14ac:dyDescent="0.35">
      <c r="A1516" s="615" t="s">
        <v>4087</v>
      </c>
      <c r="B1516" s="616" t="str">
        <f t="shared" si="23"/>
        <v/>
      </c>
      <c r="C1516" s="665"/>
      <c r="D1516" s="651">
        <v>2</v>
      </c>
      <c r="E1516" s="236"/>
      <c r="F1516" s="232" t="s">
        <v>2572</v>
      </c>
      <c r="G1516" s="239"/>
      <c r="H1516" s="652"/>
      <c r="I1516" s="656"/>
      <c r="J1516" s="654"/>
    </row>
    <row r="1517" spans="1:10" x14ac:dyDescent="0.35">
      <c r="A1517" s="615" t="s">
        <v>4088</v>
      </c>
      <c r="B1517" s="616" t="str">
        <f t="shared" si="23"/>
        <v/>
      </c>
      <c r="C1517" s="665"/>
      <c r="D1517" s="651">
        <v>2</v>
      </c>
      <c r="E1517" s="236"/>
      <c r="F1517" s="232" t="s">
        <v>2572</v>
      </c>
      <c r="G1517" s="239"/>
      <c r="H1517" s="652"/>
      <c r="I1517" s="656"/>
      <c r="J1517" s="654"/>
    </row>
    <row r="1518" spans="1:10" x14ac:dyDescent="0.35">
      <c r="A1518" s="615" t="s">
        <v>4089</v>
      </c>
      <c r="B1518" s="616" t="str">
        <f t="shared" si="23"/>
        <v/>
      </c>
      <c r="C1518" s="665"/>
      <c r="D1518" s="651">
        <v>2</v>
      </c>
      <c r="E1518" s="236"/>
      <c r="F1518" s="232" t="s">
        <v>2572</v>
      </c>
      <c r="G1518" s="239"/>
      <c r="H1518" s="652"/>
      <c r="I1518" s="656"/>
      <c r="J1518" s="654"/>
    </row>
    <row r="1519" spans="1:10" x14ac:dyDescent="0.35">
      <c r="A1519" s="615" t="s">
        <v>4090</v>
      </c>
      <c r="B1519" s="616" t="str">
        <f t="shared" si="23"/>
        <v/>
      </c>
      <c r="C1519" s="665"/>
      <c r="D1519" s="651">
        <v>2</v>
      </c>
      <c r="E1519" s="236"/>
      <c r="F1519" s="232" t="s">
        <v>2572</v>
      </c>
      <c r="G1519" s="239"/>
      <c r="H1519" s="652"/>
      <c r="I1519" s="656"/>
      <c r="J1519" s="654"/>
    </row>
    <row r="1520" spans="1:10" x14ac:dyDescent="0.35">
      <c r="A1520" s="615" t="s">
        <v>4091</v>
      </c>
      <c r="B1520" s="616" t="str">
        <f t="shared" si="23"/>
        <v/>
      </c>
      <c r="C1520" s="665"/>
      <c r="D1520" s="655">
        <v>6</v>
      </c>
      <c r="E1520" s="236"/>
      <c r="F1520" s="232" t="s">
        <v>2579</v>
      </c>
      <c r="G1520" s="239" t="s">
        <v>2583</v>
      </c>
      <c r="H1520" s="652"/>
      <c r="I1520" s="656"/>
      <c r="J1520" s="654"/>
    </row>
    <row r="1521" spans="1:10" x14ac:dyDescent="0.35">
      <c r="A1521" s="615" t="s">
        <v>4092</v>
      </c>
      <c r="B1521" s="616" t="str">
        <f t="shared" si="23"/>
        <v/>
      </c>
      <c r="C1521" s="665"/>
      <c r="D1521" s="655" t="s">
        <v>75</v>
      </c>
      <c r="E1521" s="236"/>
      <c r="F1521" s="232" t="s">
        <v>76</v>
      </c>
      <c r="G1521" s="239"/>
      <c r="H1521" s="652"/>
      <c r="I1521" s="656"/>
      <c r="J1521" s="654"/>
    </row>
    <row r="1522" spans="1:10" x14ac:dyDescent="0.35">
      <c r="A1522" s="615" t="s">
        <v>4093</v>
      </c>
      <c r="B1522" s="616" t="str">
        <f t="shared" si="23"/>
        <v/>
      </c>
      <c r="C1522" s="665"/>
      <c r="D1522" s="655">
        <v>2</v>
      </c>
      <c r="E1522" s="236"/>
      <c r="F1522" s="232" t="s">
        <v>2539</v>
      </c>
      <c r="G1522" s="239" t="s">
        <v>2585</v>
      </c>
      <c r="H1522" s="652"/>
      <c r="I1522" s="656"/>
      <c r="J1522" s="654"/>
    </row>
    <row r="1523" spans="1:10" x14ac:dyDescent="0.35">
      <c r="A1523" s="615" t="s">
        <v>4094</v>
      </c>
      <c r="B1523" s="616" t="str">
        <f t="shared" si="23"/>
        <v/>
      </c>
      <c r="C1523" s="665"/>
      <c r="D1523" s="655">
        <v>2</v>
      </c>
      <c r="E1523" s="236"/>
      <c r="F1523" s="232" t="s">
        <v>2539</v>
      </c>
      <c r="G1523" s="239" t="s">
        <v>2585</v>
      </c>
      <c r="H1523" s="652"/>
      <c r="I1523" s="656"/>
      <c r="J1523" s="654"/>
    </row>
    <row r="1524" spans="1:10" x14ac:dyDescent="0.35">
      <c r="A1524" s="615" t="s">
        <v>4095</v>
      </c>
      <c r="B1524" s="616" t="str">
        <f t="shared" si="23"/>
        <v/>
      </c>
      <c r="C1524" s="665"/>
      <c r="D1524" s="655">
        <v>2</v>
      </c>
      <c r="E1524" s="236"/>
      <c r="F1524" s="232" t="s">
        <v>2539</v>
      </c>
      <c r="G1524" s="239" t="s">
        <v>2585</v>
      </c>
      <c r="H1524" s="652"/>
      <c r="I1524" s="656"/>
      <c r="J1524" s="654"/>
    </row>
    <row r="1525" spans="1:10" x14ac:dyDescent="0.35">
      <c r="A1525" s="615" t="s">
        <v>4096</v>
      </c>
      <c r="B1525" s="616" t="str">
        <f t="shared" si="23"/>
        <v/>
      </c>
      <c r="C1525" s="665"/>
      <c r="D1525" s="655">
        <v>2</v>
      </c>
      <c r="E1525" s="236"/>
      <c r="F1525" s="232" t="s">
        <v>2539</v>
      </c>
      <c r="G1525" s="239" t="s">
        <v>2585</v>
      </c>
      <c r="H1525" s="652"/>
      <c r="I1525" s="656"/>
      <c r="J1525" s="654"/>
    </row>
    <row r="1526" spans="1:10" x14ac:dyDescent="0.35">
      <c r="A1526" s="615" t="s">
        <v>4097</v>
      </c>
      <c r="B1526" s="616" t="str">
        <f t="shared" si="23"/>
        <v/>
      </c>
      <c r="C1526" s="665"/>
      <c r="D1526" s="655">
        <v>2</v>
      </c>
      <c r="E1526" s="236"/>
      <c r="F1526" s="232" t="s">
        <v>2539</v>
      </c>
      <c r="G1526" s="239" t="s">
        <v>2585</v>
      </c>
      <c r="H1526" s="652"/>
      <c r="I1526" s="656"/>
      <c r="J1526" s="654"/>
    </row>
    <row r="1527" spans="1:10" x14ac:dyDescent="0.35">
      <c r="A1527" s="615" t="s">
        <v>4098</v>
      </c>
      <c r="B1527" s="616" t="str">
        <f t="shared" si="23"/>
        <v/>
      </c>
      <c r="C1527" s="665"/>
      <c r="D1527" s="655">
        <v>2</v>
      </c>
      <c r="E1527" s="236"/>
      <c r="F1527" s="232" t="s">
        <v>2539</v>
      </c>
      <c r="G1527" s="239" t="s">
        <v>2585</v>
      </c>
      <c r="H1527" s="652"/>
      <c r="I1527" s="656"/>
      <c r="J1527" s="654"/>
    </row>
    <row r="1528" spans="1:10" ht="48" x14ac:dyDescent="0.35">
      <c r="A1528" s="615" t="s">
        <v>4099</v>
      </c>
      <c r="B1528" s="616" t="str">
        <f t="shared" si="23"/>
        <v/>
      </c>
      <c r="C1528" s="665"/>
      <c r="D1528" s="655" t="s">
        <v>75</v>
      </c>
      <c r="E1528" s="236"/>
      <c r="F1528" s="232" t="s">
        <v>76</v>
      </c>
      <c r="G1528" s="657" t="s">
        <v>2591</v>
      </c>
      <c r="H1528" s="652"/>
      <c r="I1528" s="656"/>
      <c r="J1528" s="654"/>
    </row>
    <row r="1529" spans="1:10" x14ac:dyDescent="0.35">
      <c r="A1529" s="615" t="s">
        <v>4100</v>
      </c>
      <c r="B1529" s="616" t="str">
        <f t="shared" si="23"/>
        <v/>
      </c>
      <c r="C1529" s="665"/>
      <c r="D1529" s="655">
        <v>2</v>
      </c>
      <c r="E1529" s="236"/>
      <c r="F1529" s="232" t="s">
        <v>2539</v>
      </c>
      <c r="G1529" s="239"/>
      <c r="H1529" s="652"/>
      <c r="I1529" s="656"/>
      <c r="J1529" s="654"/>
    </row>
    <row r="1530" spans="1:10" x14ac:dyDescent="0.35">
      <c r="A1530" s="615" t="s">
        <v>4101</v>
      </c>
      <c r="B1530" s="616" t="str">
        <f t="shared" si="23"/>
        <v/>
      </c>
      <c r="C1530" s="665"/>
      <c r="D1530" s="655">
        <v>0</v>
      </c>
      <c r="E1530" s="236"/>
      <c r="F1530" s="232" t="s">
        <v>2538</v>
      </c>
      <c r="G1530" s="239"/>
      <c r="H1530" s="652"/>
      <c r="I1530" s="656"/>
      <c r="J1530" s="654"/>
    </row>
    <row r="1531" spans="1:10" x14ac:dyDescent="0.35">
      <c r="A1531" s="615" t="s">
        <v>4102</v>
      </c>
      <c r="B1531" s="616" t="str">
        <f t="shared" si="23"/>
        <v/>
      </c>
      <c r="C1531" s="665"/>
      <c r="D1531" s="655">
        <v>0</v>
      </c>
      <c r="E1531" s="236"/>
      <c r="F1531" s="232" t="s">
        <v>2538</v>
      </c>
      <c r="G1531" s="239"/>
      <c r="H1531" s="652"/>
      <c r="I1531" s="656"/>
      <c r="J1531" s="654"/>
    </row>
    <row r="1532" spans="1:10" x14ac:dyDescent="0.35">
      <c r="A1532" s="615" t="s">
        <v>4103</v>
      </c>
      <c r="B1532" s="616" t="str">
        <f t="shared" si="23"/>
        <v/>
      </c>
      <c r="C1532" s="665"/>
      <c r="D1532" s="655">
        <v>0</v>
      </c>
      <c r="E1532" s="236"/>
      <c r="F1532" s="232" t="s">
        <v>2538</v>
      </c>
      <c r="G1532" s="239"/>
      <c r="H1532" s="652"/>
      <c r="I1532" s="656"/>
      <c r="J1532" s="654"/>
    </row>
    <row r="1533" spans="1:10" x14ac:dyDescent="0.35">
      <c r="A1533" s="615" t="s">
        <v>4104</v>
      </c>
      <c r="B1533" s="616" t="str">
        <f t="shared" si="23"/>
        <v/>
      </c>
      <c r="C1533" s="665"/>
      <c r="D1533" s="651">
        <v>2</v>
      </c>
      <c r="E1533" s="236"/>
      <c r="F1533" s="232" t="s">
        <v>2572</v>
      </c>
      <c r="G1533" s="239"/>
      <c r="H1533" s="652"/>
      <c r="I1533" s="656"/>
      <c r="J1533" s="654"/>
    </row>
    <row r="1534" spans="1:10" x14ac:dyDescent="0.35">
      <c r="A1534" s="615" t="s">
        <v>4105</v>
      </c>
      <c r="B1534" s="616" t="str">
        <f t="shared" si="23"/>
        <v/>
      </c>
      <c r="C1534" s="665"/>
      <c r="D1534" s="651">
        <v>2</v>
      </c>
      <c r="E1534" s="236"/>
      <c r="F1534" s="232" t="s">
        <v>2572</v>
      </c>
      <c r="G1534" s="239"/>
      <c r="H1534" s="652"/>
      <c r="I1534" s="656"/>
      <c r="J1534" s="654"/>
    </row>
    <row r="1535" spans="1:10" x14ac:dyDescent="0.35">
      <c r="A1535" s="615" t="s">
        <v>4106</v>
      </c>
      <c r="B1535" s="616" t="str">
        <f t="shared" si="23"/>
        <v/>
      </c>
      <c r="C1535" s="665"/>
      <c r="D1535" s="651">
        <v>2</v>
      </c>
      <c r="E1535" s="236"/>
      <c r="F1535" s="232" t="s">
        <v>2572</v>
      </c>
      <c r="G1535" s="239"/>
      <c r="H1535" s="652"/>
      <c r="I1535" s="656"/>
      <c r="J1535" s="654"/>
    </row>
    <row r="1536" spans="1:10" x14ac:dyDescent="0.35">
      <c r="A1536" s="615" t="s">
        <v>4107</v>
      </c>
      <c r="B1536" s="616" t="str">
        <f t="shared" si="23"/>
        <v/>
      </c>
      <c r="C1536" s="665"/>
      <c r="D1536" s="651">
        <v>2</v>
      </c>
      <c r="E1536" s="236"/>
      <c r="F1536" s="232" t="s">
        <v>2572</v>
      </c>
      <c r="G1536" s="239"/>
      <c r="H1536" s="652"/>
      <c r="I1536" s="656"/>
      <c r="J1536" s="654"/>
    </row>
    <row r="1537" spans="1:10" x14ac:dyDescent="0.35">
      <c r="A1537" s="615" t="s">
        <v>4108</v>
      </c>
      <c r="B1537" s="616" t="str">
        <f t="shared" si="23"/>
        <v/>
      </c>
      <c r="C1537" s="665"/>
      <c r="D1537" s="651">
        <v>2</v>
      </c>
      <c r="E1537" s="236"/>
      <c r="F1537" s="232" t="s">
        <v>2572</v>
      </c>
      <c r="G1537" s="239"/>
      <c r="H1537" s="652"/>
      <c r="I1537" s="656"/>
      <c r="J1537" s="654"/>
    </row>
    <row r="1538" spans="1:10" x14ac:dyDescent="0.35">
      <c r="A1538" s="615" t="s">
        <v>4109</v>
      </c>
      <c r="B1538" s="616" t="str">
        <f t="shared" si="23"/>
        <v/>
      </c>
      <c r="C1538" s="665"/>
      <c r="D1538" s="655">
        <v>6</v>
      </c>
      <c r="E1538" s="236"/>
      <c r="F1538" s="232" t="s">
        <v>2579</v>
      </c>
      <c r="G1538" s="239" t="s">
        <v>2583</v>
      </c>
      <c r="H1538" s="652"/>
      <c r="I1538" s="656"/>
      <c r="J1538" s="654"/>
    </row>
    <row r="1539" spans="1:10" x14ac:dyDescent="0.35">
      <c r="A1539" s="615" t="s">
        <v>4110</v>
      </c>
      <c r="B1539" s="616" t="str">
        <f t="shared" si="23"/>
        <v/>
      </c>
      <c r="C1539" s="665"/>
      <c r="D1539" s="655" t="s">
        <v>75</v>
      </c>
      <c r="E1539" s="236"/>
      <c r="F1539" s="232" t="s">
        <v>76</v>
      </c>
      <c r="G1539" s="239"/>
      <c r="H1539" s="652"/>
      <c r="I1539" s="656"/>
      <c r="J1539" s="654"/>
    </row>
    <row r="1540" spans="1:10" x14ac:dyDescent="0.35">
      <c r="A1540" s="615" t="s">
        <v>4111</v>
      </c>
      <c r="B1540" s="616" t="str">
        <f t="shared" si="23"/>
        <v/>
      </c>
      <c r="C1540" s="665"/>
      <c r="D1540" s="655">
        <v>2</v>
      </c>
      <c r="E1540" s="236"/>
      <c r="F1540" s="232" t="s">
        <v>2539</v>
      </c>
      <c r="G1540" s="239" t="s">
        <v>2585</v>
      </c>
      <c r="H1540" s="652"/>
      <c r="I1540" s="656"/>
      <c r="J1540" s="654"/>
    </row>
    <row r="1541" spans="1:10" x14ac:dyDescent="0.35">
      <c r="A1541" s="615" t="s">
        <v>4112</v>
      </c>
      <c r="B1541" s="616" t="str">
        <f t="shared" si="23"/>
        <v/>
      </c>
      <c r="C1541" s="665"/>
      <c r="D1541" s="655">
        <v>2</v>
      </c>
      <c r="E1541" s="236"/>
      <c r="F1541" s="232" t="s">
        <v>2539</v>
      </c>
      <c r="G1541" s="239" t="s">
        <v>2585</v>
      </c>
      <c r="H1541" s="652"/>
      <c r="I1541" s="656"/>
      <c r="J1541" s="654"/>
    </row>
    <row r="1542" spans="1:10" x14ac:dyDescent="0.35">
      <c r="A1542" s="615" t="s">
        <v>4113</v>
      </c>
      <c r="B1542" s="616" t="str">
        <f t="shared" si="23"/>
        <v/>
      </c>
      <c r="C1542" s="665"/>
      <c r="D1542" s="655">
        <v>2</v>
      </c>
      <c r="E1542" s="236"/>
      <c r="F1542" s="232" t="s">
        <v>2539</v>
      </c>
      <c r="G1542" s="239" t="s">
        <v>2585</v>
      </c>
      <c r="H1542" s="652"/>
      <c r="I1542" s="656"/>
      <c r="J1542" s="654"/>
    </row>
    <row r="1543" spans="1:10" x14ac:dyDescent="0.35">
      <c r="A1543" s="615" t="s">
        <v>4114</v>
      </c>
      <c r="B1543" s="616" t="str">
        <f t="shared" si="23"/>
        <v/>
      </c>
      <c r="C1543" s="665"/>
      <c r="D1543" s="655">
        <v>2</v>
      </c>
      <c r="E1543" s="236"/>
      <c r="F1543" s="232" t="s">
        <v>2539</v>
      </c>
      <c r="G1543" s="239" t="s">
        <v>2585</v>
      </c>
      <c r="H1543" s="652"/>
      <c r="I1543" s="656"/>
      <c r="J1543" s="654"/>
    </row>
    <row r="1544" spans="1:10" x14ac:dyDescent="0.35">
      <c r="A1544" s="615" t="s">
        <v>4115</v>
      </c>
      <c r="B1544" s="616" t="str">
        <f t="shared" si="23"/>
        <v/>
      </c>
      <c r="C1544" s="665"/>
      <c r="D1544" s="655">
        <v>2</v>
      </c>
      <c r="E1544" s="236"/>
      <c r="F1544" s="232" t="s">
        <v>2539</v>
      </c>
      <c r="G1544" s="239" t="s">
        <v>2585</v>
      </c>
      <c r="H1544" s="652"/>
      <c r="I1544" s="656"/>
      <c r="J1544" s="654"/>
    </row>
    <row r="1545" spans="1:10" x14ac:dyDescent="0.35">
      <c r="A1545" s="615" t="s">
        <v>4116</v>
      </c>
      <c r="B1545" s="616" t="str">
        <f t="shared" si="23"/>
        <v/>
      </c>
      <c r="C1545" s="665"/>
      <c r="D1545" s="655">
        <v>2</v>
      </c>
      <c r="E1545" s="236"/>
      <c r="F1545" s="232" t="s">
        <v>2539</v>
      </c>
      <c r="G1545" s="239" t="s">
        <v>2585</v>
      </c>
      <c r="H1545" s="652"/>
      <c r="I1545" s="656"/>
      <c r="J1545" s="654"/>
    </row>
    <row r="1546" spans="1:10" ht="48" x14ac:dyDescent="0.35">
      <c r="A1546" s="615" t="s">
        <v>4117</v>
      </c>
      <c r="B1546" s="616" t="str">
        <f t="shared" si="23"/>
        <v/>
      </c>
      <c r="C1546" s="665"/>
      <c r="D1546" s="655" t="s">
        <v>75</v>
      </c>
      <c r="E1546" s="236"/>
      <c r="F1546" s="232" t="s">
        <v>76</v>
      </c>
      <c r="G1546" s="657" t="s">
        <v>2591</v>
      </c>
      <c r="H1546" s="652"/>
      <c r="I1546" s="656"/>
      <c r="J1546" s="654"/>
    </row>
    <row r="1547" spans="1:10" x14ac:dyDescent="0.35">
      <c r="A1547" s="615" t="s">
        <v>4118</v>
      </c>
      <c r="B1547" s="616" t="str">
        <f t="shared" si="23"/>
        <v/>
      </c>
      <c r="C1547" s="665"/>
      <c r="D1547" s="655">
        <v>2</v>
      </c>
      <c r="E1547" s="236"/>
      <c r="F1547" s="232" t="s">
        <v>2539</v>
      </c>
      <c r="G1547" s="239"/>
      <c r="H1547" s="652"/>
      <c r="I1547" s="656"/>
      <c r="J1547" s="654"/>
    </row>
    <row r="1548" spans="1:10" x14ac:dyDescent="0.35">
      <c r="A1548" s="615" t="s">
        <v>4119</v>
      </c>
      <c r="B1548" s="616" t="str">
        <f t="shared" si="23"/>
        <v/>
      </c>
      <c r="C1548" s="665"/>
      <c r="D1548" s="655">
        <v>0</v>
      </c>
      <c r="E1548" s="236"/>
      <c r="F1548" s="232" t="s">
        <v>2538</v>
      </c>
      <c r="G1548" s="239"/>
      <c r="H1548" s="652"/>
      <c r="I1548" s="656"/>
      <c r="J1548" s="654"/>
    </row>
    <row r="1549" spans="1:10" x14ac:dyDescent="0.35">
      <c r="A1549" s="615" t="s">
        <v>4120</v>
      </c>
      <c r="B1549" s="616" t="str">
        <f t="shared" si="23"/>
        <v/>
      </c>
      <c r="C1549" s="665"/>
      <c r="D1549" s="655">
        <v>0</v>
      </c>
      <c r="E1549" s="236"/>
      <c r="F1549" s="232" t="s">
        <v>2538</v>
      </c>
      <c r="G1549" s="239"/>
      <c r="H1549" s="652"/>
      <c r="I1549" s="656"/>
      <c r="J1549" s="654"/>
    </row>
    <row r="1550" spans="1:10" x14ac:dyDescent="0.35">
      <c r="A1550" s="615" t="s">
        <v>4121</v>
      </c>
      <c r="B1550" s="616" t="str">
        <f t="shared" ref="B1550:B1601" si="24">IF(C1550="","",IF(D1550="Datum",TEXT(DAY(C1550),"00")&amp;"."&amp;TEXT(MONTH(C1550),"00")&amp;"."&amp;TEXT(YEAR(C1550),"0000"),IF(AND(ISNUMBER(C1550),D1550="x"),TEXT(C1550,"@"),IF(ISNUMBER(C1550),TEXT(ROUNDDOWN(C1550,0),0)&amp;IF(D1550=0,"","."&amp;IF(C1550-ROUNDDOWN(C1550,0)=0,LEFT("0000000000",D1550),TEXT((C1550-ROUNDDOWN(C1550,0))*(1&amp; LEFT("0000000000",$D1550)),LEFT("0000000000",$D1550)))),C1550))))</f>
        <v/>
      </c>
      <c r="C1550" s="665"/>
      <c r="D1550" s="655">
        <v>0</v>
      </c>
      <c r="E1550" s="236"/>
      <c r="F1550" s="232" t="s">
        <v>2538</v>
      </c>
      <c r="G1550" s="239"/>
      <c r="H1550" s="652"/>
      <c r="I1550" s="656"/>
      <c r="J1550" s="654"/>
    </row>
    <row r="1551" spans="1:10" x14ac:dyDescent="0.35">
      <c r="A1551" s="615" t="s">
        <v>4122</v>
      </c>
      <c r="B1551" s="616" t="str">
        <f t="shared" si="24"/>
        <v/>
      </c>
      <c r="C1551" s="665"/>
      <c r="D1551" s="651">
        <v>2</v>
      </c>
      <c r="E1551" s="236"/>
      <c r="F1551" s="232" t="s">
        <v>2572</v>
      </c>
      <c r="G1551" s="239"/>
      <c r="H1551" s="652"/>
      <c r="I1551" s="656"/>
      <c r="J1551" s="654"/>
    </row>
    <row r="1552" spans="1:10" x14ac:dyDescent="0.35">
      <c r="A1552" s="615" t="s">
        <v>4123</v>
      </c>
      <c r="B1552" s="616" t="str">
        <f t="shared" si="24"/>
        <v/>
      </c>
      <c r="C1552" s="665"/>
      <c r="D1552" s="651">
        <v>2</v>
      </c>
      <c r="E1552" s="236"/>
      <c r="F1552" s="232" t="s">
        <v>2572</v>
      </c>
      <c r="G1552" s="239"/>
      <c r="H1552" s="652"/>
      <c r="I1552" s="656"/>
      <c r="J1552" s="654"/>
    </row>
    <row r="1553" spans="1:10" x14ac:dyDescent="0.35">
      <c r="A1553" s="615" t="s">
        <v>4124</v>
      </c>
      <c r="B1553" s="616" t="str">
        <f t="shared" si="24"/>
        <v/>
      </c>
      <c r="C1553" s="665"/>
      <c r="D1553" s="651">
        <v>2</v>
      </c>
      <c r="E1553" s="236"/>
      <c r="F1553" s="232" t="s">
        <v>2572</v>
      </c>
      <c r="G1553" s="239"/>
      <c r="H1553" s="652"/>
      <c r="I1553" s="656"/>
      <c r="J1553" s="654"/>
    </row>
    <row r="1554" spans="1:10" x14ac:dyDescent="0.35">
      <c r="A1554" s="615" t="s">
        <v>4125</v>
      </c>
      <c r="B1554" s="616" t="str">
        <f t="shared" si="24"/>
        <v/>
      </c>
      <c r="C1554" s="665"/>
      <c r="D1554" s="651">
        <v>2</v>
      </c>
      <c r="E1554" s="236"/>
      <c r="F1554" s="232" t="s">
        <v>2572</v>
      </c>
      <c r="G1554" s="239"/>
      <c r="H1554" s="652"/>
      <c r="I1554" s="656"/>
      <c r="J1554" s="654"/>
    </row>
    <row r="1555" spans="1:10" x14ac:dyDescent="0.35">
      <c r="A1555" s="615" t="s">
        <v>4126</v>
      </c>
      <c r="B1555" s="616" t="str">
        <f t="shared" si="24"/>
        <v/>
      </c>
      <c r="C1555" s="665"/>
      <c r="D1555" s="651">
        <v>2</v>
      </c>
      <c r="E1555" s="236"/>
      <c r="F1555" s="232" t="s">
        <v>2572</v>
      </c>
      <c r="G1555" s="239"/>
      <c r="H1555" s="652"/>
      <c r="I1555" s="656"/>
      <c r="J1555" s="654"/>
    </row>
    <row r="1556" spans="1:10" x14ac:dyDescent="0.35">
      <c r="A1556" s="615" t="s">
        <v>4127</v>
      </c>
      <c r="B1556" s="616" t="str">
        <f t="shared" si="24"/>
        <v/>
      </c>
      <c r="C1556" s="665"/>
      <c r="D1556" s="655">
        <v>6</v>
      </c>
      <c r="E1556" s="236"/>
      <c r="F1556" s="232" t="s">
        <v>2579</v>
      </c>
      <c r="G1556" s="239" t="s">
        <v>2583</v>
      </c>
      <c r="H1556" s="652"/>
      <c r="I1556" s="656"/>
      <c r="J1556" s="654"/>
    </row>
    <row r="1557" spans="1:10" x14ac:dyDescent="0.35">
      <c r="A1557" s="615" t="s">
        <v>4128</v>
      </c>
      <c r="B1557" s="616" t="str">
        <f t="shared" si="24"/>
        <v/>
      </c>
      <c r="C1557" s="665"/>
      <c r="D1557" s="655" t="s">
        <v>75</v>
      </c>
      <c r="E1557" s="236"/>
      <c r="F1557" s="232" t="s">
        <v>76</v>
      </c>
      <c r="G1557" s="239"/>
      <c r="H1557" s="652"/>
      <c r="I1557" s="656"/>
      <c r="J1557" s="654"/>
    </row>
    <row r="1558" spans="1:10" x14ac:dyDescent="0.35">
      <c r="A1558" s="615" t="s">
        <v>4129</v>
      </c>
      <c r="B1558" s="616" t="str">
        <f t="shared" si="24"/>
        <v/>
      </c>
      <c r="C1558" s="665"/>
      <c r="D1558" s="655">
        <v>2</v>
      </c>
      <c r="E1558" s="236"/>
      <c r="F1558" s="232" t="s">
        <v>2539</v>
      </c>
      <c r="G1558" s="239" t="s">
        <v>2585</v>
      </c>
      <c r="H1558" s="652"/>
      <c r="I1558" s="656"/>
      <c r="J1558" s="654"/>
    </row>
    <row r="1559" spans="1:10" x14ac:dyDescent="0.35">
      <c r="A1559" s="615" t="s">
        <v>4130</v>
      </c>
      <c r="B1559" s="616" t="str">
        <f t="shared" si="24"/>
        <v/>
      </c>
      <c r="C1559" s="665"/>
      <c r="D1559" s="655">
        <v>2</v>
      </c>
      <c r="E1559" s="236"/>
      <c r="F1559" s="232" t="s">
        <v>2539</v>
      </c>
      <c r="G1559" s="239" t="s">
        <v>2585</v>
      </c>
      <c r="H1559" s="652"/>
      <c r="I1559" s="656"/>
      <c r="J1559" s="654"/>
    </row>
    <row r="1560" spans="1:10" x14ac:dyDescent="0.35">
      <c r="A1560" s="615" t="s">
        <v>4131</v>
      </c>
      <c r="B1560" s="616" t="str">
        <f t="shared" si="24"/>
        <v/>
      </c>
      <c r="C1560" s="665"/>
      <c r="D1560" s="655">
        <v>2</v>
      </c>
      <c r="E1560" s="236"/>
      <c r="F1560" s="232" t="s">
        <v>2539</v>
      </c>
      <c r="G1560" s="239" t="s">
        <v>2585</v>
      </c>
      <c r="H1560" s="652"/>
      <c r="I1560" s="656"/>
      <c r="J1560" s="654"/>
    </row>
    <row r="1561" spans="1:10" x14ac:dyDescent="0.35">
      <c r="A1561" s="615" t="s">
        <v>4132</v>
      </c>
      <c r="B1561" s="616" t="str">
        <f t="shared" si="24"/>
        <v/>
      </c>
      <c r="C1561" s="665"/>
      <c r="D1561" s="655">
        <v>2</v>
      </c>
      <c r="E1561" s="236"/>
      <c r="F1561" s="232" t="s">
        <v>2539</v>
      </c>
      <c r="G1561" s="239" t="s">
        <v>2585</v>
      </c>
      <c r="H1561" s="652"/>
      <c r="I1561" s="656"/>
      <c r="J1561" s="654"/>
    </row>
    <row r="1562" spans="1:10" x14ac:dyDescent="0.35">
      <c r="A1562" s="615" t="s">
        <v>4133</v>
      </c>
      <c r="B1562" s="616" t="str">
        <f t="shared" si="24"/>
        <v/>
      </c>
      <c r="C1562" s="665"/>
      <c r="D1562" s="655">
        <v>2</v>
      </c>
      <c r="E1562" s="236"/>
      <c r="F1562" s="232" t="s">
        <v>2539</v>
      </c>
      <c r="G1562" s="239" t="s">
        <v>2585</v>
      </c>
      <c r="H1562" s="652"/>
      <c r="I1562" s="656"/>
      <c r="J1562" s="654"/>
    </row>
    <row r="1563" spans="1:10" x14ac:dyDescent="0.35">
      <c r="A1563" s="615" t="s">
        <v>4134</v>
      </c>
      <c r="B1563" s="616" t="str">
        <f t="shared" si="24"/>
        <v/>
      </c>
      <c r="C1563" s="665"/>
      <c r="D1563" s="655">
        <v>2</v>
      </c>
      <c r="E1563" s="236"/>
      <c r="F1563" s="232" t="s">
        <v>2539</v>
      </c>
      <c r="G1563" s="239" t="s">
        <v>2585</v>
      </c>
      <c r="H1563" s="652"/>
      <c r="I1563" s="656"/>
      <c r="J1563" s="654"/>
    </row>
    <row r="1564" spans="1:10" ht="48" x14ac:dyDescent="0.35">
      <c r="A1564" s="615" t="s">
        <v>4135</v>
      </c>
      <c r="B1564" s="616" t="str">
        <f t="shared" si="24"/>
        <v/>
      </c>
      <c r="C1564" s="665"/>
      <c r="D1564" s="655" t="s">
        <v>75</v>
      </c>
      <c r="E1564" s="236"/>
      <c r="F1564" s="232" t="s">
        <v>76</v>
      </c>
      <c r="G1564" s="657" t="s">
        <v>2591</v>
      </c>
      <c r="H1564" s="652"/>
      <c r="I1564" s="656"/>
      <c r="J1564" s="654"/>
    </row>
    <row r="1565" spans="1:10" x14ac:dyDescent="0.35">
      <c r="A1565" s="615" t="s">
        <v>4136</v>
      </c>
      <c r="B1565" s="616" t="str">
        <f t="shared" si="24"/>
        <v/>
      </c>
      <c r="C1565" s="665"/>
      <c r="D1565" s="655">
        <v>2</v>
      </c>
      <c r="E1565" s="236"/>
      <c r="F1565" s="232" t="s">
        <v>2539</v>
      </c>
      <c r="G1565" s="239"/>
      <c r="H1565" s="652"/>
      <c r="I1565" s="656"/>
      <c r="J1565" s="654"/>
    </row>
    <row r="1566" spans="1:10" x14ac:dyDescent="0.35">
      <c r="A1566" s="615" t="s">
        <v>4137</v>
      </c>
      <c r="B1566" s="616" t="str">
        <f t="shared" si="24"/>
        <v/>
      </c>
      <c r="C1566" s="665"/>
      <c r="D1566" s="655">
        <v>0</v>
      </c>
      <c r="E1566" s="236"/>
      <c r="F1566" s="232" t="s">
        <v>2538</v>
      </c>
      <c r="G1566" s="239"/>
      <c r="H1566" s="652"/>
      <c r="I1566" s="656"/>
      <c r="J1566" s="654"/>
    </row>
    <row r="1567" spans="1:10" x14ac:dyDescent="0.35">
      <c r="A1567" s="615" t="s">
        <v>4138</v>
      </c>
      <c r="B1567" s="616" t="str">
        <f t="shared" si="24"/>
        <v/>
      </c>
      <c r="C1567" s="665"/>
      <c r="D1567" s="655">
        <v>0</v>
      </c>
      <c r="E1567" s="236"/>
      <c r="F1567" s="232" t="s">
        <v>2538</v>
      </c>
      <c r="G1567" s="239"/>
      <c r="H1567" s="652"/>
      <c r="I1567" s="656"/>
      <c r="J1567" s="654"/>
    </row>
    <row r="1568" spans="1:10" x14ac:dyDescent="0.35">
      <c r="A1568" s="615" t="s">
        <v>4139</v>
      </c>
      <c r="B1568" s="616" t="str">
        <f t="shared" si="24"/>
        <v/>
      </c>
      <c r="C1568" s="665"/>
      <c r="D1568" s="655">
        <v>0</v>
      </c>
      <c r="E1568" s="236"/>
      <c r="F1568" s="232" t="s">
        <v>2538</v>
      </c>
      <c r="G1568" s="239"/>
      <c r="H1568" s="652"/>
      <c r="I1568" s="656"/>
      <c r="J1568" s="654"/>
    </row>
    <row r="1569" spans="1:10" x14ac:dyDescent="0.35">
      <c r="A1569" s="615" t="s">
        <v>4140</v>
      </c>
      <c r="B1569" s="616" t="str">
        <f t="shared" si="24"/>
        <v/>
      </c>
      <c r="C1569" s="665"/>
      <c r="D1569" s="651">
        <v>2</v>
      </c>
      <c r="E1569" s="236"/>
      <c r="F1569" s="232" t="s">
        <v>2572</v>
      </c>
      <c r="G1569" s="239"/>
      <c r="H1569" s="652"/>
      <c r="I1569" s="656"/>
      <c r="J1569" s="654"/>
    </row>
    <row r="1570" spans="1:10" x14ac:dyDescent="0.35">
      <c r="A1570" s="615" t="s">
        <v>4141</v>
      </c>
      <c r="B1570" s="616" t="str">
        <f t="shared" si="24"/>
        <v/>
      </c>
      <c r="C1570" s="665"/>
      <c r="D1570" s="651">
        <v>2</v>
      </c>
      <c r="E1570" s="236"/>
      <c r="F1570" s="232" t="s">
        <v>2572</v>
      </c>
      <c r="G1570" s="239"/>
      <c r="H1570" s="652"/>
      <c r="I1570" s="656"/>
      <c r="J1570" s="654"/>
    </row>
    <row r="1571" spans="1:10" x14ac:dyDescent="0.35">
      <c r="A1571" s="615" t="s">
        <v>4142</v>
      </c>
      <c r="B1571" s="616" t="str">
        <f t="shared" si="24"/>
        <v/>
      </c>
      <c r="C1571" s="665"/>
      <c r="D1571" s="651">
        <v>2</v>
      </c>
      <c r="E1571" s="236"/>
      <c r="F1571" s="232" t="s">
        <v>2572</v>
      </c>
      <c r="G1571" s="239"/>
      <c r="H1571" s="652"/>
      <c r="I1571" s="656"/>
      <c r="J1571" s="654"/>
    </row>
    <row r="1572" spans="1:10" x14ac:dyDescent="0.35">
      <c r="A1572" s="615" t="s">
        <v>4143</v>
      </c>
      <c r="B1572" s="616" t="str">
        <f t="shared" si="24"/>
        <v/>
      </c>
      <c r="C1572" s="665"/>
      <c r="D1572" s="651">
        <v>2</v>
      </c>
      <c r="E1572" s="236"/>
      <c r="F1572" s="232" t="s">
        <v>2572</v>
      </c>
      <c r="G1572" s="239"/>
      <c r="H1572" s="652"/>
      <c r="I1572" s="656"/>
      <c r="J1572" s="654"/>
    </row>
    <row r="1573" spans="1:10" x14ac:dyDescent="0.35">
      <c r="A1573" s="615" t="s">
        <v>4144</v>
      </c>
      <c r="B1573" s="616" t="str">
        <f t="shared" si="24"/>
        <v/>
      </c>
      <c r="C1573" s="665"/>
      <c r="D1573" s="651">
        <v>2</v>
      </c>
      <c r="E1573" s="236"/>
      <c r="F1573" s="232" t="s">
        <v>2572</v>
      </c>
      <c r="G1573" s="239"/>
      <c r="H1573" s="652"/>
      <c r="I1573" s="656"/>
      <c r="J1573" s="654"/>
    </row>
    <row r="1574" spans="1:10" x14ac:dyDescent="0.35">
      <c r="A1574" s="615" t="s">
        <v>4145</v>
      </c>
      <c r="B1574" s="616" t="str">
        <f t="shared" si="24"/>
        <v/>
      </c>
      <c r="C1574" s="665"/>
      <c r="D1574" s="655">
        <v>6</v>
      </c>
      <c r="E1574" s="236"/>
      <c r="F1574" s="232" t="s">
        <v>2579</v>
      </c>
      <c r="G1574" s="239" t="s">
        <v>2583</v>
      </c>
      <c r="H1574" s="652"/>
      <c r="I1574" s="656"/>
      <c r="J1574" s="654"/>
    </row>
    <row r="1575" spans="1:10" x14ac:dyDescent="0.35">
      <c r="A1575" s="615" t="s">
        <v>4146</v>
      </c>
      <c r="B1575" s="616" t="str">
        <f t="shared" si="24"/>
        <v/>
      </c>
      <c r="C1575" s="665"/>
      <c r="D1575" s="655" t="s">
        <v>75</v>
      </c>
      <c r="E1575" s="236"/>
      <c r="F1575" s="232" t="s">
        <v>76</v>
      </c>
      <c r="G1575" s="239"/>
      <c r="H1575" s="652"/>
      <c r="I1575" s="656"/>
      <c r="J1575" s="654"/>
    </row>
    <row r="1576" spans="1:10" x14ac:dyDescent="0.35">
      <c r="A1576" s="615" t="s">
        <v>4147</v>
      </c>
      <c r="B1576" s="616" t="str">
        <f t="shared" si="24"/>
        <v/>
      </c>
      <c r="C1576" s="665"/>
      <c r="D1576" s="655">
        <v>2</v>
      </c>
      <c r="E1576" s="236"/>
      <c r="F1576" s="232" t="s">
        <v>2539</v>
      </c>
      <c r="G1576" s="239" t="s">
        <v>2585</v>
      </c>
      <c r="H1576" s="652"/>
      <c r="I1576" s="656"/>
      <c r="J1576" s="654"/>
    </row>
    <row r="1577" spans="1:10" x14ac:dyDescent="0.35">
      <c r="A1577" s="615" t="s">
        <v>4148</v>
      </c>
      <c r="B1577" s="616" t="str">
        <f t="shared" si="24"/>
        <v/>
      </c>
      <c r="C1577" s="665"/>
      <c r="D1577" s="655">
        <v>2</v>
      </c>
      <c r="E1577" s="236"/>
      <c r="F1577" s="232" t="s">
        <v>2539</v>
      </c>
      <c r="G1577" s="239" t="s">
        <v>2585</v>
      </c>
      <c r="H1577" s="652"/>
      <c r="I1577" s="656"/>
      <c r="J1577" s="654"/>
    </row>
    <row r="1578" spans="1:10" x14ac:dyDescent="0.35">
      <c r="A1578" s="615" t="s">
        <v>4149</v>
      </c>
      <c r="B1578" s="616" t="str">
        <f t="shared" si="24"/>
        <v/>
      </c>
      <c r="C1578" s="665"/>
      <c r="D1578" s="655">
        <v>2</v>
      </c>
      <c r="E1578" s="236"/>
      <c r="F1578" s="232" t="s">
        <v>2539</v>
      </c>
      <c r="G1578" s="239" t="s">
        <v>2585</v>
      </c>
      <c r="H1578" s="652"/>
      <c r="I1578" s="656"/>
      <c r="J1578" s="654"/>
    </row>
    <row r="1579" spans="1:10" x14ac:dyDescent="0.35">
      <c r="A1579" s="615" t="s">
        <v>4150</v>
      </c>
      <c r="B1579" s="616" t="str">
        <f t="shared" si="24"/>
        <v/>
      </c>
      <c r="C1579" s="665"/>
      <c r="D1579" s="655">
        <v>2</v>
      </c>
      <c r="E1579" s="236"/>
      <c r="F1579" s="232" t="s">
        <v>2539</v>
      </c>
      <c r="G1579" s="239" t="s">
        <v>2585</v>
      </c>
      <c r="H1579" s="652"/>
      <c r="I1579" s="656"/>
      <c r="J1579" s="654"/>
    </row>
    <row r="1580" spans="1:10" x14ac:dyDescent="0.35">
      <c r="A1580" s="615" t="s">
        <v>4151</v>
      </c>
      <c r="B1580" s="616" t="str">
        <f t="shared" si="24"/>
        <v/>
      </c>
      <c r="C1580" s="665"/>
      <c r="D1580" s="655">
        <v>2</v>
      </c>
      <c r="E1580" s="236"/>
      <c r="F1580" s="232" t="s">
        <v>2539</v>
      </c>
      <c r="G1580" s="239" t="s">
        <v>2585</v>
      </c>
      <c r="H1580" s="652"/>
      <c r="I1580" s="656"/>
      <c r="J1580" s="654"/>
    </row>
    <row r="1581" spans="1:10" x14ac:dyDescent="0.35">
      <c r="A1581" s="615" t="s">
        <v>4152</v>
      </c>
      <c r="B1581" s="616" t="str">
        <f t="shared" si="24"/>
        <v/>
      </c>
      <c r="C1581" s="665"/>
      <c r="D1581" s="655">
        <v>2</v>
      </c>
      <c r="E1581" s="236"/>
      <c r="F1581" s="232" t="s">
        <v>2539</v>
      </c>
      <c r="G1581" s="239" t="s">
        <v>2585</v>
      </c>
      <c r="H1581" s="652"/>
      <c r="I1581" s="656"/>
      <c r="J1581" s="654"/>
    </row>
    <row r="1582" spans="1:10" ht="48" x14ac:dyDescent="0.35">
      <c r="A1582" s="615" t="s">
        <v>4153</v>
      </c>
      <c r="B1582" s="616" t="str">
        <f t="shared" si="24"/>
        <v/>
      </c>
      <c r="C1582" s="665"/>
      <c r="D1582" s="655" t="s">
        <v>75</v>
      </c>
      <c r="E1582" s="236"/>
      <c r="F1582" s="232" t="s">
        <v>76</v>
      </c>
      <c r="G1582" s="657" t="s">
        <v>2591</v>
      </c>
      <c r="H1582" s="652"/>
      <c r="I1582" s="656"/>
      <c r="J1582" s="654"/>
    </row>
    <row r="1583" spans="1:10" x14ac:dyDescent="0.35">
      <c r="A1583" s="615" t="s">
        <v>4154</v>
      </c>
      <c r="B1583" s="616" t="str">
        <f t="shared" si="24"/>
        <v/>
      </c>
      <c r="C1583" s="665"/>
      <c r="D1583" s="655">
        <v>2</v>
      </c>
      <c r="E1583" s="236"/>
      <c r="F1583" s="232" t="s">
        <v>2539</v>
      </c>
      <c r="G1583" s="239"/>
      <c r="H1583" s="652"/>
      <c r="I1583" s="656"/>
      <c r="J1583" s="654"/>
    </row>
    <row r="1584" spans="1:10" x14ac:dyDescent="0.35">
      <c r="A1584" s="615" t="s">
        <v>4155</v>
      </c>
      <c r="B1584" s="616" t="str">
        <f t="shared" si="24"/>
        <v/>
      </c>
      <c r="C1584" s="665"/>
      <c r="D1584" s="655">
        <v>0</v>
      </c>
      <c r="E1584" s="236"/>
      <c r="F1584" s="232" t="s">
        <v>2538</v>
      </c>
      <c r="G1584" s="239"/>
      <c r="H1584" s="652"/>
      <c r="I1584" s="656"/>
      <c r="J1584" s="654"/>
    </row>
    <row r="1585" spans="1:10" x14ac:dyDescent="0.35">
      <c r="A1585" s="615" t="s">
        <v>4156</v>
      </c>
      <c r="B1585" s="616" t="str">
        <f t="shared" si="24"/>
        <v/>
      </c>
      <c r="C1585" s="665"/>
      <c r="D1585" s="655">
        <v>0</v>
      </c>
      <c r="E1585" s="236"/>
      <c r="F1585" s="232" t="s">
        <v>2538</v>
      </c>
      <c r="G1585" s="239"/>
      <c r="H1585" s="652"/>
      <c r="I1585" s="656"/>
      <c r="J1585" s="654"/>
    </row>
    <row r="1586" spans="1:10" x14ac:dyDescent="0.35">
      <c r="A1586" s="615" t="s">
        <v>4157</v>
      </c>
      <c r="B1586" s="616" t="str">
        <f t="shared" si="24"/>
        <v/>
      </c>
      <c r="C1586" s="665"/>
      <c r="D1586" s="655">
        <v>0</v>
      </c>
      <c r="E1586" s="236"/>
      <c r="F1586" s="232" t="s">
        <v>2538</v>
      </c>
      <c r="G1586" s="239"/>
      <c r="H1586" s="652"/>
      <c r="I1586" s="656"/>
      <c r="J1586" s="654"/>
    </row>
    <row r="1587" spans="1:10" x14ac:dyDescent="0.35">
      <c r="A1587" s="615" t="s">
        <v>4158</v>
      </c>
      <c r="B1587" s="616" t="str">
        <f t="shared" si="24"/>
        <v/>
      </c>
      <c r="C1587" s="665"/>
      <c r="D1587" s="651">
        <v>2</v>
      </c>
      <c r="E1587" s="236"/>
      <c r="F1587" s="232" t="s">
        <v>2572</v>
      </c>
      <c r="G1587" s="239"/>
      <c r="H1587" s="652"/>
      <c r="I1587" s="656"/>
      <c r="J1587" s="654"/>
    </row>
    <row r="1588" spans="1:10" x14ac:dyDescent="0.35">
      <c r="A1588" s="615" t="s">
        <v>4159</v>
      </c>
      <c r="B1588" s="616" t="str">
        <f t="shared" si="24"/>
        <v/>
      </c>
      <c r="C1588" s="665"/>
      <c r="D1588" s="651">
        <v>2</v>
      </c>
      <c r="E1588" s="236"/>
      <c r="F1588" s="232" t="s">
        <v>2572</v>
      </c>
      <c r="G1588" s="239"/>
      <c r="H1588" s="652"/>
      <c r="I1588" s="656"/>
      <c r="J1588" s="654"/>
    </row>
    <row r="1589" spans="1:10" x14ac:dyDescent="0.35">
      <c r="A1589" s="615" t="s">
        <v>4160</v>
      </c>
      <c r="B1589" s="616" t="str">
        <f t="shared" si="24"/>
        <v/>
      </c>
      <c r="C1589" s="665"/>
      <c r="D1589" s="651">
        <v>2</v>
      </c>
      <c r="E1589" s="236"/>
      <c r="F1589" s="232" t="s">
        <v>2572</v>
      </c>
      <c r="G1589" s="239"/>
      <c r="H1589" s="652"/>
      <c r="I1589" s="656"/>
      <c r="J1589" s="654"/>
    </row>
    <row r="1590" spans="1:10" x14ac:dyDescent="0.35">
      <c r="A1590" s="615" t="s">
        <v>4161</v>
      </c>
      <c r="B1590" s="616" t="str">
        <f t="shared" si="24"/>
        <v/>
      </c>
      <c r="C1590" s="665"/>
      <c r="D1590" s="651">
        <v>2</v>
      </c>
      <c r="E1590" s="236"/>
      <c r="F1590" s="232" t="s">
        <v>2572</v>
      </c>
      <c r="G1590" s="239"/>
      <c r="H1590" s="652"/>
      <c r="I1590" s="656"/>
      <c r="J1590" s="654"/>
    </row>
    <row r="1591" spans="1:10" x14ac:dyDescent="0.35">
      <c r="A1591" s="615" t="s">
        <v>4162</v>
      </c>
      <c r="B1591" s="616" t="str">
        <f t="shared" si="24"/>
        <v/>
      </c>
      <c r="C1591" s="665"/>
      <c r="D1591" s="651">
        <v>2</v>
      </c>
      <c r="E1591" s="236"/>
      <c r="F1591" s="232" t="s">
        <v>2572</v>
      </c>
      <c r="G1591" s="239"/>
      <c r="H1591" s="652"/>
      <c r="I1591" s="656"/>
      <c r="J1591" s="654"/>
    </row>
    <row r="1592" spans="1:10" x14ac:dyDescent="0.35">
      <c r="A1592" s="615" t="s">
        <v>4163</v>
      </c>
      <c r="B1592" s="616" t="str">
        <f t="shared" si="24"/>
        <v/>
      </c>
      <c r="C1592" s="665"/>
      <c r="D1592" s="655">
        <v>6</v>
      </c>
      <c r="E1592" s="236"/>
      <c r="F1592" s="232" t="s">
        <v>2579</v>
      </c>
      <c r="G1592" s="239" t="s">
        <v>2583</v>
      </c>
      <c r="H1592" s="652"/>
      <c r="I1592" s="656"/>
      <c r="J1592" s="654"/>
    </row>
    <row r="1593" spans="1:10" x14ac:dyDescent="0.35">
      <c r="A1593" s="615" t="s">
        <v>4164</v>
      </c>
      <c r="B1593" s="616" t="str">
        <f t="shared" si="24"/>
        <v/>
      </c>
      <c r="C1593" s="665"/>
      <c r="D1593" s="655" t="s">
        <v>75</v>
      </c>
      <c r="E1593" s="236"/>
      <c r="F1593" s="232" t="s">
        <v>76</v>
      </c>
      <c r="G1593" s="239"/>
      <c r="H1593" s="652"/>
      <c r="I1593" s="656"/>
      <c r="J1593" s="654"/>
    </row>
    <row r="1594" spans="1:10" x14ac:dyDescent="0.35">
      <c r="A1594" s="615" t="s">
        <v>4165</v>
      </c>
      <c r="B1594" s="616" t="str">
        <f t="shared" si="24"/>
        <v/>
      </c>
      <c r="C1594" s="665"/>
      <c r="D1594" s="655">
        <v>2</v>
      </c>
      <c r="E1594" s="236"/>
      <c r="F1594" s="232" t="s">
        <v>2539</v>
      </c>
      <c r="G1594" s="239" t="s">
        <v>2585</v>
      </c>
      <c r="H1594" s="652"/>
      <c r="I1594" s="656"/>
      <c r="J1594" s="654"/>
    </row>
    <row r="1595" spans="1:10" x14ac:dyDescent="0.35">
      <c r="A1595" s="615" t="s">
        <v>4166</v>
      </c>
      <c r="B1595" s="616" t="str">
        <f t="shared" si="24"/>
        <v/>
      </c>
      <c r="C1595" s="665"/>
      <c r="D1595" s="655">
        <v>2</v>
      </c>
      <c r="E1595" s="236"/>
      <c r="F1595" s="232" t="s">
        <v>2539</v>
      </c>
      <c r="G1595" s="239" t="s">
        <v>2585</v>
      </c>
      <c r="H1595" s="652"/>
      <c r="I1595" s="656"/>
      <c r="J1595" s="654"/>
    </row>
    <row r="1596" spans="1:10" x14ac:dyDescent="0.35">
      <c r="A1596" s="615" t="s">
        <v>4167</v>
      </c>
      <c r="B1596" s="616" t="str">
        <f t="shared" si="24"/>
        <v/>
      </c>
      <c r="C1596" s="665"/>
      <c r="D1596" s="655">
        <v>2</v>
      </c>
      <c r="E1596" s="236"/>
      <c r="F1596" s="232" t="s">
        <v>2539</v>
      </c>
      <c r="G1596" s="239" t="s">
        <v>2585</v>
      </c>
      <c r="H1596" s="652"/>
      <c r="I1596" s="656"/>
      <c r="J1596" s="654"/>
    </row>
    <row r="1597" spans="1:10" x14ac:dyDescent="0.35">
      <c r="A1597" s="615" t="s">
        <v>4168</v>
      </c>
      <c r="B1597" s="616" t="str">
        <f t="shared" si="24"/>
        <v/>
      </c>
      <c r="C1597" s="665"/>
      <c r="D1597" s="655">
        <v>2</v>
      </c>
      <c r="E1597" s="236"/>
      <c r="F1597" s="232" t="s">
        <v>2539</v>
      </c>
      <c r="G1597" s="239" t="s">
        <v>2585</v>
      </c>
      <c r="H1597" s="652"/>
      <c r="I1597" s="656"/>
      <c r="J1597" s="654"/>
    </row>
    <row r="1598" spans="1:10" x14ac:dyDescent="0.35">
      <c r="A1598" s="615" t="s">
        <v>4169</v>
      </c>
      <c r="B1598" s="616" t="str">
        <f t="shared" si="24"/>
        <v/>
      </c>
      <c r="C1598" s="665"/>
      <c r="D1598" s="655">
        <v>2</v>
      </c>
      <c r="E1598" s="236"/>
      <c r="F1598" s="232" t="s">
        <v>2539</v>
      </c>
      <c r="G1598" s="239" t="s">
        <v>2585</v>
      </c>
      <c r="H1598" s="652"/>
      <c r="I1598" s="656"/>
      <c r="J1598" s="654"/>
    </row>
    <row r="1599" spans="1:10" x14ac:dyDescent="0.35">
      <c r="A1599" s="615" t="s">
        <v>4170</v>
      </c>
      <c r="B1599" s="616" t="str">
        <f t="shared" si="24"/>
        <v/>
      </c>
      <c r="C1599" s="665"/>
      <c r="D1599" s="655">
        <v>2</v>
      </c>
      <c r="E1599" s="236"/>
      <c r="F1599" s="232" t="s">
        <v>2539</v>
      </c>
      <c r="G1599" s="239" t="s">
        <v>2585</v>
      </c>
      <c r="H1599" s="652"/>
      <c r="I1599" s="656"/>
      <c r="J1599" s="654"/>
    </row>
    <row r="1600" spans="1:10" ht="48" x14ac:dyDescent="0.35">
      <c r="A1600" s="615" t="s">
        <v>4171</v>
      </c>
      <c r="B1600" s="616" t="str">
        <f t="shared" si="24"/>
        <v/>
      </c>
      <c r="C1600" s="665"/>
      <c r="D1600" s="655" t="s">
        <v>75</v>
      </c>
      <c r="E1600" s="236"/>
      <c r="F1600" s="232" t="s">
        <v>76</v>
      </c>
      <c r="G1600" s="657" t="s">
        <v>2591</v>
      </c>
      <c r="H1600" s="652"/>
      <c r="I1600" s="656"/>
      <c r="J1600" s="654"/>
    </row>
    <row r="1601" spans="1:10" x14ac:dyDescent="0.35">
      <c r="A1601" s="615" t="s">
        <v>4172</v>
      </c>
      <c r="B1601" s="616" t="str">
        <f t="shared" si="24"/>
        <v/>
      </c>
      <c r="C1601" s="665"/>
      <c r="D1601" s="655">
        <v>2</v>
      </c>
      <c r="E1601" s="236"/>
      <c r="F1601" s="232" t="s">
        <v>2539</v>
      </c>
      <c r="G1601" s="239"/>
      <c r="H1601" s="652"/>
      <c r="I1601" s="656"/>
      <c r="J1601" s="654"/>
    </row>
    <row r="1602" spans="1:10" x14ac:dyDescent="0.35">
      <c r="A1602" s="615" t="s">
        <v>4173</v>
      </c>
      <c r="B1602" s="616"/>
      <c r="C1602" s="650"/>
      <c r="D1602" s="655">
        <v>0</v>
      </c>
      <c r="E1602" s="236"/>
      <c r="F1602" s="232" t="s">
        <v>2538</v>
      </c>
      <c r="G1602" s="239"/>
      <c r="H1602" s="652"/>
      <c r="I1602" s="653"/>
      <c r="J1602" s="654"/>
    </row>
    <row r="1603" spans="1:10" x14ac:dyDescent="0.35">
      <c r="A1603" s="615" t="s">
        <v>4174</v>
      </c>
      <c r="B1603" s="616"/>
      <c r="C1603" s="650"/>
      <c r="D1603" s="655">
        <v>0</v>
      </c>
      <c r="E1603" s="236"/>
      <c r="F1603" s="232" t="s">
        <v>2538</v>
      </c>
      <c r="G1603" s="239"/>
      <c r="H1603" s="652"/>
      <c r="I1603" s="653"/>
      <c r="J1603" s="654"/>
    </row>
    <row r="1604" spans="1:10" x14ac:dyDescent="0.35">
      <c r="A1604" s="615" t="s">
        <v>4175</v>
      </c>
      <c r="B1604" s="616"/>
      <c r="C1604" s="650"/>
      <c r="D1604" s="655">
        <v>0</v>
      </c>
      <c r="E1604" s="236"/>
      <c r="F1604" s="232" t="s">
        <v>2538</v>
      </c>
      <c r="G1604" s="239"/>
      <c r="H1604" s="652"/>
      <c r="I1604" s="653"/>
      <c r="J1604" s="654"/>
    </row>
    <row r="1605" spans="1:10" x14ac:dyDescent="0.35">
      <c r="A1605" s="615" t="s">
        <v>4176</v>
      </c>
      <c r="B1605" s="616"/>
      <c r="C1605" s="665"/>
      <c r="D1605" s="655">
        <v>0</v>
      </c>
      <c r="E1605" s="236"/>
      <c r="F1605" s="232" t="s">
        <v>2538</v>
      </c>
      <c r="G1605" s="239"/>
      <c r="H1605" s="652"/>
      <c r="I1605" s="656"/>
      <c r="J1605" s="654"/>
    </row>
    <row r="1606" spans="1:10" x14ac:dyDescent="0.35">
      <c r="A1606" s="615" t="s">
        <v>4177</v>
      </c>
      <c r="B1606" s="616"/>
      <c r="C1606" s="665"/>
      <c r="D1606" s="655">
        <v>0</v>
      </c>
      <c r="E1606" s="236"/>
      <c r="F1606" s="232" t="s">
        <v>2538</v>
      </c>
      <c r="G1606" s="239"/>
      <c r="H1606" s="652"/>
      <c r="I1606" s="656"/>
      <c r="J1606" s="654"/>
    </row>
    <row r="1607" spans="1:10" x14ac:dyDescent="0.35">
      <c r="A1607" s="615" t="s">
        <v>4178</v>
      </c>
      <c r="B1607" s="616"/>
      <c r="C1607" s="650"/>
      <c r="D1607" s="651">
        <v>2</v>
      </c>
      <c r="E1607" s="236"/>
      <c r="F1607" s="232" t="s">
        <v>2572</v>
      </c>
      <c r="G1607" s="239"/>
      <c r="H1607" s="652"/>
      <c r="I1607" s="653"/>
      <c r="J1607" s="654"/>
    </row>
    <row r="1608" spans="1:10" x14ac:dyDescent="0.35">
      <c r="A1608" s="615" t="s">
        <v>4179</v>
      </c>
      <c r="B1608" s="616"/>
      <c r="C1608" s="665"/>
      <c r="D1608" s="651">
        <v>2</v>
      </c>
      <c r="E1608" s="236"/>
      <c r="F1608" s="232" t="s">
        <v>2572</v>
      </c>
      <c r="G1608" s="239"/>
      <c r="H1608" s="652"/>
      <c r="I1608" s="656"/>
      <c r="J1608" s="654"/>
    </row>
    <row r="1609" spans="1:10" ht="36" x14ac:dyDescent="0.35">
      <c r="A1609" s="615" t="s">
        <v>4180</v>
      </c>
      <c r="B1609" s="616"/>
      <c r="C1609" s="665"/>
      <c r="D1609" s="651">
        <v>2</v>
      </c>
      <c r="E1609" s="236"/>
      <c r="F1609" s="232" t="s">
        <v>2572</v>
      </c>
      <c r="G1609" s="666" t="s">
        <v>2575</v>
      </c>
      <c r="H1609" s="652"/>
      <c r="I1609" s="656"/>
      <c r="J1609" s="654"/>
    </row>
    <row r="1610" spans="1:10" x14ac:dyDescent="0.35">
      <c r="A1610" s="615" t="s">
        <v>4181</v>
      </c>
      <c r="B1610" s="616"/>
      <c r="C1610" s="665"/>
      <c r="D1610" s="655">
        <v>2</v>
      </c>
      <c r="E1610" s="236"/>
      <c r="F1610" s="232" t="s">
        <v>2572</v>
      </c>
      <c r="G1610" s="239"/>
      <c r="H1610" s="652"/>
      <c r="I1610" s="656"/>
      <c r="J1610" s="654"/>
    </row>
    <row r="1611" spans="1:10" x14ac:dyDescent="0.35">
      <c r="A1611" s="615" t="s">
        <v>4182</v>
      </c>
      <c r="B1611" s="616"/>
      <c r="C1611" s="665"/>
      <c r="D1611" s="655">
        <v>2</v>
      </c>
      <c r="E1611" s="236"/>
      <c r="F1611" s="232" t="s">
        <v>2572</v>
      </c>
      <c r="G1611" s="239"/>
      <c r="H1611" s="652"/>
      <c r="I1611" s="656"/>
      <c r="J1611" s="654"/>
    </row>
    <row r="1612" spans="1:10" x14ac:dyDescent="0.35">
      <c r="A1612" s="615" t="s">
        <v>4183</v>
      </c>
      <c r="B1612" s="616"/>
      <c r="C1612" s="665"/>
      <c r="D1612" s="655">
        <v>6</v>
      </c>
      <c r="E1612" s="236"/>
      <c r="F1612" s="232" t="s">
        <v>2579</v>
      </c>
      <c r="G1612" s="239" t="s">
        <v>2583</v>
      </c>
      <c r="H1612" s="652"/>
      <c r="I1612" s="656"/>
      <c r="J1612" s="654"/>
    </row>
    <row r="1613" spans="1:10" x14ac:dyDescent="0.35">
      <c r="A1613" s="615" t="s">
        <v>4184</v>
      </c>
      <c r="B1613" s="616"/>
      <c r="C1613" s="665"/>
      <c r="D1613" s="655" t="s">
        <v>75</v>
      </c>
      <c r="E1613" s="236"/>
      <c r="F1613" s="232" t="s">
        <v>76</v>
      </c>
      <c r="G1613" s="239"/>
      <c r="H1613" s="652"/>
      <c r="I1613" s="656"/>
      <c r="J1613" s="654"/>
    </row>
    <row r="1614" spans="1:10" x14ac:dyDescent="0.35">
      <c r="A1614" s="615" t="s">
        <v>4185</v>
      </c>
      <c r="B1614" s="616"/>
      <c r="C1614" s="650"/>
      <c r="D1614" s="655">
        <v>2</v>
      </c>
      <c r="E1614" s="236"/>
      <c r="F1614" s="232" t="s">
        <v>2539</v>
      </c>
      <c r="G1614" s="239" t="s">
        <v>2585</v>
      </c>
      <c r="H1614" s="652"/>
      <c r="I1614" s="653"/>
      <c r="J1614" s="654"/>
    </row>
    <row r="1615" spans="1:10" x14ac:dyDescent="0.35">
      <c r="A1615" s="615" t="s">
        <v>4186</v>
      </c>
      <c r="B1615" s="616"/>
      <c r="C1615" s="650"/>
      <c r="D1615" s="655">
        <v>2</v>
      </c>
      <c r="E1615" s="236"/>
      <c r="F1615" s="232" t="s">
        <v>2539</v>
      </c>
      <c r="G1615" s="239" t="s">
        <v>2585</v>
      </c>
      <c r="H1615" s="652"/>
      <c r="I1615" s="653"/>
      <c r="J1615" s="654"/>
    </row>
    <row r="1616" spans="1:10" x14ac:dyDescent="0.35">
      <c r="A1616" s="615" t="s">
        <v>4187</v>
      </c>
      <c r="B1616" s="616"/>
      <c r="C1616" s="665"/>
      <c r="D1616" s="655">
        <v>2</v>
      </c>
      <c r="E1616" s="236"/>
      <c r="F1616" s="232" t="s">
        <v>2539</v>
      </c>
      <c r="G1616" s="239" t="s">
        <v>2585</v>
      </c>
      <c r="H1616" s="652"/>
      <c r="I1616" s="656"/>
      <c r="J1616" s="654"/>
    </row>
    <row r="1617" spans="1:10" x14ac:dyDescent="0.35">
      <c r="A1617" s="615" t="s">
        <v>4188</v>
      </c>
      <c r="B1617" s="616"/>
      <c r="C1617" s="665"/>
      <c r="D1617" s="655">
        <v>2</v>
      </c>
      <c r="E1617" s="236"/>
      <c r="F1617" s="232" t="s">
        <v>2539</v>
      </c>
      <c r="G1617" s="239" t="s">
        <v>2585</v>
      </c>
      <c r="H1617" s="652"/>
      <c r="I1617" s="656"/>
      <c r="J1617" s="654"/>
    </row>
    <row r="1618" spans="1:10" x14ac:dyDescent="0.35">
      <c r="A1618" s="615" t="s">
        <v>4189</v>
      </c>
      <c r="B1618" s="616"/>
      <c r="C1618" s="665"/>
      <c r="D1618" s="655">
        <v>2</v>
      </c>
      <c r="E1618" s="236"/>
      <c r="F1618" s="232" t="s">
        <v>2539</v>
      </c>
      <c r="G1618" s="239" t="s">
        <v>2585</v>
      </c>
      <c r="H1618" s="652"/>
      <c r="I1618" s="656"/>
      <c r="J1618" s="654"/>
    </row>
    <row r="1619" spans="1:10" x14ac:dyDescent="0.35">
      <c r="A1619" s="615" t="s">
        <v>4190</v>
      </c>
      <c r="B1619" s="616"/>
      <c r="C1619" s="650"/>
      <c r="D1619" s="655">
        <v>2</v>
      </c>
      <c r="E1619" s="236"/>
      <c r="F1619" s="232" t="s">
        <v>2539</v>
      </c>
      <c r="G1619" s="239" t="s">
        <v>2585</v>
      </c>
      <c r="H1619" s="652"/>
      <c r="I1619" s="653"/>
      <c r="J1619" s="654"/>
    </row>
    <row r="1620" spans="1:10" ht="48" x14ac:dyDescent="0.35">
      <c r="A1620" s="615" t="s">
        <v>4191</v>
      </c>
      <c r="B1620" s="616"/>
      <c r="C1620" s="650"/>
      <c r="D1620" s="655" t="s">
        <v>75</v>
      </c>
      <c r="E1620" s="236"/>
      <c r="F1620" s="232" t="s">
        <v>76</v>
      </c>
      <c r="G1620" s="657" t="s">
        <v>2591</v>
      </c>
      <c r="H1620" s="652"/>
      <c r="I1620" s="653"/>
      <c r="J1620" s="654"/>
    </row>
    <row r="1621" spans="1:10" x14ac:dyDescent="0.35">
      <c r="A1621" s="615" t="s">
        <v>4192</v>
      </c>
      <c r="B1621" s="616"/>
      <c r="C1621" s="665"/>
      <c r="D1621" s="655">
        <v>2</v>
      </c>
      <c r="E1621" s="236"/>
      <c r="F1621" s="232" t="s">
        <v>2539</v>
      </c>
      <c r="G1621" s="239"/>
      <c r="H1621" s="652"/>
      <c r="I1621" s="656"/>
      <c r="J1621" s="654"/>
    </row>
    <row r="1622" spans="1:10" x14ac:dyDescent="0.35">
      <c r="A1622" s="615" t="s">
        <v>4193</v>
      </c>
      <c r="B1622" s="616" t="str">
        <f t="shared" ref="B1622:B1685" si="25">IF(C1622="","",IF(D1622="Datum",TEXT(DAY(C1622),"00")&amp;"."&amp;TEXT(MONTH(C1622),"00")&amp;"."&amp;TEXT(YEAR(C1622),"0000"),IF(AND(ISNUMBER(C1622),D1622="x"),TEXT(C1622,"@"),IF(ISNUMBER(C1622),TEXT(ROUNDDOWN(C1622,0),0)&amp;IF(D1622=0,"","."&amp;IF(C1622-ROUNDDOWN(C1622,0)=0,LEFT("0000000000",D1622),TEXT((C1622-ROUNDDOWN(C1622,0))*(1&amp; LEFT("0000000000",$D1622)),LEFT("0000000000",$D1622)))),C1622))))</f>
        <v/>
      </c>
      <c r="C1622" s="665"/>
      <c r="D1622" s="655">
        <v>0</v>
      </c>
      <c r="E1622" s="236"/>
      <c r="F1622" s="232" t="s">
        <v>2538</v>
      </c>
      <c r="G1622" s="239"/>
      <c r="H1622" s="652"/>
      <c r="I1622" s="656"/>
      <c r="J1622" s="654"/>
    </row>
    <row r="1623" spans="1:10" x14ac:dyDescent="0.35">
      <c r="A1623" s="615" t="s">
        <v>4194</v>
      </c>
      <c r="B1623" s="616" t="str">
        <f t="shared" si="25"/>
        <v/>
      </c>
      <c r="C1623" s="665"/>
      <c r="D1623" s="655">
        <v>0</v>
      </c>
      <c r="E1623" s="236"/>
      <c r="F1623" s="232" t="s">
        <v>2538</v>
      </c>
      <c r="G1623" s="239"/>
      <c r="H1623" s="652"/>
      <c r="I1623" s="656"/>
      <c r="J1623" s="654"/>
    </row>
    <row r="1624" spans="1:10" x14ac:dyDescent="0.35">
      <c r="A1624" s="615" t="s">
        <v>4195</v>
      </c>
      <c r="B1624" s="616" t="str">
        <f t="shared" si="25"/>
        <v/>
      </c>
      <c r="C1624" s="665"/>
      <c r="D1624" s="655">
        <v>0</v>
      </c>
      <c r="E1624" s="236"/>
      <c r="F1624" s="232" t="s">
        <v>2538</v>
      </c>
      <c r="G1624" s="239"/>
      <c r="H1624" s="652"/>
      <c r="I1624" s="656"/>
      <c r="J1624" s="654"/>
    </row>
    <row r="1625" spans="1:10" x14ac:dyDescent="0.35">
      <c r="A1625" s="615" t="s">
        <v>4196</v>
      </c>
      <c r="B1625" s="616" t="str">
        <f t="shared" si="25"/>
        <v/>
      </c>
      <c r="C1625" s="665"/>
      <c r="D1625" s="651">
        <v>2</v>
      </c>
      <c r="E1625" s="236"/>
      <c r="F1625" s="232" t="s">
        <v>2572</v>
      </c>
      <c r="G1625" s="239"/>
      <c r="H1625" s="652"/>
      <c r="I1625" s="656"/>
      <c r="J1625" s="654"/>
    </row>
    <row r="1626" spans="1:10" x14ac:dyDescent="0.35">
      <c r="A1626" s="615" t="s">
        <v>4197</v>
      </c>
      <c r="B1626" s="616" t="str">
        <f t="shared" si="25"/>
        <v/>
      </c>
      <c r="C1626" s="665"/>
      <c r="D1626" s="651">
        <v>2</v>
      </c>
      <c r="E1626" s="236"/>
      <c r="F1626" s="232" t="s">
        <v>2572</v>
      </c>
      <c r="G1626" s="239"/>
      <c r="H1626" s="652"/>
      <c r="I1626" s="656"/>
      <c r="J1626" s="654"/>
    </row>
    <row r="1627" spans="1:10" x14ac:dyDescent="0.35">
      <c r="A1627" s="615" t="s">
        <v>4198</v>
      </c>
      <c r="B1627" s="616" t="str">
        <f t="shared" si="25"/>
        <v/>
      </c>
      <c r="C1627" s="665"/>
      <c r="D1627" s="651">
        <v>2</v>
      </c>
      <c r="E1627" s="236"/>
      <c r="F1627" s="232" t="s">
        <v>2572</v>
      </c>
      <c r="G1627" s="239"/>
      <c r="H1627" s="652"/>
      <c r="I1627" s="656"/>
      <c r="J1627" s="654"/>
    </row>
    <row r="1628" spans="1:10" x14ac:dyDescent="0.35">
      <c r="A1628" s="615" t="s">
        <v>4199</v>
      </c>
      <c r="B1628" s="616" t="str">
        <f t="shared" si="25"/>
        <v/>
      </c>
      <c r="C1628" s="665"/>
      <c r="D1628" s="651">
        <v>2</v>
      </c>
      <c r="E1628" s="236"/>
      <c r="F1628" s="232" t="s">
        <v>2572</v>
      </c>
      <c r="G1628" s="239"/>
      <c r="H1628" s="652"/>
      <c r="I1628" s="656"/>
      <c r="J1628" s="654"/>
    </row>
    <row r="1629" spans="1:10" x14ac:dyDescent="0.35">
      <c r="A1629" s="615" t="s">
        <v>4200</v>
      </c>
      <c r="B1629" s="616" t="str">
        <f t="shared" si="25"/>
        <v/>
      </c>
      <c r="C1629" s="665"/>
      <c r="D1629" s="651">
        <v>2</v>
      </c>
      <c r="E1629" s="236"/>
      <c r="F1629" s="232" t="s">
        <v>2572</v>
      </c>
      <c r="G1629" s="239"/>
      <c r="H1629" s="652"/>
      <c r="I1629" s="656"/>
      <c r="J1629" s="654"/>
    </row>
    <row r="1630" spans="1:10" x14ac:dyDescent="0.35">
      <c r="A1630" s="615" t="s">
        <v>4201</v>
      </c>
      <c r="B1630" s="616" t="str">
        <f t="shared" si="25"/>
        <v/>
      </c>
      <c r="C1630" s="665"/>
      <c r="D1630" s="655">
        <v>6</v>
      </c>
      <c r="E1630" s="236"/>
      <c r="F1630" s="232" t="s">
        <v>2579</v>
      </c>
      <c r="G1630" s="239" t="s">
        <v>2583</v>
      </c>
      <c r="H1630" s="652"/>
      <c r="I1630" s="656"/>
      <c r="J1630" s="654"/>
    </row>
    <row r="1631" spans="1:10" x14ac:dyDescent="0.35">
      <c r="A1631" s="615" t="s">
        <v>4202</v>
      </c>
      <c r="B1631" s="616" t="str">
        <f t="shared" si="25"/>
        <v/>
      </c>
      <c r="C1631" s="665"/>
      <c r="D1631" s="655" t="s">
        <v>75</v>
      </c>
      <c r="E1631" s="236"/>
      <c r="F1631" s="232" t="s">
        <v>76</v>
      </c>
      <c r="G1631" s="239"/>
      <c r="H1631" s="652"/>
      <c r="I1631" s="656"/>
      <c r="J1631" s="654"/>
    </row>
    <row r="1632" spans="1:10" x14ac:dyDescent="0.35">
      <c r="A1632" s="615" t="s">
        <v>4203</v>
      </c>
      <c r="B1632" s="616" t="str">
        <f t="shared" si="25"/>
        <v/>
      </c>
      <c r="C1632" s="665"/>
      <c r="D1632" s="655">
        <v>2</v>
      </c>
      <c r="E1632" s="236"/>
      <c r="F1632" s="232" t="s">
        <v>2539</v>
      </c>
      <c r="G1632" s="239" t="s">
        <v>2585</v>
      </c>
      <c r="H1632" s="652"/>
      <c r="I1632" s="656"/>
      <c r="J1632" s="654"/>
    </row>
    <row r="1633" spans="1:10" x14ac:dyDescent="0.35">
      <c r="A1633" s="615" t="s">
        <v>4204</v>
      </c>
      <c r="B1633" s="616" t="str">
        <f t="shared" si="25"/>
        <v/>
      </c>
      <c r="C1633" s="665"/>
      <c r="D1633" s="655">
        <v>2</v>
      </c>
      <c r="E1633" s="236"/>
      <c r="F1633" s="232" t="s">
        <v>2539</v>
      </c>
      <c r="G1633" s="239" t="s">
        <v>2585</v>
      </c>
      <c r="H1633" s="652"/>
      <c r="I1633" s="656"/>
      <c r="J1633" s="654"/>
    </row>
    <row r="1634" spans="1:10" x14ac:dyDescent="0.35">
      <c r="A1634" s="615" t="s">
        <v>4205</v>
      </c>
      <c r="B1634" s="616" t="str">
        <f t="shared" si="25"/>
        <v/>
      </c>
      <c r="C1634" s="665"/>
      <c r="D1634" s="655">
        <v>2</v>
      </c>
      <c r="E1634" s="236"/>
      <c r="F1634" s="232" t="s">
        <v>2539</v>
      </c>
      <c r="G1634" s="239" t="s">
        <v>2585</v>
      </c>
      <c r="H1634" s="652"/>
      <c r="I1634" s="656"/>
      <c r="J1634" s="654"/>
    </row>
    <row r="1635" spans="1:10" x14ac:dyDescent="0.35">
      <c r="A1635" s="615" t="s">
        <v>4206</v>
      </c>
      <c r="B1635" s="616" t="str">
        <f t="shared" si="25"/>
        <v/>
      </c>
      <c r="C1635" s="665"/>
      <c r="D1635" s="655">
        <v>2</v>
      </c>
      <c r="E1635" s="236"/>
      <c r="F1635" s="232" t="s">
        <v>2539</v>
      </c>
      <c r="G1635" s="239" t="s">
        <v>2585</v>
      </c>
      <c r="H1635" s="652"/>
      <c r="I1635" s="656"/>
      <c r="J1635" s="654"/>
    </row>
    <row r="1636" spans="1:10" x14ac:dyDescent="0.35">
      <c r="A1636" s="615" t="s">
        <v>4207</v>
      </c>
      <c r="B1636" s="616" t="str">
        <f t="shared" si="25"/>
        <v/>
      </c>
      <c r="C1636" s="665"/>
      <c r="D1636" s="655">
        <v>2</v>
      </c>
      <c r="E1636" s="236"/>
      <c r="F1636" s="232" t="s">
        <v>2539</v>
      </c>
      <c r="G1636" s="239" t="s">
        <v>2585</v>
      </c>
      <c r="H1636" s="652"/>
      <c r="I1636" s="656"/>
      <c r="J1636" s="654"/>
    </row>
    <row r="1637" spans="1:10" x14ac:dyDescent="0.35">
      <c r="A1637" s="615" t="s">
        <v>4208</v>
      </c>
      <c r="B1637" s="616" t="str">
        <f t="shared" si="25"/>
        <v/>
      </c>
      <c r="C1637" s="665"/>
      <c r="D1637" s="655">
        <v>2</v>
      </c>
      <c r="E1637" s="236"/>
      <c r="F1637" s="232" t="s">
        <v>2539</v>
      </c>
      <c r="G1637" s="239" t="s">
        <v>2585</v>
      </c>
      <c r="H1637" s="652"/>
      <c r="I1637" s="656"/>
      <c r="J1637" s="654"/>
    </row>
    <row r="1638" spans="1:10" ht="48" x14ac:dyDescent="0.35">
      <c r="A1638" s="615" t="s">
        <v>4209</v>
      </c>
      <c r="B1638" s="616" t="str">
        <f t="shared" si="25"/>
        <v/>
      </c>
      <c r="C1638" s="665"/>
      <c r="D1638" s="655" t="s">
        <v>75</v>
      </c>
      <c r="E1638" s="236"/>
      <c r="F1638" s="232" t="s">
        <v>76</v>
      </c>
      <c r="G1638" s="657" t="s">
        <v>2591</v>
      </c>
      <c r="H1638" s="652"/>
      <c r="I1638" s="656"/>
      <c r="J1638" s="654"/>
    </row>
    <row r="1639" spans="1:10" x14ac:dyDescent="0.35">
      <c r="A1639" s="615" t="s">
        <v>4210</v>
      </c>
      <c r="B1639" s="616" t="str">
        <f t="shared" si="25"/>
        <v/>
      </c>
      <c r="C1639" s="665"/>
      <c r="D1639" s="655">
        <v>2</v>
      </c>
      <c r="E1639" s="236"/>
      <c r="F1639" s="232" t="s">
        <v>2539</v>
      </c>
      <c r="G1639" s="239"/>
      <c r="H1639" s="652"/>
      <c r="I1639" s="656"/>
      <c r="J1639" s="654"/>
    </row>
    <row r="1640" spans="1:10" x14ac:dyDescent="0.35">
      <c r="A1640" s="615" t="s">
        <v>4211</v>
      </c>
      <c r="B1640" s="616" t="str">
        <f t="shared" si="25"/>
        <v/>
      </c>
      <c r="C1640" s="665"/>
      <c r="D1640" s="655">
        <v>0</v>
      </c>
      <c r="E1640" s="236"/>
      <c r="F1640" s="232" t="s">
        <v>2538</v>
      </c>
      <c r="G1640" s="239"/>
      <c r="H1640" s="652"/>
      <c r="I1640" s="656"/>
      <c r="J1640" s="654"/>
    </row>
    <row r="1641" spans="1:10" x14ac:dyDescent="0.35">
      <c r="A1641" s="615" t="s">
        <v>4212</v>
      </c>
      <c r="B1641" s="616" t="str">
        <f t="shared" si="25"/>
        <v/>
      </c>
      <c r="C1641" s="665"/>
      <c r="D1641" s="655">
        <v>0</v>
      </c>
      <c r="E1641" s="236"/>
      <c r="F1641" s="232" t="s">
        <v>2538</v>
      </c>
      <c r="G1641" s="239"/>
      <c r="H1641" s="652"/>
      <c r="I1641" s="656"/>
      <c r="J1641" s="654"/>
    </row>
    <row r="1642" spans="1:10" x14ac:dyDescent="0.35">
      <c r="A1642" s="615" t="s">
        <v>4213</v>
      </c>
      <c r="B1642" s="616" t="str">
        <f t="shared" si="25"/>
        <v/>
      </c>
      <c r="C1642" s="665"/>
      <c r="D1642" s="655">
        <v>0</v>
      </c>
      <c r="E1642" s="236"/>
      <c r="F1642" s="232" t="s">
        <v>2538</v>
      </c>
      <c r="G1642" s="239"/>
      <c r="H1642" s="652"/>
      <c r="I1642" s="656"/>
      <c r="J1642" s="654"/>
    </row>
    <row r="1643" spans="1:10" x14ac:dyDescent="0.35">
      <c r="A1643" s="615" t="s">
        <v>4214</v>
      </c>
      <c r="B1643" s="616" t="str">
        <f t="shared" si="25"/>
        <v/>
      </c>
      <c r="C1643" s="665"/>
      <c r="D1643" s="651">
        <v>2</v>
      </c>
      <c r="E1643" s="236"/>
      <c r="F1643" s="232" t="s">
        <v>2572</v>
      </c>
      <c r="G1643" s="239"/>
      <c r="H1643" s="652"/>
      <c r="I1643" s="656"/>
      <c r="J1643" s="654"/>
    </row>
    <row r="1644" spans="1:10" x14ac:dyDescent="0.35">
      <c r="A1644" s="615" t="s">
        <v>4215</v>
      </c>
      <c r="B1644" s="616" t="str">
        <f t="shared" si="25"/>
        <v/>
      </c>
      <c r="C1644" s="665"/>
      <c r="D1644" s="651">
        <v>2</v>
      </c>
      <c r="E1644" s="236"/>
      <c r="F1644" s="232" t="s">
        <v>2572</v>
      </c>
      <c r="G1644" s="239"/>
      <c r="H1644" s="652"/>
      <c r="I1644" s="656"/>
      <c r="J1644" s="654"/>
    </row>
    <row r="1645" spans="1:10" x14ac:dyDescent="0.35">
      <c r="A1645" s="615" t="s">
        <v>4216</v>
      </c>
      <c r="B1645" s="616" t="str">
        <f t="shared" si="25"/>
        <v/>
      </c>
      <c r="C1645" s="665"/>
      <c r="D1645" s="651">
        <v>2</v>
      </c>
      <c r="E1645" s="236"/>
      <c r="F1645" s="232" t="s">
        <v>2572</v>
      </c>
      <c r="G1645" s="239"/>
      <c r="H1645" s="652"/>
      <c r="I1645" s="656"/>
      <c r="J1645" s="654"/>
    </row>
    <row r="1646" spans="1:10" x14ac:dyDescent="0.35">
      <c r="A1646" s="615" t="s">
        <v>4217</v>
      </c>
      <c r="B1646" s="616" t="str">
        <f t="shared" si="25"/>
        <v/>
      </c>
      <c r="C1646" s="665"/>
      <c r="D1646" s="651">
        <v>2</v>
      </c>
      <c r="E1646" s="236"/>
      <c r="F1646" s="232" t="s">
        <v>2572</v>
      </c>
      <c r="G1646" s="239"/>
      <c r="H1646" s="652"/>
      <c r="I1646" s="656"/>
      <c r="J1646" s="654"/>
    </row>
    <row r="1647" spans="1:10" x14ac:dyDescent="0.35">
      <c r="A1647" s="615" t="s">
        <v>4218</v>
      </c>
      <c r="B1647" s="616" t="str">
        <f t="shared" si="25"/>
        <v/>
      </c>
      <c r="C1647" s="665"/>
      <c r="D1647" s="651">
        <v>2</v>
      </c>
      <c r="E1647" s="236"/>
      <c r="F1647" s="232" t="s">
        <v>2572</v>
      </c>
      <c r="G1647" s="239"/>
      <c r="H1647" s="652"/>
      <c r="I1647" s="656"/>
      <c r="J1647" s="654"/>
    </row>
    <row r="1648" spans="1:10" x14ac:dyDescent="0.35">
      <c r="A1648" s="615" t="s">
        <v>4219</v>
      </c>
      <c r="B1648" s="616" t="str">
        <f t="shared" si="25"/>
        <v/>
      </c>
      <c r="C1648" s="665"/>
      <c r="D1648" s="655">
        <v>6</v>
      </c>
      <c r="E1648" s="236"/>
      <c r="F1648" s="232" t="s">
        <v>2579</v>
      </c>
      <c r="G1648" s="239" t="s">
        <v>2583</v>
      </c>
      <c r="H1648" s="652"/>
      <c r="I1648" s="656"/>
      <c r="J1648" s="654"/>
    </row>
    <row r="1649" spans="1:10" x14ac:dyDescent="0.35">
      <c r="A1649" s="615" t="s">
        <v>4220</v>
      </c>
      <c r="B1649" s="616" t="str">
        <f t="shared" si="25"/>
        <v/>
      </c>
      <c r="C1649" s="665"/>
      <c r="D1649" s="655" t="s">
        <v>75</v>
      </c>
      <c r="E1649" s="236"/>
      <c r="F1649" s="232" t="s">
        <v>76</v>
      </c>
      <c r="G1649" s="239"/>
      <c r="H1649" s="652"/>
      <c r="I1649" s="656"/>
      <c r="J1649" s="654"/>
    </row>
    <row r="1650" spans="1:10" x14ac:dyDescent="0.35">
      <c r="A1650" s="615" t="s">
        <v>4221</v>
      </c>
      <c r="B1650" s="616" t="str">
        <f t="shared" si="25"/>
        <v/>
      </c>
      <c r="C1650" s="665"/>
      <c r="D1650" s="655">
        <v>2</v>
      </c>
      <c r="E1650" s="236"/>
      <c r="F1650" s="232" t="s">
        <v>2539</v>
      </c>
      <c r="G1650" s="239" t="s">
        <v>2585</v>
      </c>
      <c r="H1650" s="652"/>
      <c r="I1650" s="656"/>
      <c r="J1650" s="654"/>
    </row>
    <row r="1651" spans="1:10" x14ac:dyDescent="0.35">
      <c r="A1651" s="615" t="s">
        <v>4222</v>
      </c>
      <c r="B1651" s="616" t="str">
        <f t="shared" si="25"/>
        <v/>
      </c>
      <c r="C1651" s="665"/>
      <c r="D1651" s="655">
        <v>2</v>
      </c>
      <c r="E1651" s="236"/>
      <c r="F1651" s="232" t="s">
        <v>2539</v>
      </c>
      <c r="G1651" s="239" t="s">
        <v>2585</v>
      </c>
      <c r="H1651" s="652"/>
      <c r="I1651" s="656"/>
      <c r="J1651" s="654"/>
    </row>
    <row r="1652" spans="1:10" x14ac:dyDescent="0.35">
      <c r="A1652" s="615" t="s">
        <v>4223</v>
      </c>
      <c r="B1652" s="616" t="str">
        <f t="shared" si="25"/>
        <v/>
      </c>
      <c r="C1652" s="665"/>
      <c r="D1652" s="655">
        <v>2</v>
      </c>
      <c r="E1652" s="236"/>
      <c r="F1652" s="232" t="s">
        <v>2539</v>
      </c>
      <c r="G1652" s="239" t="s">
        <v>2585</v>
      </c>
      <c r="H1652" s="652"/>
      <c r="I1652" s="656"/>
      <c r="J1652" s="654"/>
    </row>
    <row r="1653" spans="1:10" x14ac:dyDescent="0.35">
      <c r="A1653" s="615" t="s">
        <v>4224</v>
      </c>
      <c r="B1653" s="616" t="str">
        <f t="shared" si="25"/>
        <v/>
      </c>
      <c r="C1653" s="665"/>
      <c r="D1653" s="655">
        <v>2</v>
      </c>
      <c r="E1653" s="236"/>
      <c r="F1653" s="232" t="s">
        <v>2539</v>
      </c>
      <c r="G1653" s="239" t="s">
        <v>2585</v>
      </c>
      <c r="H1653" s="652"/>
      <c r="I1653" s="656"/>
      <c r="J1653" s="654"/>
    </row>
    <row r="1654" spans="1:10" x14ac:dyDescent="0.35">
      <c r="A1654" s="615" t="s">
        <v>4225</v>
      </c>
      <c r="B1654" s="616" t="str">
        <f t="shared" si="25"/>
        <v/>
      </c>
      <c r="C1654" s="665"/>
      <c r="D1654" s="655">
        <v>2</v>
      </c>
      <c r="E1654" s="236"/>
      <c r="F1654" s="232" t="s">
        <v>2539</v>
      </c>
      <c r="G1654" s="239" t="s">
        <v>2585</v>
      </c>
      <c r="H1654" s="652"/>
      <c r="I1654" s="656"/>
      <c r="J1654" s="654"/>
    </row>
    <row r="1655" spans="1:10" x14ac:dyDescent="0.35">
      <c r="A1655" s="615" t="s">
        <v>4226</v>
      </c>
      <c r="B1655" s="616" t="str">
        <f t="shared" si="25"/>
        <v/>
      </c>
      <c r="C1655" s="665"/>
      <c r="D1655" s="655">
        <v>2</v>
      </c>
      <c r="E1655" s="236"/>
      <c r="F1655" s="232" t="s">
        <v>2539</v>
      </c>
      <c r="G1655" s="239" t="s">
        <v>2585</v>
      </c>
      <c r="H1655" s="652"/>
      <c r="I1655" s="656"/>
      <c r="J1655" s="654"/>
    </row>
    <row r="1656" spans="1:10" ht="48" x14ac:dyDescent="0.35">
      <c r="A1656" s="615" t="s">
        <v>4227</v>
      </c>
      <c r="B1656" s="616" t="str">
        <f t="shared" si="25"/>
        <v/>
      </c>
      <c r="C1656" s="665"/>
      <c r="D1656" s="655" t="s">
        <v>75</v>
      </c>
      <c r="E1656" s="236"/>
      <c r="F1656" s="232" t="s">
        <v>76</v>
      </c>
      <c r="G1656" s="657" t="s">
        <v>2591</v>
      </c>
      <c r="H1656" s="652"/>
      <c r="I1656" s="656"/>
      <c r="J1656" s="654"/>
    </row>
    <row r="1657" spans="1:10" x14ac:dyDescent="0.35">
      <c r="A1657" s="615" t="s">
        <v>4228</v>
      </c>
      <c r="B1657" s="616" t="str">
        <f t="shared" si="25"/>
        <v/>
      </c>
      <c r="C1657" s="665"/>
      <c r="D1657" s="655">
        <v>2</v>
      </c>
      <c r="E1657" s="236"/>
      <c r="F1657" s="232" t="s">
        <v>2539</v>
      </c>
      <c r="G1657" s="239"/>
      <c r="H1657" s="652"/>
      <c r="I1657" s="656"/>
      <c r="J1657" s="654"/>
    </row>
    <row r="1658" spans="1:10" x14ac:dyDescent="0.35">
      <c r="A1658" s="615" t="s">
        <v>4229</v>
      </c>
      <c r="B1658" s="616" t="str">
        <f t="shared" si="25"/>
        <v/>
      </c>
      <c r="C1658" s="665"/>
      <c r="D1658" s="655">
        <v>0</v>
      </c>
      <c r="E1658" s="236"/>
      <c r="F1658" s="232" t="s">
        <v>2538</v>
      </c>
      <c r="G1658" s="239"/>
      <c r="H1658" s="652"/>
      <c r="I1658" s="656"/>
      <c r="J1658" s="654"/>
    </row>
    <row r="1659" spans="1:10" x14ac:dyDescent="0.35">
      <c r="A1659" s="615" t="s">
        <v>4230</v>
      </c>
      <c r="B1659" s="616" t="str">
        <f t="shared" si="25"/>
        <v/>
      </c>
      <c r="C1659" s="665"/>
      <c r="D1659" s="655">
        <v>0</v>
      </c>
      <c r="E1659" s="236"/>
      <c r="F1659" s="232" t="s">
        <v>2538</v>
      </c>
      <c r="G1659" s="239"/>
      <c r="H1659" s="652"/>
      <c r="I1659" s="656"/>
      <c r="J1659" s="654"/>
    </row>
    <row r="1660" spans="1:10" x14ac:dyDescent="0.35">
      <c r="A1660" s="615" t="s">
        <v>4231</v>
      </c>
      <c r="B1660" s="616" t="str">
        <f t="shared" si="25"/>
        <v/>
      </c>
      <c r="C1660" s="665"/>
      <c r="D1660" s="655">
        <v>0</v>
      </c>
      <c r="E1660" s="236"/>
      <c r="F1660" s="232" t="s">
        <v>2538</v>
      </c>
      <c r="G1660" s="239"/>
      <c r="H1660" s="652"/>
      <c r="I1660" s="656"/>
      <c r="J1660" s="654"/>
    </row>
    <row r="1661" spans="1:10" x14ac:dyDescent="0.35">
      <c r="A1661" s="615" t="s">
        <v>4232</v>
      </c>
      <c r="B1661" s="616" t="str">
        <f t="shared" si="25"/>
        <v/>
      </c>
      <c r="C1661" s="665"/>
      <c r="D1661" s="651">
        <v>2</v>
      </c>
      <c r="E1661" s="236"/>
      <c r="F1661" s="232" t="s">
        <v>2572</v>
      </c>
      <c r="G1661" s="239"/>
      <c r="H1661" s="652"/>
      <c r="I1661" s="656"/>
      <c r="J1661" s="654"/>
    </row>
    <row r="1662" spans="1:10" x14ac:dyDescent="0.35">
      <c r="A1662" s="615" t="s">
        <v>4233</v>
      </c>
      <c r="B1662" s="616" t="str">
        <f t="shared" si="25"/>
        <v/>
      </c>
      <c r="C1662" s="665"/>
      <c r="D1662" s="651">
        <v>2</v>
      </c>
      <c r="E1662" s="236"/>
      <c r="F1662" s="232" t="s">
        <v>2572</v>
      </c>
      <c r="G1662" s="239"/>
      <c r="H1662" s="652"/>
      <c r="I1662" s="656"/>
      <c r="J1662" s="654"/>
    </row>
    <row r="1663" spans="1:10" x14ac:dyDescent="0.35">
      <c r="A1663" s="615" t="s">
        <v>4234</v>
      </c>
      <c r="B1663" s="616" t="str">
        <f t="shared" si="25"/>
        <v/>
      </c>
      <c r="C1663" s="665"/>
      <c r="D1663" s="651">
        <v>2</v>
      </c>
      <c r="E1663" s="236"/>
      <c r="F1663" s="232" t="s">
        <v>2572</v>
      </c>
      <c r="G1663" s="239"/>
      <c r="H1663" s="652"/>
      <c r="I1663" s="656"/>
      <c r="J1663" s="654"/>
    </row>
    <row r="1664" spans="1:10" x14ac:dyDescent="0.35">
      <c r="A1664" s="615" t="s">
        <v>4235</v>
      </c>
      <c r="B1664" s="616" t="str">
        <f t="shared" si="25"/>
        <v/>
      </c>
      <c r="C1664" s="665"/>
      <c r="D1664" s="651">
        <v>2</v>
      </c>
      <c r="E1664" s="236"/>
      <c r="F1664" s="232" t="s">
        <v>2572</v>
      </c>
      <c r="G1664" s="239"/>
      <c r="H1664" s="652"/>
      <c r="I1664" s="656"/>
      <c r="J1664" s="654"/>
    </row>
    <row r="1665" spans="1:10" x14ac:dyDescent="0.35">
      <c r="A1665" s="615" t="s">
        <v>4236</v>
      </c>
      <c r="B1665" s="616" t="str">
        <f t="shared" si="25"/>
        <v/>
      </c>
      <c r="C1665" s="665"/>
      <c r="D1665" s="651">
        <v>2</v>
      </c>
      <c r="E1665" s="236"/>
      <c r="F1665" s="232" t="s">
        <v>2572</v>
      </c>
      <c r="G1665" s="239"/>
      <c r="H1665" s="652"/>
      <c r="I1665" s="656"/>
      <c r="J1665" s="654"/>
    </row>
    <row r="1666" spans="1:10" x14ac:dyDescent="0.35">
      <c r="A1666" s="615" t="s">
        <v>4237</v>
      </c>
      <c r="B1666" s="616" t="str">
        <f t="shared" si="25"/>
        <v/>
      </c>
      <c r="C1666" s="665"/>
      <c r="D1666" s="655">
        <v>6</v>
      </c>
      <c r="E1666" s="236"/>
      <c r="F1666" s="232" t="s">
        <v>2579</v>
      </c>
      <c r="G1666" s="239" t="s">
        <v>2583</v>
      </c>
      <c r="H1666" s="652"/>
      <c r="I1666" s="656"/>
      <c r="J1666" s="654"/>
    </row>
    <row r="1667" spans="1:10" x14ac:dyDescent="0.35">
      <c r="A1667" s="615" t="s">
        <v>4238</v>
      </c>
      <c r="B1667" s="616" t="str">
        <f t="shared" si="25"/>
        <v/>
      </c>
      <c r="C1667" s="665"/>
      <c r="D1667" s="655" t="s">
        <v>75</v>
      </c>
      <c r="E1667" s="236"/>
      <c r="F1667" s="232" t="s">
        <v>76</v>
      </c>
      <c r="G1667" s="239"/>
      <c r="H1667" s="652"/>
      <c r="I1667" s="656"/>
      <c r="J1667" s="654"/>
    </row>
    <row r="1668" spans="1:10" x14ac:dyDescent="0.35">
      <c r="A1668" s="615" t="s">
        <v>4239</v>
      </c>
      <c r="B1668" s="616" t="str">
        <f t="shared" si="25"/>
        <v/>
      </c>
      <c r="C1668" s="665"/>
      <c r="D1668" s="655">
        <v>2</v>
      </c>
      <c r="E1668" s="236"/>
      <c r="F1668" s="232" t="s">
        <v>2539</v>
      </c>
      <c r="G1668" s="239" t="s">
        <v>2585</v>
      </c>
      <c r="H1668" s="652"/>
      <c r="I1668" s="656"/>
      <c r="J1668" s="654"/>
    </row>
    <row r="1669" spans="1:10" x14ac:dyDescent="0.35">
      <c r="A1669" s="615" t="s">
        <v>4240</v>
      </c>
      <c r="B1669" s="616" t="str">
        <f t="shared" si="25"/>
        <v/>
      </c>
      <c r="C1669" s="665"/>
      <c r="D1669" s="655">
        <v>2</v>
      </c>
      <c r="E1669" s="236"/>
      <c r="F1669" s="232" t="s">
        <v>2539</v>
      </c>
      <c r="G1669" s="239" t="s">
        <v>2585</v>
      </c>
      <c r="H1669" s="652"/>
      <c r="I1669" s="656"/>
      <c r="J1669" s="654"/>
    </row>
    <row r="1670" spans="1:10" x14ac:dyDescent="0.35">
      <c r="A1670" s="615" t="s">
        <v>4241</v>
      </c>
      <c r="B1670" s="616" t="str">
        <f t="shared" si="25"/>
        <v/>
      </c>
      <c r="C1670" s="665"/>
      <c r="D1670" s="655">
        <v>2</v>
      </c>
      <c r="E1670" s="236"/>
      <c r="F1670" s="232" t="s">
        <v>2539</v>
      </c>
      <c r="G1670" s="239" t="s">
        <v>2585</v>
      </c>
      <c r="H1670" s="652"/>
      <c r="I1670" s="656"/>
      <c r="J1670" s="654"/>
    </row>
    <row r="1671" spans="1:10" x14ac:dyDescent="0.35">
      <c r="A1671" s="615" t="s">
        <v>4242</v>
      </c>
      <c r="B1671" s="616" t="str">
        <f t="shared" si="25"/>
        <v/>
      </c>
      <c r="C1671" s="665"/>
      <c r="D1671" s="655">
        <v>2</v>
      </c>
      <c r="E1671" s="236"/>
      <c r="F1671" s="232" t="s">
        <v>2539</v>
      </c>
      <c r="G1671" s="239" t="s">
        <v>2585</v>
      </c>
      <c r="H1671" s="652"/>
      <c r="I1671" s="656"/>
      <c r="J1671" s="654"/>
    </row>
    <row r="1672" spans="1:10" x14ac:dyDescent="0.35">
      <c r="A1672" s="615" t="s">
        <v>4243</v>
      </c>
      <c r="B1672" s="616" t="str">
        <f t="shared" si="25"/>
        <v/>
      </c>
      <c r="C1672" s="665"/>
      <c r="D1672" s="655">
        <v>2</v>
      </c>
      <c r="E1672" s="236"/>
      <c r="F1672" s="232" t="s">
        <v>2539</v>
      </c>
      <c r="G1672" s="239" t="s">
        <v>2585</v>
      </c>
      <c r="H1672" s="652"/>
      <c r="I1672" s="656"/>
      <c r="J1672" s="654"/>
    </row>
    <row r="1673" spans="1:10" x14ac:dyDescent="0.35">
      <c r="A1673" s="615" t="s">
        <v>4244</v>
      </c>
      <c r="B1673" s="616" t="str">
        <f t="shared" si="25"/>
        <v/>
      </c>
      <c r="C1673" s="665"/>
      <c r="D1673" s="655">
        <v>2</v>
      </c>
      <c r="E1673" s="236"/>
      <c r="F1673" s="232" t="s">
        <v>2539</v>
      </c>
      <c r="G1673" s="239" t="s">
        <v>2585</v>
      </c>
      <c r="H1673" s="652"/>
      <c r="I1673" s="656"/>
      <c r="J1673" s="654"/>
    </row>
    <row r="1674" spans="1:10" ht="48" x14ac:dyDescent="0.35">
      <c r="A1674" s="615" t="s">
        <v>4245</v>
      </c>
      <c r="B1674" s="616" t="str">
        <f t="shared" si="25"/>
        <v/>
      </c>
      <c r="C1674" s="665"/>
      <c r="D1674" s="655" t="s">
        <v>75</v>
      </c>
      <c r="E1674" s="236"/>
      <c r="F1674" s="232" t="s">
        <v>76</v>
      </c>
      <c r="G1674" s="657" t="s">
        <v>2591</v>
      </c>
      <c r="H1674" s="652"/>
      <c r="I1674" s="656"/>
      <c r="J1674" s="654"/>
    </row>
    <row r="1675" spans="1:10" x14ac:dyDescent="0.35">
      <c r="A1675" s="615" t="s">
        <v>4246</v>
      </c>
      <c r="B1675" s="616" t="str">
        <f t="shared" si="25"/>
        <v/>
      </c>
      <c r="C1675" s="665"/>
      <c r="D1675" s="655">
        <v>2</v>
      </c>
      <c r="E1675" s="236"/>
      <c r="F1675" s="232" t="s">
        <v>2539</v>
      </c>
      <c r="G1675" s="239"/>
      <c r="H1675" s="652"/>
      <c r="I1675" s="656"/>
      <c r="J1675" s="654"/>
    </row>
    <row r="1676" spans="1:10" x14ac:dyDescent="0.35">
      <c r="A1676" s="615" t="s">
        <v>4247</v>
      </c>
      <c r="B1676" s="616" t="str">
        <f t="shared" si="25"/>
        <v/>
      </c>
      <c r="C1676" s="665"/>
      <c r="D1676" s="655">
        <v>0</v>
      </c>
      <c r="E1676" s="236"/>
      <c r="F1676" s="232" t="s">
        <v>2538</v>
      </c>
      <c r="G1676" s="239"/>
      <c r="H1676" s="652"/>
      <c r="I1676" s="656"/>
      <c r="J1676" s="654"/>
    </row>
    <row r="1677" spans="1:10" x14ac:dyDescent="0.35">
      <c r="A1677" s="615" t="s">
        <v>4248</v>
      </c>
      <c r="B1677" s="616" t="str">
        <f t="shared" si="25"/>
        <v/>
      </c>
      <c r="C1677" s="665"/>
      <c r="D1677" s="655">
        <v>0</v>
      </c>
      <c r="E1677" s="236"/>
      <c r="F1677" s="232" t="s">
        <v>2538</v>
      </c>
      <c r="G1677" s="239"/>
      <c r="H1677" s="652"/>
      <c r="I1677" s="656"/>
      <c r="J1677" s="654"/>
    </row>
    <row r="1678" spans="1:10" x14ac:dyDescent="0.35">
      <c r="A1678" s="615" t="s">
        <v>4249</v>
      </c>
      <c r="B1678" s="616" t="str">
        <f t="shared" si="25"/>
        <v/>
      </c>
      <c r="C1678" s="665"/>
      <c r="D1678" s="655">
        <v>0</v>
      </c>
      <c r="E1678" s="236"/>
      <c r="F1678" s="232" t="s">
        <v>2538</v>
      </c>
      <c r="G1678" s="239"/>
      <c r="H1678" s="652"/>
      <c r="I1678" s="656"/>
      <c r="J1678" s="654"/>
    </row>
    <row r="1679" spans="1:10" x14ac:dyDescent="0.35">
      <c r="A1679" s="615" t="s">
        <v>4250</v>
      </c>
      <c r="B1679" s="616" t="str">
        <f t="shared" si="25"/>
        <v/>
      </c>
      <c r="C1679" s="665"/>
      <c r="D1679" s="651">
        <v>2</v>
      </c>
      <c r="E1679" s="236"/>
      <c r="F1679" s="232" t="s">
        <v>2572</v>
      </c>
      <c r="G1679" s="239"/>
      <c r="H1679" s="652"/>
      <c r="I1679" s="656"/>
      <c r="J1679" s="654"/>
    </row>
    <row r="1680" spans="1:10" x14ac:dyDescent="0.35">
      <c r="A1680" s="615" t="s">
        <v>4251</v>
      </c>
      <c r="B1680" s="616" t="str">
        <f t="shared" si="25"/>
        <v/>
      </c>
      <c r="C1680" s="665"/>
      <c r="D1680" s="651">
        <v>2</v>
      </c>
      <c r="E1680" s="236"/>
      <c r="F1680" s="232" t="s">
        <v>2572</v>
      </c>
      <c r="G1680" s="239"/>
      <c r="H1680" s="652"/>
      <c r="I1680" s="656"/>
      <c r="J1680" s="654"/>
    </row>
    <row r="1681" spans="1:10" x14ac:dyDescent="0.35">
      <c r="A1681" s="615" t="s">
        <v>4252</v>
      </c>
      <c r="B1681" s="616" t="str">
        <f t="shared" si="25"/>
        <v/>
      </c>
      <c r="C1681" s="665"/>
      <c r="D1681" s="651">
        <v>2</v>
      </c>
      <c r="E1681" s="236"/>
      <c r="F1681" s="232" t="s">
        <v>2572</v>
      </c>
      <c r="G1681" s="239"/>
      <c r="H1681" s="652"/>
      <c r="I1681" s="656"/>
      <c r="J1681" s="654"/>
    </row>
    <row r="1682" spans="1:10" x14ac:dyDescent="0.35">
      <c r="A1682" s="615" t="s">
        <v>4253</v>
      </c>
      <c r="B1682" s="616" t="str">
        <f t="shared" si="25"/>
        <v/>
      </c>
      <c r="C1682" s="665"/>
      <c r="D1682" s="651">
        <v>2</v>
      </c>
      <c r="E1682" s="236"/>
      <c r="F1682" s="232" t="s">
        <v>2572</v>
      </c>
      <c r="G1682" s="239"/>
      <c r="H1682" s="652"/>
      <c r="I1682" s="656"/>
      <c r="J1682" s="654"/>
    </row>
    <row r="1683" spans="1:10" x14ac:dyDescent="0.35">
      <c r="A1683" s="615" t="s">
        <v>4254</v>
      </c>
      <c r="B1683" s="616" t="str">
        <f t="shared" si="25"/>
        <v/>
      </c>
      <c r="C1683" s="665"/>
      <c r="D1683" s="651">
        <v>2</v>
      </c>
      <c r="E1683" s="236"/>
      <c r="F1683" s="232" t="s">
        <v>2572</v>
      </c>
      <c r="G1683" s="239"/>
      <c r="H1683" s="652"/>
      <c r="I1683" s="656"/>
      <c r="J1683" s="654"/>
    </row>
    <row r="1684" spans="1:10" x14ac:dyDescent="0.35">
      <c r="A1684" s="615" t="s">
        <v>4255</v>
      </c>
      <c r="B1684" s="616" t="str">
        <f t="shared" si="25"/>
        <v/>
      </c>
      <c r="C1684" s="665"/>
      <c r="D1684" s="655">
        <v>6</v>
      </c>
      <c r="E1684" s="236"/>
      <c r="F1684" s="232" t="s">
        <v>2579</v>
      </c>
      <c r="G1684" s="239" t="s">
        <v>2583</v>
      </c>
      <c r="H1684" s="652"/>
      <c r="I1684" s="656"/>
      <c r="J1684" s="654"/>
    </row>
    <row r="1685" spans="1:10" x14ac:dyDescent="0.35">
      <c r="A1685" s="615" t="s">
        <v>4256</v>
      </c>
      <c r="B1685" s="616" t="str">
        <f t="shared" si="25"/>
        <v/>
      </c>
      <c r="C1685" s="665"/>
      <c r="D1685" s="655" t="s">
        <v>75</v>
      </c>
      <c r="E1685" s="236"/>
      <c r="F1685" s="232" t="s">
        <v>76</v>
      </c>
      <c r="G1685" s="239"/>
      <c r="H1685" s="652"/>
      <c r="I1685" s="656"/>
      <c r="J1685" s="654"/>
    </row>
    <row r="1686" spans="1:10" x14ac:dyDescent="0.35">
      <c r="A1686" s="615" t="s">
        <v>4257</v>
      </c>
      <c r="B1686" s="616" t="str">
        <f t="shared" ref="B1686:B1749" si="26">IF(C1686="","",IF(D1686="Datum",TEXT(DAY(C1686),"00")&amp;"."&amp;TEXT(MONTH(C1686),"00")&amp;"."&amp;TEXT(YEAR(C1686),"0000"),IF(AND(ISNUMBER(C1686),D1686="x"),TEXT(C1686,"@"),IF(ISNUMBER(C1686),TEXT(ROUNDDOWN(C1686,0),0)&amp;IF(D1686=0,"","."&amp;IF(C1686-ROUNDDOWN(C1686,0)=0,LEFT("0000000000",D1686),TEXT((C1686-ROUNDDOWN(C1686,0))*(1&amp; LEFT("0000000000",$D1686)),LEFT("0000000000",$D1686)))),C1686))))</f>
        <v/>
      </c>
      <c r="C1686" s="665"/>
      <c r="D1686" s="655">
        <v>2</v>
      </c>
      <c r="E1686" s="236"/>
      <c r="F1686" s="232" t="s">
        <v>2539</v>
      </c>
      <c r="G1686" s="239" t="s">
        <v>2585</v>
      </c>
      <c r="H1686" s="652"/>
      <c r="I1686" s="656"/>
      <c r="J1686" s="654"/>
    </row>
    <row r="1687" spans="1:10" x14ac:dyDescent="0.35">
      <c r="A1687" s="615" t="s">
        <v>4258</v>
      </c>
      <c r="B1687" s="616" t="str">
        <f t="shared" si="26"/>
        <v/>
      </c>
      <c r="C1687" s="665"/>
      <c r="D1687" s="655">
        <v>2</v>
      </c>
      <c r="E1687" s="236"/>
      <c r="F1687" s="232" t="s">
        <v>2539</v>
      </c>
      <c r="G1687" s="239" t="s">
        <v>2585</v>
      </c>
      <c r="H1687" s="652"/>
      <c r="I1687" s="656"/>
      <c r="J1687" s="654"/>
    </row>
    <row r="1688" spans="1:10" x14ac:dyDescent="0.35">
      <c r="A1688" s="615" t="s">
        <v>4259</v>
      </c>
      <c r="B1688" s="616" t="str">
        <f t="shared" si="26"/>
        <v/>
      </c>
      <c r="C1688" s="665"/>
      <c r="D1688" s="655">
        <v>2</v>
      </c>
      <c r="E1688" s="236"/>
      <c r="F1688" s="232" t="s">
        <v>2539</v>
      </c>
      <c r="G1688" s="239" t="s">
        <v>2585</v>
      </c>
      <c r="H1688" s="652"/>
      <c r="I1688" s="656"/>
      <c r="J1688" s="654"/>
    </row>
    <row r="1689" spans="1:10" x14ac:dyDescent="0.35">
      <c r="A1689" s="615" t="s">
        <v>4260</v>
      </c>
      <c r="B1689" s="616" t="str">
        <f t="shared" si="26"/>
        <v/>
      </c>
      <c r="C1689" s="665"/>
      <c r="D1689" s="655">
        <v>2</v>
      </c>
      <c r="E1689" s="236"/>
      <c r="F1689" s="232" t="s">
        <v>2539</v>
      </c>
      <c r="G1689" s="239" t="s">
        <v>2585</v>
      </c>
      <c r="H1689" s="652"/>
      <c r="I1689" s="656"/>
      <c r="J1689" s="654"/>
    </row>
    <row r="1690" spans="1:10" x14ac:dyDescent="0.35">
      <c r="A1690" s="615" t="s">
        <v>4261</v>
      </c>
      <c r="B1690" s="616" t="str">
        <f t="shared" si="26"/>
        <v/>
      </c>
      <c r="C1690" s="665"/>
      <c r="D1690" s="655">
        <v>2</v>
      </c>
      <c r="E1690" s="236"/>
      <c r="F1690" s="232" t="s">
        <v>2539</v>
      </c>
      <c r="G1690" s="239" t="s">
        <v>2585</v>
      </c>
      <c r="H1690" s="652"/>
      <c r="I1690" s="656"/>
      <c r="J1690" s="654"/>
    </row>
    <row r="1691" spans="1:10" x14ac:dyDescent="0.35">
      <c r="A1691" s="615" t="s">
        <v>4262</v>
      </c>
      <c r="B1691" s="616" t="str">
        <f t="shared" si="26"/>
        <v/>
      </c>
      <c r="C1691" s="665"/>
      <c r="D1691" s="655">
        <v>2</v>
      </c>
      <c r="E1691" s="236"/>
      <c r="F1691" s="232" t="s">
        <v>2539</v>
      </c>
      <c r="G1691" s="239" t="s">
        <v>2585</v>
      </c>
      <c r="H1691" s="652"/>
      <c r="I1691" s="656"/>
      <c r="J1691" s="654"/>
    </row>
    <row r="1692" spans="1:10" ht="48" x14ac:dyDescent="0.35">
      <c r="A1692" s="615" t="s">
        <v>4263</v>
      </c>
      <c r="B1692" s="616" t="str">
        <f t="shared" si="26"/>
        <v/>
      </c>
      <c r="C1692" s="665"/>
      <c r="D1692" s="655" t="s">
        <v>75</v>
      </c>
      <c r="E1692" s="236"/>
      <c r="F1692" s="232" t="s">
        <v>76</v>
      </c>
      <c r="G1692" s="657" t="s">
        <v>2591</v>
      </c>
      <c r="H1692" s="652"/>
      <c r="I1692" s="656"/>
      <c r="J1692" s="654"/>
    </row>
    <row r="1693" spans="1:10" x14ac:dyDescent="0.35">
      <c r="A1693" s="615" t="s">
        <v>4264</v>
      </c>
      <c r="B1693" s="616" t="str">
        <f t="shared" si="26"/>
        <v/>
      </c>
      <c r="C1693" s="665"/>
      <c r="D1693" s="655">
        <v>2</v>
      </c>
      <c r="E1693" s="236"/>
      <c r="F1693" s="232" t="s">
        <v>2539</v>
      </c>
      <c r="G1693" s="239"/>
      <c r="H1693" s="652"/>
      <c r="I1693" s="656"/>
      <c r="J1693" s="654"/>
    </row>
    <row r="1694" spans="1:10" x14ac:dyDescent="0.35">
      <c r="A1694" s="615" t="s">
        <v>4265</v>
      </c>
      <c r="B1694" s="616" t="str">
        <f t="shared" si="26"/>
        <v/>
      </c>
      <c r="C1694" s="665"/>
      <c r="D1694" s="655">
        <v>0</v>
      </c>
      <c r="E1694" s="236"/>
      <c r="F1694" s="232" t="s">
        <v>2538</v>
      </c>
      <c r="G1694" s="239"/>
      <c r="H1694" s="652"/>
      <c r="I1694" s="656"/>
      <c r="J1694" s="654"/>
    </row>
    <row r="1695" spans="1:10" x14ac:dyDescent="0.35">
      <c r="A1695" s="615" t="s">
        <v>4266</v>
      </c>
      <c r="B1695" s="616" t="str">
        <f t="shared" si="26"/>
        <v/>
      </c>
      <c r="C1695" s="665"/>
      <c r="D1695" s="655">
        <v>0</v>
      </c>
      <c r="E1695" s="236"/>
      <c r="F1695" s="232" t="s">
        <v>2538</v>
      </c>
      <c r="G1695" s="239"/>
      <c r="H1695" s="652"/>
      <c r="I1695" s="656"/>
      <c r="J1695" s="654"/>
    </row>
    <row r="1696" spans="1:10" x14ac:dyDescent="0.35">
      <c r="A1696" s="615" t="s">
        <v>4267</v>
      </c>
      <c r="B1696" s="616" t="str">
        <f t="shared" si="26"/>
        <v/>
      </c>
      <c r="C1696" s="665"/>
      <c r="D1696" s="655">
        <v>0</v>
      </c>
      <c r="E1696" s="236"/>
      <c r="F1696" s="232" t="s">
        <v>2538</v>
      </c>
      <c r="G1696" s="239"/>
      <c r="H1696" s="652"/>
      <c r="I1696" s="656"/>
      <c r="J1696" s="654"/>
    </row>
    <row r="1697" spans="1:10" x14ac:dyDescent="0.35">
      <c r="A1697" s="615" t="s">
        <v>4268</v>
      </c>
      <c r="B1697" s="616" t="str">
        <f t="shared" si="26"/>
        <v/>
      </c>
      <c r="C1697" s="665"/>
      <c r="D1697" s="651">
        <v>2</v>
      </c>
      <c r="E1697" s="236"/>
      <c r="F1697" s="232" t="s">
        <v>2572</v>
      </c>
      <c r="G1697" s="239"/>
      <c r="H1697" s="652"/>
      <c r="I1697" s="656"/>
      <c r="J1697" s="654"/>
    </row>
    <row r="1698" spans="1:10" x14ac:dyDescent="0.35">
      <c r="A1698" s="615" t="s">
        <v>4269</v>
      </c>
      <c r="B1698" s="616" t="str">
        <f t="shared" si="26"/>
        <v/>
      </c>
      <c r="C1698" s="665"/>
      <c r="D1698" s="651">
        <v>2</v>
      </c>
      <c r="E1698" s="236"/>
      <c r="F1698" s="232" t="s">
        <v>2572</v>
      </c>
      <c r="G1698" s="239"/>
      <c r="H1698" s="652"/>
      <c r="I1698" s="656"/>
      <c r="J1698" s="654"/>
    </row>
    <row r="1699" spans="1:10" x14ac:dyDescent="0.35">
      <c r="A1699" s="615" t="s">
        <v>4270</v>
      </c>
      <c r="B1699" s="616" t="str">
        <f t="shared" si="26"/>
        <v/>
      </c>
      <c r="C1699" s="665"/>
      <c r="D1699" s="651">
        <v>2</v>
      </c>
      <c r="E1699" s="236"/>
      <c r="F1699" s="232" t="s">
        <v>2572</v>
      </c>
      <c r="G1699" s="239"/>
      <c r="H1699" s="652"/>
      <c r="I1699" s="656"/>
      <c r="J1699" s="654"/>
    </row>
    <row r="1700" spans="1:10" x14ac:dyDescent="0.35">
      <c r="A1700" s="615" t="s">
        <v>4271</v>
      </c>
      <c r="B1700" s="616" t="str">
        <f t="shared" si="26"/>
        <v/>
      </c>
      <c r="C1700" s="665"/>
      <c r="D1700" s="651">
        <v>2</v>
      </c>
      <c r="E1700" s="236"/>
      <c r="F1700" s="232" t="s">
        <v>2572</v>
      </c>
      <c r="G1700" s="239"/>
      <c r="H1700" s="652"/>
      <c r="I1700" s="656"/>
      <c r="J1700" s="654"/>
    </row>
    <row r="1701" spans="1:10" x14ac:dyDescent="0.35">
      <c r="A1701" s="615" t="s">
        <v>4272</v>
      </c>
      <c r="B1701" s="616" t="str">
        <f t="shared" si="26"/>
        <v/>
      </c>
      <c r="C1701" s="665"/>
      <c r="D1701" s="651">
        <v>2</v>
      </c>
      <c r="E1701" s="236"/>
      <c r="F1701" s="232" t="s">
        <v>2572</v>
      </c>
      <c r="G1701" s="239"/>
      <c r="H1701" s="652"/>
      <c r="I1701" s="656"/>
      <c r="J1701" s="654"/>
    </row>
    <row r="1702" spans="1:10" x14ac:dyDescent="0.35">
      <c r="A1702" s="615" t="s">
        <v>4273</v>
      </c>
      <c r="B1702" s="616" t="str">
        <f t="shared" si="26"/>
        <v/>
      </c>
      <c r="C1702" s="665"/>
      <c r="D1702" s="655">
        <v>6</v>
      </c>
      <c r="E1702" s="236"/>
      <c r="F1702" s="232" t="s">
        <v>2579</v>
      </c>
      <c r="G1702" s="239" t="s">
        <v>2583</v>
      </c>
      <c r="H1702" s="652"/>
      <c r="I1702" s="656"/>
      <c r="J1702" s="654"/>
    </row>
    <row r="1703" spans="1:10" x14ac:dyDescent="0.35">
      <c r="A1703" s="615" t="s">
        <v>4274</v>
      </c>
      <c r="B1703" s="616" t="str">
        <f t="shared" si="26"/>
        <v/>
      </c>
      <c r="C1703" s="665"/>
      <c r="D1703" s="655" t="s">
        <v>75</v>
      </c>
      <c r="E1703" s="236"/>
      <c r="F1703" s="232" t="s">
        <v>76</v>
      </c>
      <c r="G1703" s="239"/>
      <c r="H1703" s="652"/>
      <c r="I1703" s="656"/>
      <c r="J1703" s="654"/>
    </row>
    <row r="1704" spans="1:10" x14ac:dyDescent="0.35">
      <c r="A1704" s="615" t="s">
        <v>4275</v>
      </c>
      <c r="B1704" s="616" t="str">
        <f t="shared" si="26"/>
        <v/>
      </c>
      <c r="C1704" s="665"/>
      <c r="D1704" s="655">
        <v>2</v>
      </c>
      <c r="E1704" s="236"/>
      <c r="F1704" s="232" t="s">
        <v>2539</v>
      </c>
      <c r="G1704" s="239" t="s">
        <v>2585</v>
      </c>
      <c r="H1704" s="652"/>
      <c r="I1704" s="656"/>
      <c r="J1704" s="654"/>
    </row>
    <row r="1705" spans="1:10" x14ac:dyDescent="0.35">
      <c r="A1705" s="615" t="s">
        <v>4276</v>
      </c>
      <c r="B1705" s="616" t="str">
        <f t="shared" si="26"/>
        <v/>
      </c>
      <c r="C1705" s="665"/>
      <c r="D1705" s="655">
        <v>2</v>
      </c>
      <c r="E1705" s="236"/>
      <c r="F1705" s="232" t="s">
        <v>2539</v>
      </c>
      <c r="G1705" s="239" t="s">
        <v>2585</v>
      </c>
      <c r="H1705" s="652"/>
      <c r="I1705" s="656"/>
      <c r="J1705" s="654"/>
    </row>
    <row r="1706" spans="1:10" x14ac:dyDescent="0.35">
      <c r="A1706" s="615" t="s">
        <v>4277</v>
      </c>
      <c r="B1706" s="616" t="str">
        <f t="shared" si="26"/>
        <v/>
      </c>
      <c r="C1706" s="665"/>
      <c r="D1706" s="655">
        <v>2</v>
      </c>
      <c r="E1706" s="236"/>
      <c r="F1706" s="232" t="s">
        <v>2539</v>
      </c>
      <c r="G1706" s="239" t="s">
        <v>2585</v>
      </c>
      <c r="H1706" s="652"/>
      <c r="I1706" s="656"/>
      <c r="J1706" s="654"/>
    </row>
    <row r="1707" spans="1:10" x14ac:dyDescent="0.35">
      <c r="A1707" s="615" t="s">
        <v>4278</v>
      </c>
      <c r="B1707" s="616" t="str">
        <f t="shared" si="26"/>
        <v/>
      </c>
      <c r="C1707" s="665"/>
      <c r="D1707" s="655">
        <v>2</v>
      </c>
      <c r="E1707" s="236"/>
      <c r="F1707" s="232" t="s">
        <v>2539</v>
      </c>
      <c r="G1707" s="239" t="s">
        <v>2585</v>
      </c>
      <c r="H1707" s="652"/>
      <c r="I1707" s="656"/>
      <c r="J1707" s="654"/>
    </row>
    <row r="1708" spans="1:10" x14ac:dyDescent="0.35">
      <c r="A1708" s="615" t="s">
        <v>4279</v>
      </c>
      <c r="B1708" s="616" t="str">
        <f t="shared" si="26"/>
        <v/>
      </c>
      <c r="C1708" s="665"/>
      <c r="D1708" s="655">
        <v>2</v>
      </c>
      <c r="E1708" s="236"/>
      <c r="F1708" s="232" t="s">
        <v>2539</v>
      </c>
      <c r="G1708" s="239" t="s">
        <v>2585</v>
      </c>
      <c r="H1708" s="652"/>
      <c r="I1708" s="656"/>
      <c r="J1708" s="654"/>
    </row>
    <row r="1709" spans="1:10" x14ac:dyDescent="0.35">
      <c r="A1709" s="615" t="s">
        <v>4280</v>
      </c>
      <c r="B1709" s="616" t="str">
        <f t="shared" si="26"/>
        <v/>
      </c>
      <c r="C1709" s="665"/>
      <c r="D1709" s="655">
        <v>2</v>
      </c>
      <c r="E1709" s="236"/>
      <c r="F1709" s="232" t="s">
        <v>2539</v>
      </c>
      <c r="G1709" s="239" t="s">
        <v>2585</v>
      </c>
      <c r="H1709" s="652"/>
      <c r="I1709" s="656"/>
      <c r="J1709" s="654"/>
    </row>
    <row r="1710" spans="1:10" ht="48" x14ac:dyDescent="0.35">
      <c r="A1710" s="615" t="s">
        <v>4281</v>
      </c>
      <c r="B1710" s="616" t="str">
        <f t="shared" si="26"/>
        <v/>
      </c>
      <c r="C1710" s="665"/>
      <c r="D1710" s="655" t="s">
        <v>75</v>
      </c>
      <c r="E1710" s="236"/>
      <c r="F1710" s="232" t="s">
        <v>76</v>
      </c>
      <c r="G1710" s="657" t="s">
        <v>2591</v>
      </c>
      <c r="H1710" s="652"/>
      <c r="I1710" s="656"/>
      <c r="J1710" s="654"/>
    </row>
    <row r="1711" spans="1:10" x14ac:dyDescent="0.35">
      <c r="A1711" s="615" t="s">
        <v>4282</v>
      </c>
      <c r="B1711" s="616" t="str">
        <f t="shared" si="26"/>
        <v/>
      </c>
      <c r="C1711" s="665"/>
      <c r="D1711" s="655">
        <v>2</v>
      </c>
      <c r="E1711" s="236"/>
      <c r="F1711" s="232" t="s">
        <v>2539</v>
      </c>
      <c r="G1711" s="239"/>
      <c r="H1711" s="652"/>
      <c r="I1711" s="656"/>
      <c r="J1711" s="654"/>
    </row>
    <row r="1712" spans="1:10" x14ac:dyDescent="0.35">
      <c r="A1712" s="615" t="s">
        <v>4283</v>
      </c>
      <c r="B1712" s="616" t="str">
        <f t="shared" si="26"/>
        <v/>
      </c>
      <c r="C1712" s="665"/>
      <c r="D1712" s="655">
        <v>0</v>
      </c>
      <c r="E1712" s="236"/>
      <c r="F1712" s="232" t="s">
        <v>2538</v>
      </c>
      <c r="G1712" s="239"/>
      <c r="H1712" s="652"/>
      <c r="I1712" s="656"/>
      <c r="J1712" s="654"/>
    </row>
    <row r="1713" spans="1:10" x14ac:dyDescent="0.35">
      <c r="A1713" s="615" t="s">
        <v>4284</v>
      </c>
      <c r="B1713" s="616" t="str">
        <f t="shared" si="26"/>
        <v/>
      </c>
      <c r="C1713" s="665"/>
      <c r="D1713" s="655">
        <v>0</v>
      </c>
      <c r="E1713" s="236"/>
      <c r="F1713" s="232" t="s">
        <v>2538</v>
      </c>
      <c r="G1713" s="239"/>
      <c r="H1713" s="652"/>
      <c r="I1713" s="656"/>
      <c r="J1713" s="654"/>
    </row>
    <row r="1714" spans="1:10" x14ac:dyDescent="0.35">
      <c r="A1714" s="615" t="s">
        <v>4285</v>
      </c>
      <c r="B1714" s="616" t="str">
        <f t="shared" si="26"/>
        <v/>
      </c>
      <c r="C1714" s="665"/>
      <c r="D1714" s="655">
        <v>0</v>
      </c>
      <c r="E1714" s="236"/>
      <c r="F1714" s="232" t="s">
        <v>2538</v>
      </c>
      <c r="G1714" s="239"/>
      <c r="H1714" s="652"/>
      <c r="I1714" s="656"/>
      <c r="J1714" s="654"/>
    </row>
    <row r="1715" spans="1:10" x14ac:dyDescent="0.35">
      <c r="A1715" s="615" t="s">
        <v>4286</v>
      </c>
      <c r="B1715" s="616" t="str">
        <f t="shared" si="26"/>
        <v/>
      </c>
      <c r="C1715" s="665"/>
      <c r="D1715" s="651">
        <v>2</v>
      </c>
      <c r="E1715" s="236"/>
      <c r="F1715" s="232" t="s">
        <v>2572</v>
      </c>
      <c r="G1715" s="239"/>
      <c r="H1715" s="652"/>
      <c r="I1715" s="656"/>
      <c r="J1715" s="654"/>
    </row>
    <row r="1716" spans="1:10" x14ac:dyDescent="0.35">
      <c r="A1716" s="615" t="s">
        <v>4287</v>
      </c>
      <c r="B1716" s="616" t="str">
        <f t="shared" si="26"/>
        <v/>
      </c>
      <c r="C1716" s="665"/>
      <c r="D1716" s="651">
        <v>2</v>
      </c>
      <c r="E1716" s="236"/>
      <c r="F1716" s="232" t="s">
        <v>2572</v>
      </c>
      <c r="G1716" s="239"/>
      <c r="H1716" s="652"/>
      <c r="I1716" s="656"/>
      <c r="J1716" s="654"/>
    </row>
    <row r="1717" spans="1:10" x14ac:dyDescent="0.35">
      <c r="A1717" s="615" t="s">
        <v>4288</v>
      </c>
      <c r="B1717" s="616" t="str">
        <f t="shared" si="26"/>
        <v/>
      </c>
      <c r="C1717" s="665"/>
      <c r="D1717" s="651">
        <v>2</v>
      </c>
      <c r="E1717" s="236"/>
      <c r="F1717" s="232" t="s">
        <v>2572</v>
      </c>
      <c r="G1717" s="239"/>
      <c r="H1717" s="652"/>
      <c r="I1717" s="656"/>
      <c r="J1717" s="654"/>
    </row>
    <row r="1718" spans="1:10" x14ac:dyDescent="0.35">
      <c r="A1718" s="615" t="s">
        <v>4289</v>
      </c>
      <c r="B1718" s="616" t="str">
        <f t="shared" si="26"/>
        <v/>
      </c>
      <c r="C1718" s="665"/>
      <c r="D1718" s="651">
        <v>2</v>
      </c>
      <c r="E1718" s="236"/>
      <c r="F1718" s="232" t="s">
        <v>2572</v>
      </c>
      <c r="G1718" s="239"/>
      <c r="H1718" s="652"/>
      <c r="I1718" s="656"/>
      <c r="J1718" s="654"/>
    </row>
    <row r="1719" spans="1:10" x14ac:dyDescent="0.35">
      <c r="A1719" s="615" t="s">
        <v>4290</v>
      </c>
      <c r="B1719" s="616" t="str">
        <f t="shared" si="26"/>
        <v/>
      </c>
      <c r="C1719" s="665"/>
      <c r="D1719" s="651">
        <v>2</v>
      </c>
      <c r="E1719" s="236"/>
      <c r="F1719" s="232" t="s">
        <v>2572</v>
      </c>
      <c r="G1719" s="239"/>
      <c r="H1719" s="652"/>
      <c r="I1719" s="656"/>
      <c r="J1719" s="654"/>
    </row>
    <row r="1720" spans="1:10" x14ac:dyDescent="0.35">
      <c r="A1720" s="615" t="s">
        <v>4291</v>
      </c>
      <c r="B1720" s="616" t="str">
        <f t="shared" si="26"/>
        <v/>
      </c>
      <c r="C1720" s="665"/>
      <c r="D1720" s="655">
        <v>6</v>
      </c>
      <c r="E1720" s="236"/>
      <c r="F1720" s="232" t="s">
        <v>2579</v>
      </c>
      <c r="G1720" s="239" t="s">
        <v>2583</v>
      </c>
      <c r="H1720" s="652"/>
      <c r="I1720" s="656"/>
      <c r="J1720" s="654"/>
    </row>
    <row r="1721" spans="1:10" x14ac:dyDescent="0.35">
      <c r="A1721" s="615" t="s">
        <v>4292</v>
      </c>
      <c r="B1721" s="616" t="str">
        <f t="shared" si="26"/>
        <v/>
      </c>
      <c r="C1721" s="665"/>
      <c r="D1721" s="655" t="s">
        <v>75</v>
      </c>
      <c r="E1721" s="236"/>
      <c r="F1721" s="232" t="s">
        <v>76</v>
      </c>
      <c r="G1721" s="239"/>
      <c r="H1721" s="652"/>
      <c r="I1721" s="656"/>
      <c r="J1721" s="654"/>
    </row>
    <row r="1722" spans="1:10" x14ac:dyDescent="0.35">
      <c r="A1722" s="615" t="s">
        <v>4293</v>
      </c>
      <c r="B1722" s="616" t="str">
        <f t="shared" si="26"/>
        <v/>
      </c>
      <c r="C1722" s="665"/>
      <c r="D1722" s="655">
        <v>2</v>
      </c>
      <c r="E1722" s="236"/>
      <c r="F1722" s="232" t="s">
        <v>2539</v>
      </c>
      <c r="G1722" s="239" t="s">
        <v>2585</v>
      </c>
      <c r="H1722" s="652"/>
      <c r="I1722" s="656"/>
      <c r="J1722" s="654"/>
    </row>
    <row r="1723" spans="1:10" x14ac:dyDescent="0.35">
      <c r="A1723" s="615" t="s">
        <v>4294</v>
      </c>
      <c r="B1723" s="616" t="str">
        <f t="shared" si="26"/>
        <v/>
      </c>
      <c r="C1723" s="665"/>
      <c r="D1723" s="655">
        <v>2</v>
      </c>
      <c r="E1723" s="236"/>
      <c r="F1723" s="232" t="s">
        <v>2539</v>
      </c>
      <c r="G1723" s="239" t="s">
        <v>2585</v>
      </c>
      <c r="H1723" s="652"/>
      <c r="I1723" s="656"/>
      <c r="J1723" s="654"/>
    </row>
    <row r="1724" spans="1:10" x14ac:dyDescent="0.35">
      <c r="A1724" s="615" t="s">
        <v>4295</v>
      </c>
      <c r="B1724" s="616" t="str">
        <f t="shared" si="26"/>
        <v/>
      </c>
      <c r="C1724" s="665"/>
      <c r="D1724" s="655">
        <v>2</v>
      </c>
      <c r="E1724" s="236"/>
      <c r="F1724" s="232" t="s">
        <v>2539</v>
      </c>
      <c r="G1724" s="239" t="s">
        <v>2585</v>
      </c>
      <c r="H1724" s="652"/>
      <c r="I1724" s="656"/>
      <c r="J1724" s="654"/>
    </row>
    <row r="1725" spans="1:10" x14ac:dyDescent="0.35">
      <c r="A1725" s="615" t="s">
        <v>4296</v>
      </c>
      <c r="B1725" s="616" t="str">
        <f t="shared" si="26"/>
        <v/>
      </c>
      <c r="C1725" s="665"/>
      <c r="D1725" s="655">
        <v>2</v>
      </c>
      <c r="E1725" s="236"/>
      <c r="F1725" s="232" t="s">
        <v>2539</v>
      </c>
      <c r="G1725" s="239" t="s">
        <v>2585</v>
      </c>
      <c r="H1725" s="652"/>
      <c r="I1725" s="656"/>
      <c r="J1725" s="654"/>
    </row>
    <row r="1726" spans="1:10" x14ac:dyDescent="0.35">
      <c r="A1726" s="615" t="s">
        <v>4297</v>
      </c>
      <c r="B1726" s="616" t="str">
        <f t="shared" si="26"/>
        <v/>
      </c>
      <c r="C1726" s="665"/>
      <c r="D1726" s="655">
        <v>2</v>
      </c>
      <c r="E1726" s="236"/>
      <c r="F1726" s="232" t="s">
        <v>2539</v>
      </c>
      <c r="G1726" s="239" t="s">
        <v>2585</v>
      </c>
      <c r="H1726" s="652"/>
      <c r="I1726" s="656"/>
      <c r="J1726" s="654"/>
    </row>
    <row r="1727" spans="1:10" x14ac:dyDescent="0.35">
      <c r="A1727" s="615" t="s">
        <v>4298</v>
      </c>
      <c r="B1727" s="616" t="str">
        <f t="shared" si="26"/>
        <v/>
      </c>
      <c r="C1727" s="665"/>
      <c r="D1727" s="655">
        <v>2</v>
      </c>
      <c r="E1727" s="236"/>
      <c r="F1727" s="232" t="s">
        <v>2539</v>
      </c>
      <c r="G1727" s="239" t="s">
        <v>2585</v>
      </c>
      <c r="H1727" s="652"/>
      <c r="I1727" s="656"/>
      <c r="J1727" s="654"/>
    </row>
    <row r="1728" spans="1:10" ht="48" x14ac:dyDescent="0.35">
      <c r="A1728" s="615" t="s">
        <v>4299</v>
      </c>
      <c r="B1728" s="616" t="str">
        <f t="shared" si="26"/>
        <v/>
      </c>
      <c r="C1728" s="665"/>
      <c r="D1728" s="655" t="s">
        <v>75</v>
      </c>
      <c r="E1728" s="236"/>
      <c r="F1728" s="232" t="s">
        <v>76</v>
      </c>
      <c r="G1728" s="657" t="s">
        <v>2591</v>
      </c>
      <c r="H1728" s="652"/>
      <c r="I1728" s="656"/>
      <c r="J1728" s="654"/>
    </row>
    <row r="1729" spans="1:10" x14ac:dyDescent="0.35">
      <c r="A1729" s="615" t="s">
        <v>4300</v>
      </c>
      <c r="B1729" s="616" t="str">
        <f t="shared" si="26"/>
        <v/>
      </c>
      <c r="C1729" s="665"/>
      <c r="D1729" s="655">
        <v>2</v>
      </c>
      <c r="E1729" s="236"/>
      <c r="F1729" s="232" t="s">
        <v>2539</v>
      </c>
      <c r="G1729" s="239"/>
      <c r="H1729" s="652"/>
      <c r="I1729" s="656"/>
      <c r="J1729" s="654"/>
    </row>
    <row r="1730" spans="1:10" x14ac:dyDescent="0.35">
      <c r="A1730" s="615" t="s">
        <v>4301</v>
      </c>
      <c r="B1730" s="616" t="str">
        <f t="shared" si="26"/>
        <v/>
      </c>
      <c r="C1730" s="665"/>
      <c r="D1730" s="655">
        <v>0</v>
      </c>
      <c r="E1730" s="236"/>
      <c r="F1730" s="232" t="s">
        <v>2538</v>
      </c>
      <c r="G1730" s="239"/>
      <c r="H1730" s="652"/>
      <c r="I1730" s="656"/>
      <c r="J1730" s="654"/>
    </row>
    <row r="1731" spans="1:10" x14ac:dyDescent="0.35">
      <c r="A1731" s="615" t="s">
        <v>4302</v>
      </c>
      <c r="B1731" s="616" t="str">
        <f t="shared" si="26"/>
        <v/>
      </c>
      <c r="C1731" s="665"/>
      <c r="D1731" s="655">
        <v>0</v>
      </c>
      <c r="E1731" s="236"/>
      <c r="F1731" s="232" t="s">
        <v>2538</v>
      </c>
      <c r="G1731" s="239"/>
      <c r="H1731" s="652"/>
      <c r="I1731" s="656"/>
      <c r="J1731" s="654"/>
    </row>
    <row r="1732" spans="1:10" x14ac:dyDescent="0.35">
      <c r="A1732" s="615" t="s">
        <v>4303</v>
      </c>
      <c r="B1732" s="616" t="str">
        <f t="shared" si="26"/>
        <v/>
      </c>
      <c r="C1732" s="665"/>
      <c r="D1732" s="655">
        <v>0</v>
      </c>
      <c r="E1732" s="236"/>
      <c r="F1732" s="232" t="s">
        <v>2538</v>
      </c>
      <c r="G1732" s="239"/>
      <c r="H1732" s="652"/>
      <c r="I1732" s="656"/>
      <c r="J1732" s="654"/>
    </row>
    <row r="1733" spans="1:10" x14ac:dyDescent="0.35">
      <c r="A1733" s="615" t="s">
        <v>4304</v>
      </c>
      <c r="B1733" s="616" t="str">
        <f t="shared" si="26"/>
        <v/>
      </c>
      <c r="C1733" s="665"/>
      <c r="D1733" s="651">
        <v>2</v>
      </c>
      <c r="E1733" s="236"/>
      <c r="F1733" s="232" t="s">
        <v>2572</v>
      </c>
      <c r="G1733" s="239"/>
      <c r="H1733" s="652"/>
      <c r="I1733" s="656"/>
      <c r="J1733" s="654"/>
    </row>
    <row r="1734" spans="1:10" x14ac:dyDescent="0.35">
      <c r="A1734" s="615" t="s">
        <v>4305</v>
      </c>
      <c r="B1734" s="616" t="str">
        <f t="shared" si="26"/>
        <v/>
      </c>
      <c r="C1734" s="665"/>
      <c r="D1734" s="651">
        <v>2</v>
      </c>
      <c r="E1734" s="236"/>
      <c r="F1734" s="232" t="s">
        <v>2572</v>
      </c>
      <c r="G1734" s="239"/>
      <c r="H1734" s="652"/>
      <c r="I1734" s="656"/>
      <c r="J1734" s="654"/>
    </row>
    <row r="1735" spans="1:10" x14ac:dyDescent="0.35">
      <c r="A1735" s="615" t="s">
        <v>4306</v>
      </c>
      <c r="B1735" s="616" t="str">
        <f t="shared" si="26"/>
        <v/>
      </c>
      <c r="C1735" s="665"/>
      <c r="D1735" s="651">
        <v>2</v>
      </c>
      <c r="E1735" s="236"/>
      <c r="F1735" s="232" t="s">
        <v>2572</v>
      </c>
      <c r="G1735" s="239"/>
      <c r="H1735" s="652"/>
      <c r="I1735" s="656"/>
      <c r="J1735" s="654"/>
    </row>
    <row r="1736" spans="1:10" x14ac:dyDescent="0.35">
      <c r="A1736" s="615" t="s">
        <v>4307</v>
      </c>
      <c r="B1736" s="616" t="str">
        <f t="shared" si="26"/>
        <v/>
      </c>
      <c r="C1736" s="665"/>
      <c r="D1736" s="651">
        <v>2</v>
      </c>
      <c r="E1736" s="236"/>
      <c r="F1736" s="232" t="s">
        <v>2572</v>
      </c>
      <c r="G1736" s="239"/>
      <c r="H1736" s="652"/>
      <c r="I1736" s="656"/>
      <c r="J1736" s="654"/>
    </row>
    <row r="1737" spans="1:10" x14ac:dyDescent="0.35">
      <c r="A1737" s="615" t="s">
        <v>4308</v>
      </c>
      <c r="B1737" s="616" t="str">
        <f t="shared" si="26"/>
        <v/>
      </c>
      <c r="C1737" s="665"/>
      <c r="D1737" s="651">
        <v>2</v>
      </c>
      <c r="E1737" s="236"/>
      <c r="F1737" s="232" t="s">
        <v>2572</v>
      </c>
      <c r="G1737" s="239"/>
      <c r="H1737" s="652"/>
      <c r="I1737" s="656"/>
      <c r="J1737" s="654"/>
    </row>
    <row r="1738" spans="1:10" x14ac:dyDescent="0.35">
      <c r="A1738" s="615" t="s">
        <v>4309</v>
      </c>
      <c r="B1738" s="616" t="str">
        <f t="shared" si="26"/>
        <v/>
      </c>
      <c r="C1738" s="665"/>
      <c r="D1738" s="655">
        <v>6</v>
      </c>
      <c r="E1738" s="236"/>
      <c r="F1738" s="232" t="s">
        <v>2579</v>
      </c>
      <c r="G1738" s="239" t="s">
        <v>2583</v>
      </c>
      <c r="H1738" s="652"/>
      <c r="I1738" s="656"/>
      <c r="J1738" s="654"/>
    </row>
    <row r="1739" spans="1:10" x14ac:dyDescent="0.35">
      <c r="A1739" s="615" t="s">
        <v>4310</v>
      </c>
      <c r="B1739" s="616" t="str">
        <f t="shared" si="26"/>
        <v/>
      </c>
      <c r="C1739" s="665"/>
      <c r="D1739" s="655" t="s">
        <v>75</v>
      </c>
      <c r="E1739" s="236"/>
      <c r="F1739" s="232" t="s">
        <v>76</v>
      </c>
      <c r="G1739" s="239"/>
      <c r="H1739" s="652"/>
      <c r="I1739" s="656"/>
      <c r="J1739" s="654"/>
    </row>
    <row r="1740" spans="1:10" x14ac:dyDescent="0.35">
      <c r="A1740" s="615" t="s">
        <v>4311</v>
      </c>
      <c r="B1740" s="616" t="str">
        <f t="shared" si="26"/>
        <v/>
      </c>
      <c r="C1740" s="665"/>
      <c r="D1740" s="655">
        <v>2</v>
      </c>
      <c r="E1740" s="236"/>
      <c r="F1740" s="232" t="s">
        <v>2539</v>
      </c>
      <c r="G1740" s="239" t="s">
        <v>2585</v>
      </c>
      <c r="H1740" s="652"/>
      <c r="I1740" s="656"/>
      <c r="J1740" s="654"/>
    </row>
    <row r="1741" spans="1:10" x14ac:dyDescent="0.35">
      <c r="A1741" s="615" t="s">
        <v>4312</v>
      </c>
      <c r="B1741" s="616" t="str">
        <f t="shared" si="26"/>
        <v/>
      </c>
      <c r="C1741" s="665"/>
      <c r="D1741" s="655">
        <v>2</v>
      </c>
      <c r="E1741" s="236"/>
      <c r="F1741" s="232" t="s">
        <v>2539</v>
      </c>
      <c r="G1741" s="239" t="s">
        <v>2585</v>
      </c>
      <c r="H1741" s="652"/>
      <c r="I1741" s="656"/>
      <c r="J1741" s="654"/>
    </row>
    <row r="1742" spans="1:10" x14ac:dyDescent="0.35">
      <c r="A1742" s="615" t="s">
        <v>4313</v>
      </c>
      <c r="B1742" s="616" t="str">
        <f t="shared" si="26"/>
        <v/>
      </c>
      <c r="C1742" s="665"/>
      <c r="D1742" s="655">
        <v>2</v>
      </c>
      <c r="E1742" s="236"/>
      <c r="F1742" s="232" t="s">
        <v>2539</v>
      </c>
      <c r="G1742" s="239" t="s">
        <v>2585</v>
      </c>
      <c r="H1742" s="652"/>
      <c r="I1742" s="656"/>
      <c r="J1742" s="654"/>
    </row>
    <row r="1743" spans="1:10" x14ac:dyDescent="0.35">
      <c r="A1743" s="615" t="s">
        <v>4314</v>
      </c>
      <c r="B1743" s="616" t="str">
        <f t="shared" si="26"/>
        <v/>
      </c>
      <c r="C1743" s="665"/>
      <c r="D1743" s="655">
        <v>2</v>
      </c>
      <c r="E1743" s="236"/>
      <c r="F1743" s="232" t="s">
        <v>2539</v>
      </c>
      <c r="G1743" s="239" t="s">
        <v>2585</v>
      </c>
      <c r="H1743" s="652"/>
      <c r="I1743" s="656"/>
      <c r="J1743" s="654"/>
    </row>
    <row r="1744" spans="1:10" x14ac:dyDescent="0.35">
      <c r="A1744" s="615" t="s">
        <v>4315</v>
      </c>
      <c r="B1744" s="616" t="str">
        <f t="shared" si="26"/>
        <v/>
      </c>
      <c r="C1744" s="665"/>
      <c r="D1744" s="655">
        <v>2</v>
      </c>
      <c r="E1744" s="236"/>
      <c r="F1744" s="232" t="s">
        <v>2539</v>
      </c>
      <c r="G1744" s="239" t="s">
        <v>2585</v>
      </c>
      <c r="H1744" s="652"/>
      <c r="I1744" s="656"/>
      <c r="J1744" s="654"/>
    </row>
    <row r="1745" spans="1:10" x14ac:dyDescent="0.35">
      <c r="A1745" s="615" t="s">
        <v>4316</v>
      </c>
      <c r="B1745" s="616" t="str">
        <f t="shared" si="26"/>
        <v/>
      </c>
      <c r="C1745" s="665"/>
      <c r="D1745" s="655">
        <v>2</v>
      </c>
      <c r="E1745" s="236"/>
      <c r="F1745" s="232" t="s">
        <v>2539</v>
      </c>
      <c r="G1745" s="239" t="s">
        <v>2585</v>
      </c>
      <c r="H1745" s="652"/>
      <c r="I1745" s="656"/>
      <c r="J1745" s="654"/>
    </row>
    <row r="1746" spans="1:10" ht="48" x14ac:dyDescent="0.35">
      <c r="A1746" s="615" t="s">
        <v>4317</v>
      </c>
      <c r="B1746" s="616" t="str">
        <f t="shared" si="26"/>
        <v/>
      </c>
      <c r="C1746" s="665"/>
      <c r="D1746" s="655" t="s">
        <v>75</v>
      </c>
      <c r="E1746" s="236"/>
      <c r="F1746" s="232" t="s">
        <v>76</v>
      </c>
      <c r="G1746" s="657" t="s">
        <v>2591</v>
      </c>
      <c r="H1746" s="652"/>
      <c r="I1746" s="656"/>
      <c r="J1746" s="654"/>
    </row>
    <row r="1747" spans="1:10" x14ac:dyDescent="0.35">
      <c r="A1747" s="615" t="s">
        <v>4318</v>
      </c>
      <c r="B1747" s="616" t="str">
        <f t="shared" si="26"/>
        <v/>
      </c>
      <c r="C1747" s="665"/>
      <c r="D1747" s="655">
        <v>2</v>
      </c>
      <c r="E1747" s="236"/>
      <c r="F1747" s="232" t="s">
        <v>2539</v>
      </c>
      <c r="G1747" s="239"/>
      <c r="H1747" s="652"/>
      <c r="I1747" s="656"/>
      <c r="J1747" s="654"/>
    </row>
    <row r="1748" spans="1:10" x14ac:dyDescent="0.35">
      <c r="A1748" s="615" t="s">
        <v>4319</v>
      </c>
      <c r="B1748" s="616" t="str">
        <f t="shared" si="26"/>
        <v/>
      </c>
      <c r="C1748" s="665"/>
      <c r="D1748" s="655">
        <v>0</v>
      </c>
      <c r="E1748" s="236"/>
      <c r="F1748" s="232" t="s">
        <v>2538</v>
      </c>
      <c r="G1748" s="239"/>
      <c r="H1748" s="652"/>
      <c r="I1748" s="656"/>
      <c r="J1748" s="654"/>
    </row>
    <row r="1749" spans="1:10" x14ac:dyDescent="0.35">
      <c r="A1749" s="615" t="s">
        <v>4320</v>
      </c>
      <c r="B1749" s="616" t="str">
        <f t="shared" si="26"/>
        <v/>
      </c>
      <c r="C1749" s="665"/>
      <c r="D1749" s="655">
        <v>0</v>
      </c>
      <c r="E1749" s="236"/>
      <c r="F1749" s="232" t="s">
        <v>2538</v>
      </c>
      <c r="G1749" s="239"/>
      <c r="H1749" s="652"/>
      <c r="I1749" s="656"/>
      <c r="J1749" s="654"/>
    </row>
    <row r="1750" spans="1:10" x14ac:dyDescent="0.35">
      <c r="A1750" s="615" t="s">
        <v>4321</v>
      </c>
      <c r="B1750" s="616" t="str">
        <f t="shared" ref="B1750:B1801" si="27">IF(C1750="","",IF(D1750="Datum",TEXT(DAY(C1750),"00")&amp;"."&amp;TEXT(MONTH(C1750),"00")&amp;"."&amp;TEXT(YEAR(C1750),"0000"),IF(AND(ISNUMBER(C1750),D1750="x"),TEXT(C1750,"@"),IF(ISNUMBER(C1750),TEXT(ROUNDDOWN(C1750,0),0)&amp;IF(D1750=0,"","."&amp;IF(C1750-ROUNDDOWN(C1750,0)=0,LEFT("0000000000",D1750),TEXT((C1750-ROUNDDOWN(C1750,0))*(1&amp; LEFT("0000000000",$D1750)),LEFT("0000000000",$D1750)))),C1750))))</f>
        <v/>
      </c>
      <c r="C1750" s="665"/>
      <c r="D1750" s="655">
        <v>0</v>
      </c>
      <c r="E1750" s="236"/>
      <c r="F1750" s="232" t="s">
        <v>2538</v>
      </c>
      <c r="G1750" s="239"/>
      <c r="H1750" s="652"/>
      <c r="I1750" s="656"/>
      <c r="J1750" s="654"/>
    </row>
    <row r="1751" spans="1:10" x14ac:dyDescent="0.35">
      <c r="A1751" s="615" t="s">
        <v>4322</v>
      </c>
      <c r="B1751" s="616" t="str">
        <f t="shared" si="27"/>
        <v/>
      </c>
      <c r="C1751" s="665"/>
      <c r="D1751" s="651">
        <v>2</v>
      </c>
      <c r="E1751" s="236"/>
      <c r="F1751" s="232" t="s">
        <v>2572</v>
      </c>
      <c r="G1751" s="239"/>
      <c r="H1751" s="652"/>
      <c r="I1751" s="656"/>
      <c r="J1751" s="654"/>
    </row>
    <row r="1752" spans="1:10" x14ac:dyDescent="0.35">
      <c r="A1752" s="615" t="s">
        <v>4323</v>
      </c>
      <c r="B1752" s="616" t="str">
        <f t="shared" si="27"/>
        <v/>
      </c>
      <c r="C1752" s="665"/>
      <c r="D1752" s="651">
        <v>2</v>
      </c>
      <c r="E1752" s="236"/>
      <c r="F1752" s="232" t="s">
        <v>2572</v>
      </c>
      <c r="G1752" s="239"/>
      <c r="H1752" s="652"/>
      <c r="I1752" s="656"/>
      <c r="J1752" s="654"/>
    </row>
    <row r="1753" spans="1:10" x14ac:dyDescent="0.35">
      <c r="A1753" s="615" t="s">
        <v>4324</v>
      </c>
      <c r="B1753" s="616" t="str">
        <f t="shared" si="27"/>
        <v/>
      </c>
      <c r="C1753" s="665"/>
      <c r="D1753" s="651">
        <v>2</v>
      </c>
      <c r="E1753" s="236"/>
      <c r="F1753" s="232" t="s">
        <v>2572</v>
      </c>
      <c r="G1753" s="239"/>
      <c r="H1753" s="652"/>
      <c r="I1753" s="656"/>
      <c r="J1753" s="654"/>
    </row>
    <row r="1754" spans="1:10" x14ac:dyDescent="0.35">
      <c r="A1754" s="615" t="s">
        <v>4325</v>
      </c>
      <c r="B1754" s="616" t="str">
        <f t="shared" si="27"/>
        <v/>
      </c>
      <c r="C1754" s="665"/>
      <c r="D1754" s="651">
        <v>2</v>
      </c>
      <c r="E1754" s="236"/>
      <c r="F1754" s="232" t="s">
        <v>2572</v>
      </c>
      <c r="G1754" s="239"/>
      <c r="H1754" s="652"/>
      <c r="I1754" s="656"/>
      <c r="J1754" s="654"/>
    </row>
    <row r="1755" spans="1:10" x14ac:dyDescent="0.35">
      <c r="A1755" s="615" t="s">
        <v>4326</v>
      </c>
      <c r="B1755" s="616" t="str">
        <f t="shared" si="27"/>
        <v/>
      </c>
      <c r="C1755" s="665"/>
      <c r="D1755" s="651">
        <v>2</v>
      </c>
      <c r="E1755" s="236"/>
      <c r="F1755" s="232" t="s">
        <v>2572</v>
      </c>
      <c r="G1755" s="239"/>
      <c r="H1755" s="652"/>
      <c r="I1755" s="656"/>
      <c r="J1755" s="654"/>
    </row>
    <row r="1756" spans="1:10" x14ac:dyDescent="0.35">
      <c r="A1756" s="615" t="s">
        <v>4327</v>
      </c>
      <c r="B1756" s="616" t="str">
        <f t="shared" si="27"/>
        <v/>
      </c>
      <c r="C1756" s="665"/>
      <c r="D1756" s="655">
        <v>6</v>
      </c>
      <c r="E1756" s="236"/>
      <c r="F1756" s="232" t="s">
        <v>2579</v>
      </c>
      <c r="G1756" s="239" t="s">
        <v>2583</v>
      </c>
      <c r="H1756" s="652"/>
      <c r="I1756" s="656"/>
      <c r="J1756" s="654"/>
    </row>
    <row r="1757" spans="1:10" x14ac:dyDescent="0.35">
      <c r="A1757" s="615" t="s">
        <v>4328</v>
      </c>
      <c r="B1757" s="616" t="str">
        <f t="shared" si="27"/>
        <v/>
      </c>
      <c r="C1757" s="665"/>
      <c r="D1757" s="655" t="s">
        <v>75</v>
      </c>
      <c r="E1757" s="236"/>
      <c r="F1757" s="232" t="s">
        <v>76</v>
      </c>
      <c r="G1757" s="239"/>
      <c r="H1757" s="652"/>
      <c r="I1757" s="656"/>
      <c r="J1757" s="654"/>
    </row>
    <row r="1758" spans="1:10" x14ac:dyDescent="0.35">
      <c r="A1758" s="615" t="s">
        <v>4329</v>
      </c>
      <c r="B1758" s="616" t="str">
        <f t="shared" si="27"/>
        <v/>
      </c>
      <c r="C1758" s="665"/>
      <c r="D1758" s="655">
        <v>2</v>
      </c>
      <c r="E1758" s="236"/>
      <c r="F1758" s="232" t="s">
        <v>2539</v>
      </c>
      <c r="G1758" s="239" t="s">
        <v>2585</v>
      </c>
      <c r="H1758" s="652"/>
      <c r="I1758" s="656"/>
      <c r="J1758" s="654"/>
    </row>
    <row r="1759" spans="1:10" x14ac:dyDescent="0.35">
      <c r="A1759" s="615" t="s">
        <v>4330</v>
      </c>
      <c r="B1759" s="616" t="str">
        <f t="shared" si="27"/>
        <v/>
      </c>
      <c r="C1759" s="665"/>
      <c r="D1759" s="655">
        <v>2</v>
      </c>
      <c r="E1759" s="236"/>
      <c r="F1759" s="232" t="s">
        <v>2539</v>
      </c>
      <c r="G1759" s="239" t="s">
        <v>2585</v>
      </c>
      <c r="H1759" s="652"/>
      <c r="I1759" s="656"/>
      <c r="J1759" s="654"/>
    </row>
    <row r="1760" spans="1:10" x14ac:dyDescent="0.35">
      <c r="A1760" s="615" t="s">
        <v>4331</v>
      </c>
      <c r="B1760" s="616" t="str">
        <f t="shared" si="27"/>
        <v/>
      </c>
      <c r="C1760" s="665"/>
      <c r="D1760" s="655">
        <v>2</v>
      </c>
      <c r="E1760" s="236"/>
      <c r="F1760" s="232" t="s">
        <v>2539</v>
      </c>
      <c r="G1760" s="239" t="s">
        <v>2585</v>
      </c>
      <c r="H1760" s="652"/>
      <c r="I1760" s="656"/>
      <c r="J1760" s="654"/>
    </row>
    <row r="1761" spans="1:10" x14ac:dyDescent="0.35">
      <c r="A1761" s="615" t="s">
        <v>4332</v>
      </c>
      <c r="B1761" s="616" t="str">
        <f t="shared" si="27"/>
        <v/>
      </c>
      <c r="C1761" s="665"/>
      <c r="D1761" s="655">
        <v>2</v>
      </c>
      <c r="E1761" s="236"/>
      <c r="F1761" s="232" t="s">
        <v>2539</v>
      </c>
      <c r="G1761" s="239" t="s">
        <v>2585</v>
      </c>
      <c r="H1761" s="652"/>
      <c r="I1761" s="656"/>
      <c r="J1761" s="654"/>
    </row>
    <row r="1762" spans="1:10" x14ac:dyDescent="0.35">
      <c r="A1762" s="615" t="s">
        <v>4333</v>
      </c>
      <c r="B1762" s="616" t="str">
        <f t="shared" si="27"/>
        <v/>
      </c>
      <c r="C1762" s="665"/>
      <c r="D1762" s="655">
        <v>2</v>
      </c>
      <c r="E1762" s="236"/>
      <c r="F1762" s="232" t="s">
        <v>2539</v>
      </c>
      <c r="G1762" s="239" t="s">
        <v>2585</v>
      </c>
      <c r="H1762" s="652"/>
      <c r="I1762" s="656"/>
      <c r="J1762" s="654"/>
    </row>
    <row r="1763" spans="1:10" x14ac:dyDescent="0.35">
      <c r="A1763" s="615" t="s">
        <v>4334</v>
      </c>
      <c r="B1763" s="616" t="str">
        <f t="shared" si="27"/>
        <v/>
      </c>
      <c r="C1763" s="665"/>
      <c r="D1763" s="655">
        <v>2</v>
      </c>
      <c r="E1763" s="236"/>
      <c r="F1763" s="232" t="s">
        <v>2539</v>
      </c>
      <c r="G1763" s="239" t="s">
        <v>2585</v>
      </c>
      <c r="H1763" s="652"/>
      <c r="I1763" s="656"/>
      <c r="J1763" s="654"/>
    </row>
    <row r="1764" spans="1:10" ht="48" x14ac:dyDescent="0.35">
      <c r="A1764" s="615" t="s">
        <v>4335</v>
      </c>
      <c r="B1764" s="616" t="str">
        <f t="shared" si="27"/>
        <v/>
      </c>
      <c r="C1764" s="665"/>
      <c r="D1764" s="655" t="s">
        <v>75</v>
      </c>
      <c r="E1764" s="236"/>
      <c r="F1764" s="232" t="s">
        <v>76</v>
      </c>
      <c r="G1764" s="657" t="s">
        <v>2591</v>
      </c>
      <c r="H1764" s="652"/>
      <c r="I1764" s="656"/>
      <c r="J1764" s="654"/>
    </row>
    <row r="1765" spans="1:10" x14ac:dyDescent="0.35">
      <c r="A1765" s="615" t="s">
        <v>4336</v>
      </c>
      <c r="B1765" s="616" t="str">
        <f t="shared" si="27"/>
        <v/>
      </c>
      <c r="C1765" s="665"/>
      <c r="D1765" s="655">
        <v>2</v>
      </c>
      <c r="E1765" s="236"/>
      <c r="F1765" s="232" t="s">
        <v>2539</v>
      </c>
      <c r="G1765" s="239"/>
      <c r="H1765" s="652"/>
      <c r="I1765" s="656"/>
      <c r="J1765" s="654"/>
    </row>
    <row r="1766" spans="1:10" x14ac:dyDescent="0.35">
      <c r="A1766" s="615" t="s">
        <v>4337</v>
      </c>
      <c r="B1766" s="616" t="str">
        <f t="shared" si="27"/>
        <v/>
      </c>
      <c r="C1766" s="665"/>
      <c r="D1766" s="655">
        <v>0</v>
      </c>
      <c r="E1766" s="236"/>
      <c r="F1766" s="232" t="s">
        <v>2538</v>
      </c>
      <c r="G1766" s="239"/>
      <c r="H1766" s="652"/>
      <c r="I1766" s="656"/>
      <c r="J1766" s="654"/>
    </row>
    <row r="1767" spans="1:10" x14ac:dyDescent="0.35">
      <c r="A1767" s="615" t="s">
        <v>4338</v>
      </c>
      <c r="B1767" s="616" t="str">
        <f t="shared" si="27"/>
        <v/>
      </c>
      <c r="C1767" s="665"/>
      <c r="D1767" s="655">
        <v>0</v>
      </c>
      <c r="E1767" s="236"/>
      <c r="F1767" s="232" t="s">
        <v>2538</v>
      </c>
      <c r="G1767" s="239"/>
      <c r="H1767" s="652"/>
      <c r="I1767" s="656"/>
      <c r="J1767" s="654"/>
    </row>
    <row r="1768" spans="1:10" x14ac:dyDescent="0.35">
      <c r="A1768" s="615" t="s">
        <v>4339</v>
      </c>
      <c r="B1768" s="616" t="str">
        <f t="shared" si="27"/>
        <v/>
      </c>
      <c r="C1768" s="665"/>
      <c r="D1768" s="655">
        <v>0</v>
      </c>
      <c r="E1768" s="236"/>
      <c r="F1768" s="232" t="s">
        <v>2538</v>
      </c>
      <c r="G1768" s="239"/>
      <c r="H1768" s="652"/>
      <c r="I1768" s="656"/>
      <c r="J1768" s="654"/>
    </row>
    <row r="1769" spans="1:10" x14ac:dyDescent="0.35">
      <c r="A1769" s="615" t="s">
        <v>4340</v>
      </c>
      <c r="B1769" s="616" t="str">
        <f t="shared" si="27"/>
        <v/>
      </c>
      <c r="C1769" s="665"/>
      <c r="D1769" s="651">
        <v>2</v>
      </c>
      <c r="E1769" s="236"/>
      <c r="F1769" s="232" t="s">
        <v>2572</v>
      </c>
      <c r="G1769" s="239"/>
      <c r="H1769" s="652"/>
      <c r="I1769" s="656"/>
      <c r="J1769" s="654"/>
    </row>
    <row r="1770" spans="1:10" x14ac:dyDescent="0.35">
      <c r="A1770" s="615" t="s">
        <v>4341</v>
      </c>
      <c r="B1770" s="616" t="str">
        <f t="shared" si="27"/>
        <v/>
      </c>
      <c r="C1770" s="665"/>
      <c r="D1770" s="651">
        <v>2</v>
      </c>
      <c r="E1770" s="236"/>
      <c r="F1770" s="232" t="s">
        <v>2572</v>
      </c>
      <c r="G1770" s="239"/>
      <c r="H1770" s="652"/>
      <c r="I1770" s="656"/>
      <c r="J1770" s="654"/>
    </row>
    <row r="1771" spans="1:10" x14ac:dyDescent="0.35">
      <c r="A1771" s="615" t="s">
        <v>4342</v>
      </c>
      <c r="B1771" s="616" t="str">
        <f t="shared" si="27"/>
        <v/>
      </c>
      <c r="C1771" s="665"/>
      <c r="D1771" s="651">
        <v>2</v>
      </c>
      <c r="E1771" s="236"/>
      <c r="F1771" s="232" t="s">
        <v>2572</v>
      </c>
      <c r="G1771" s="239"/>
      <c r="H1771" s="652"/>
      <c r="I1771" s="656"/>
      <c r="J1771" s="654"/>
    </row>
    <row r="1772" spans="1:10" x14ac:dyDescent="0.35">
      <c r="A1772" s="615" t="s">
        <v>4343</v>
      </c>
      <c r="B1772" s="616" t="str">
        <f t="shared" si="27"/>
        <v/>
      </c>
      <c r="C1772" s="665"/>
      <c r="D1772" s="651">
        <v>2</v>
      </c>
      <c r="E1772" s="236"/>
      <c r="F1772" s="232" t="s">
        <v>2572</v>
      </c>
      <c r="G1772" s="239"/>
      <c r="H1772" s="652"/>
      <c r="I1772" s="656"/>
      <c r="J1772" s="654"/>
    </row>
    <row r="1773" spans="1:10" x14ac:dyDescent="0.35">
      <c r="A1773" s="615" t="s">
        <v>4344</v>
      </c>
      <c r="B1773" s="616" t="str">
        <f t="shared" si="27"/>
        <v/>
      </c>
      <c r="C1773" s="665"/>
      <c r="D1773" s="651">
        <v>2</v>
      </c>
      <c r="E1773" s="236"/>
      <c r="F1773" s="232" t="s">
        <v>2572</v>
      </c>
      <c r="G1773" s="239"/>
      <c r="H1773" s="652"/>
      <c r="I1773" s="656"/>
      <c r="J1773" s="654"/>
    </row>
    <row r="1774" spans="1:10" x14ac:dyDescent="0.35">
      <c r="A1774" s="615" t="s">
        <v>4345</v>
      </c>
      <c r="B1774" s="616" t="str">
        <f t="shared" si="27"/>
        <v/>
      </c>
      <c r="C1774" s="665"/>
      <c r="D1774" s="655">
        <v>6</v>
      </c>
      <c r="E1774" s="236"/>
      <c r="F1774" s="232" t="s">
        <v>2579</v>
      </c>
      <c r="G1774" s="239" t="s">
        <v>2583</v>
      </c>
      <c r="H1774" s="652"/>
      <c r="I1774" s="656"/>
      <c r="J1774" s="654"/>
    </row>
    <row r="1775" spans="1:10" x14ac:dyDescent="0.35">
      <c r="A1775" s="615" t="s">
        <v>4346</v>
      </c>
      <c r="B1775" s="616" t="str">
        <f t="shared" si="27"/>
        <v/>
      </c>
      <c r="C1775" s="665"/>
      <c r="D1775" s="655" t="s">
        <v>75</v>
      </c>
      <c r="E1775" s="236"/>
      <c r="F1775" s="232" t="s">
        <v>76</v>
      </c>
      <c r="G1775" s="239"/>
      <c r="H1775" s="652"/>
      <c r="I1775" s="656"/>
      <c r="J1775" s="654"/>
    </row>
    <row r="1776" spans="1:10" x14ac:dyDescent="0.35">
      <c r="A1776" s="615" t="s">
        <v>4347</v>
      </c>
      <c r="B1776" s="616" t="str">
        <f t="shared" si="27"/>
        <v/>
      </c>
      <c r="C1776" s="665"/>
      <c r="D1776" s="655">
        <v>2</v>
      </c>
      <c r="E1776" s="236"/>
      <c r="F1776" s="232" t="s">
        <v>2539</v>
      </c>
      <c r="G1776" s="239" t="s">
        <v>2585</v>
      </c>
      <c r="H1776" s="652"/>
      <c r="I1776" s="656"/>
      <c r="J1776" s="654"/>
    </row>
    <row r="1777" spans="1:10" x14ac:dyDescent="0.35">
      <c r="A1777" s="615" t="s">
        <v>4348</v>
      </c>
      <c r="B1777" s="616" t="str">
        <f t="shared" si="27"/>
        <v/>
      </c>
      <c r="C1777" s="665"/>
      <c r="D1777" s="655">
        <v>2</v>
      </c>
      <c r="E1777" s="236"/>
      <c r="F1777" s="232" t="s">
        <v>2539</v>
      </c>
      <c r="G1777" s="239" t="s">
        <v>2585</v>
      </c>
      <c r="H1777" s="652"/>
      <c r="I1777" s="656"/>
      <c r="J1777" s="654"/>
    </row>
    <row r="1778" spans="1:10" x14ac:dyDescent="0.35">
      <c r="A1778" s="615" t="s">
        <v>4349</v>
      </c>
      <c r="B1778" s="616" t="str">
        <f t="shared" si="27"/>
        <v/>
      </c>
      <c r="C1778" s="665"/>
      <c r="D1778" s="655">
        <v>2</v>
      </c>
      <c r="E1778" s="236"/>
      <c r="F1778" s="232" t="s">
        <v>2539</v>
      </c>
      <c r="G1778" s="239" t="s">
        <v>2585</v>
      </c>
      <c r="H1778" s="652"/>
      <c r="I1778" s="656"/>
      <c r="J1778" s="654"/>
    </row>
    <row r="1779" spans="1:10" x14ac:dyDescent="0.35">
      <c r="A1779" s="615" t="s">
        <v>4350</v>
      </c>
      <c r="B1779" s="616" t="str">
        <f t="shared" si="27"/>
        <v/>
      </c>
      <c r="C1779" s="665"/>
      <c r="D1779" s="655">
        <v>2</v>
      </c>
      <c r="E1779" s="236"/>
      <c r="F1779" s="232" t="s">
        <v>2539</v>
      </c>
      <c r="G1779" s="239" t="s">
        <v>2585</v>
      </c>
      <c r="H1779" s="652"/>
      <c r="I1779" s="656"/>
      <c r="J1779" s="654"/>
    </row>
    <row r="1780" spans="1:10" x14ac:dyDescent="0.35">
      <c r="A1780" s="615" t="s">
        <v>4351</v>
      </c>
      <c r="B1780" s="616" t="str">
        <f t="shared" si="27"/>
        <v/>
      </c>
      <c r="C1780" s="665"/>
      <c r="D1780" s="655">
        <v>2</v>
      </c>
      <c r="E1780" s="236"/>
      <c r="F1780" s="232" t="s">
        <v>2539</v>
      </c>
      <c r="G1780" s="239" t="s">
        <v>2585</v>
      </c>
      <c r="H1780" s="652"/>
      <c r="I1780" s="656"/>
      <c r="J1780" s="654"/>
    </row>
    <row r="1781" spans="1:10" x14ac:dyDescent="0.35">
      <c r="A1781" s="615" t="s">
        <v>4352</v>
      </c>
      <c r="B1781" s="616" t="str">
        <f t="shared" si="27"/>
        <v/>
      </c>
      <c r="C1781" s="665"/>
      <c r="D1781" s="655">
        <v>2</v>
      </c>
      <c r="E1781" s="236"/>
      <c r="F1781" s="232" t="s">
        <v>2539</v>
      </c>
      <c r="G1781" s="239" t="s">
        <v>2585</v>
      </c>
      <c r="H1781" s="652"/>
      <c r="I1781" s="656"/>
      <c r="J1781" s="654"/>
    </row>
    <row r="1782" spans="1:10" ht="48" x14ac:dyDescent="0.35">
      <c r="A1782" s="615" t="s">
        <v>4353</v>
      </c>
      <c r="B1782" s="616" t="str">
        <f t="shared" si="27"/>
        <v/>
      </c>
      <c r="C1782" s="665"/>
      <c r="D1782" s="655" t="s">
        <v>75</v>
      </c>
      <c r="E1782" s="236"/>
      <c r="F1782" s="232" t="s">
        <v>76</v>
      </c>
      <c r="G1782" s="657" t="s">
        <v>2591</v>
      </c>
      <c r="H1782" s="652"/>
      <c r="I1782" s="656"/>
      <c r="J1782" s="654"/>
    </row>
    <row r="1783" spans="1:10" x14ac:dyDescent="0.35">
      <c r="A1783" s="615" t="s">
        <v>4354</v>
      </c>
      <c r="B1783" s="616" t="str">
        <f t="shared" si="27"/>
        <v/>
      </c>
      <c r="C1783" s="665"/>
      <c r="D1783" s="655">
        <v>2</v>
      </c>
      <c r="E1783" s="236"/>
      <c r="F1783" s="232" t="s">
        <v>2539</v>
      </c>
      <c r="G1783" s="239"/>
      <c r="H1783" s="652"/>
      <c r="I1783" s="656"/>
      <c r="J1783" s="654"/>
    </row>
    <row r="1784" spans="1:10" x14ac:dyDescent="0.35">
      <c r="A1784" s="615" t="s">
        <v>4355</v>
      </c>
      <c r="B1784" s="616" t="str">
        <f t="shared" si="27"/>
        <v/>
      </c>
      <c r="C1784" s="665"/>
      <c r="D1784" s="655">
        <v>0</v>
      </c>
      <c r="E1784" s="236"/>
      <c r="F1784" s="232" t="s">
        <v>2538</v>
      </c>
      <c r="G1784" s="239"/>
      <c r="H1784" s="652"/>
      <c r="I1784" s="656"/>
      <c r="J1784" s="654"/>
    </row>
    <row r="1785" spans="1:10" x14ac:dyDescent="0.35">
      <c r="A1785" s="615" t="s">
        <v>4356</v>
      </c>
      <c r="B1785" s="616" t="str">
        <f t="shared" si="27"/>
        <v/>
      </c>
      <c r="C1785" s="665"/>
      <c r="D1785" s="655">
        <v>0</v>
      </c>
      <c r="E1785" s="236"/>
      <c r="F1785" s="232" t="s">
        <v>2538</v>
      </c>
      <c r="G1785" s="239"/>
      <c r="H1785" s="652"/>
      <c r="I1785" s="656"/>
      <c r="J1785" s="654"/>
    </row>
    <row r="1786" spans="1:10" x14ac:dyDescent="0.35">
      <c r="A1786" s="615" t="s">
        <v>4357</v>
      </c>
      <c r="B1786" s="616" t="str">
        <f t="shared" si="27"/>
        <v/>
      </c>
      <c r="C1786" s="665"/>
      <c r="D1786" s="655">
        <v>0</v>
      </c>
      <c r="E1786" s="236"/>
      <c r="F1786" s="232" t="s">
        <v>2538</v>
      </c>
      <c r="G1786" s="239"/>
      <c r="H1786" s="652"/>
      <c r="I1786" s="656"/>
      <c r="J1786" s="654"/>
    </row>
    <row r="1787" spans="1:10" x14ac:dyDescent="0.35">
      <c r="A1787" s="669" t="s">
        <v>4358</v>
      </c>
      <c r="B1787" s="616" t="str">
        <f t="shared" si="27"/>
        <v/>
      </c>
      <c r="C1787" s="665"/>
      <c r="D1787" s="670">
        <v>2</v>
      </c>
      <c r="E1787" s="236"/>
      <c r="F1787" s="232" t="s">
        <v>2572</v>
      </c>
      <c r="G1787" s="239"/>
      <c r="H1787" s="652"/>
      <c r="I1787" s="656"/>
      <c r="J1787" s="654"/>
    </row>
    <row r="1788" spans="1:10" x14ac:dyDescent="0.35">
      <c r="A1788" s="615" t="s">
        <v>4359</v>
      </c>
      <c r="B1788" s="616" t="str">
        <f t="shared" si="27"/>
        <v/>
      </c>
      <c r="C1788" s="665"/>
      <c r="D1788" s="651">
        <v>2</v>
      </c>
      <c r="E1788" s="236"/>
      <c r="F1788" s="232" t="s">
        <v>2572</v>
      </c>
      <c r="G1788" s="239"/>
      <c r="H1788" s="652"/>
      <c r="I1788" s="656"/>
      <c r="J1788" s="654"/>
    </row>
    <row r="1789" spans="1:10" x14ac:dyDescent="0.35">
      <c r="A1789" s="615" t="s">
        <v>4360</v>
      </c>
      <c r="B1789" s="616" t="str">
        <f t="shared" si="27"/>
        <v/>
      </c>
      <c r="C1789" s="665"/>
      <c r="D1789" s="651">
        <v>2</v>
      </c>
      <c r="E1789" s="236"/>
      <c r="F1789" s="251" t="s">
        <v>2572</v>
      </c>
      <c r="G1789" s="233"/>
      <c r="H1789" s="652"/>
      <c r="I1789" s="656"/>
      <c r="J1789" s="671"/>
    </row>
    <row r="1790" spans="1:10" x14ac:dyDescent="0.35">
      <c r="A1790" s="615" t="s">
        <v>4361</v>
      </c>
      <c r="B1790" s="616" t="str">
        <f t="shared" si="27"/>
        <v/>
      </c>
      <c r="C1790" s="665"/>
      <c r="D1790" s="651">
        <v>2</v>
      </c>
      <c r="E1790" s="236"/>
      <c r="F1790" s="251" t="s">
        <v>2572</v>
      </c>
      <c r="G1790" s="233"/>
      <c r="H1790" s="652"/>
      <c r="I1790" s="656"/>
      <c r="J1790" s="671"/>
    </row>
    <row r="1791" spans="1:10" x14ac:dyDescent="0.35">
      <c r="A1791" s="615" t="s">
        <v>4362</v>
      </c>
      <c r="B1791" s="616" t="str">
        <f t="shared" si="27"/>
        <v/>
      </c>
      <c r="C1791" s="665"/>
      <c r="D1791" s="651">
        <v>2</v>
      </c>
      <c r="E1791" s="236"/>
      <c r="F1791" s="251" t="s">
        <v>2572</v>
      </c>
      <c r="G1791" s="233"/>
      <c r="H1791" s="652"/>
      <c r="I1791" s="656"/>
      <c r="J1791" s="671"/>
    </row>
    <row r="1792" spans="1:10" x14ac:dyDescent="0.35">
      <c r="A1792" s="615" t="s">
        <v>4363</v>
      </c>
      <c r="B1792" s="616" t="str">
        <f t="shared" si="27"/>
        <v/>
      </c>
      <c r="C1792" s="665"/>
      <c r="D1792" s="655">
        <v>6</v>
      </c>
      <c r="E1792" s="236"/>
      <c r="F1792" s="232" t="s">
        <v>2579</v>
      </c>
      <c r="G1792" s="239"/>
      <c r="H1792" s="652"/>
      <c r="I1792" s="656"/>
      <c r="J1792" s="654"/>
    </row>
    <row r="1793" spans="1:10" x14ac:dyDescent="0.35">
      <c r="A1793" s="615" t="s">
        <v>4364</v>
      </c>
      <c r="B1793" s="616" t="str">
        <f t="shared" si="27"/>
        <v/>
      </c>
      <c r="C1793" s="665"/>
      <c r="D1793" s="655" t="s">
        <v>75</v>
      </c>
      <c r="E1793" s="236"/>
      <c r="F1793" s="232" t="s">
        <v>76</v>
      </c>
      <c r="G1793" s="239"/>
      <c r="H1793" s="652"/>
      <c r="I1793" s="656"/>
      <c r="J1793" s="654"/>
    </row>
    <row r="1794" spans="1:10" x14ac:dyDescent="0.35">
      <c r="A1794" s="615" t="s">
        <v>4365</v>
      </c>
      <c r="B1794" s="616" t="str">
        <f t="shared" si="27"/>
        <v/>
      </c>
      <c r="C1794" s="665"/>
      <c r="D1794" s="655">
        <v>2</v>
      </c>
      <c r="E1794" s="236"/>
      <c r="F1794" s="232" t="s">
        <v>2539</v>
      </c>
      <c r="G1794" s="239" t="s">
        <v>2585</v>
      </c>
      <c r="H1794" s="652"/>
      <c r="I1794" s="656"/>
      <c r="J1794" s="654"/>
    </row>
    <row r="1795" spans="1:10" x14ac:dyDescent="0.35">
      <c r="A1795" s="615" t="s">
        <v>4366</v>
      </c>
      <c r="B1795" s="616" t="str">
        <f t="shared" si="27"/>
        <v/>
      </c>
      <c r="C1795" s="665"/>
      <c r="D1795" s="655">
        <v>2</v>
      </c>
      <c r="E1795" s="236"/>
      <c r="F1795" s="232" t="s">
        <v>2539</v>
      </c>
      <c r="G1795" s="239" t="s">
        <v>2585</v>
      </c>
      <c r="H1795" s="652"/>
      <c r="I1795" s="656"/>
      <c r="J1795" s="654"/>
    </row>
    <row r="1796" spans="1:10" x14ac:dyDescent="0.35">
      <c r="A1796" s="615" t="s">
        <v>4367</v>
      </c>
      <c r="B1796" s="616" t="str">
        <f t="shared" si="27"/>
        <v/>
      </c>
      <c r="C1796" s="665"/>
      <c r="D1796" s="655">
        <v>2</v>
      </c>
      <c r="E1796" s="236"/>
      <c r="F1796" s="232" t="s">
        <v>2539</v>
      </c>
      <c r="G1796" s="239" t="s">
        <v>2585</v>
      </c>
      <c r="H1796" s="652"/>
      <c r="I1796" s="656"/>
      <c r="J1796" s="654"/>
    </row>
    <row r="1797" spans="1:10" x14ac:dyDescent="0.35">
      <c r="A1797" s="615" t="s">
        <v>4368</v>
      </c>
      <c r="B1797" s="616" t="str">
        <f t="shared" si="27"/>
        <v/>
      </c>
      <c r="C1797" s="665"/>
      <c r="D1797" s="655">
        <v>2</v>
      </c>
      <c r="E1797" s="236"/>
      <c r="F1797" s="232" t="s">
        <v>2539</v>
      </c>
      <c r="G1797" s="239" t="s">
        <v>2585</v>
      </c>
      <c r="H1797" s="652"/>
      <c r="I1797" s="656"/>
      <c r="J1797" s="654"/>
    </row>
    <row r="1798" spans="1:10" x14ac:dyDescent="0.35">
      <c r="A1798" s="615" t="s">
        <v>4369</v>
      </c>
      <c r="B1798" s="616" t="str">
        <f t="shared" si="27"/>
        <v/>
      </c>
      <c r="C1798" s="665"/>
      <c r="D1798" s="655">
        <v>2</v>
      </c>
      <c r="E1798" s="236"/>
      <c r="F1798" s="232" t="s">
        <v>2539</v>
      </c>
      <c r="G1798" s="239" t="s">
        <v>2585</v>
      </c>
      <c r="H1798" s="652"/>
      <c r="I1798" s="656"/>
      <c r="J1798" s="654"/>
    </row>
    <row r="1799" spans="1:10" x14ac:dyDescent="0.35">
      <c r="A1799" s="615" t="s">
        <v>4370</v>
      </c>
      <c r="B1799" s="616" t="str">
        <f t="shared" si="27"/>
        <v/>
      </c>
      <c r="C1799" s="665"/>
      <c r="D1799" s="655">
        <v>2</v>
      </c>
      <c r="E1799" s="236"/>
      <c r="F1799" s="232" t="s">
        <v>2539</v>
      </c>
      <c r="G1799" s="239" t="s">
        <v>2585</v>
      </c>
      <c r="H1799" s="652"/>
      <c r="I1799" s="656"/>
      <c r="J1799" s="654"/>
    </row>
    <row r="1800" spans="1:10" ht="48" x14ac:dyDescent="0.35">
      <c r="A1800" s="615" t="s">
        <v>4371</v>
      </c>
      <c r="B1800" s="616" t="str">
        <f t="shared" si="27"/>
        <v/>
      </c>
      <c r="C1800" s="665"/>
      <c r="D1800" s="655" t="s">
        <v>75</v>
      </c>
      <c r="E1800" s="236"/>
      <c r="F1800" s="232" t="s">
        <v>76</v>
      </c>
      <c r="G1800" s="657" t="s">
        <v>2591</v>
      </c>
      <c r="H1800" s="652"/>
      <c r="I1800" s="656"/>
      <c r="J1800" s="654"/>
    </row>
    <row r="1801" spans="1:10" x14ac:dyDescent="0.35">
      <c r="A1801" s="615" t="s">
        <v>4372</v>
      </c>
      <c r="B1801" s="616" t="str">
        <f t="shared" si="27"/>
        <v/>
      </c>
      <c r="C1801" s="665"/>
      <c r="D1801" s="655">
        <v>2</v>
      </c>
      <c r="E1801" s="236"/>
      <c r="F1801" s="232" t="s">
        <v>2539</v>
      </c>
      <c r="G1801" s="239"/>
      <c r="H1801" s="652"/>
      <c r="I1801" s="656"/>
      <c r="J1801" s="654"/>
    </row>
  </sheetData>
  <conditionalFormatting sqref="A2:D1801">
    <cfRule type="expression" dxfId="34" priority="8">
      <formula>LEFT($A2,2)&lt;&gt;LEFT($A1,2)</formula>
    </cfRule>
  </conditionalFormatting>
  <conditionalFormatting sqref="A1:E1801">
    <cfRule type="expression" dxfId="33" priority="2">
      <formula>ISERROR(A1)</formula>
    </cfRule>
  </conditionalFormatting>
  <conditionalFormatting sqref="H1:I1801">
    <cfRule type="expression" dxfId="32" priority="1">
      <formula>AND(COUNTIF(H$1:H$1801, H1)&gt;1,H1&lt;&gt;"")</formula>
    </cfRule>
    <cfRule type="expression" dxfId="31" priority="3">
      <formula>AND(COUNTIF(H$1:H$1617, H1)&gt;1,H1&lt;&gt;"")</formula>
    </cfRule>
  </conditionalFormatting>
  <conditionalFormatting sqref="D2:D1801">
    <cfRule type="expression" dxfId="30" priority="4">
      <formula>AND($A2&lt;&gt;"",$D2="")</formula>
    </cfRule>
    <cfRule type="expression" dxfId="29" priority="5">
      <formula>ISERROR($D2*1)</formula>
    </cfRule>
    <cfRule type="expression" dxfId="28" priority="6">
      <formula>D2=0</formula>
    </cfRule>
  </conditionalFormatting>
  <conditionalFormatting sqref="A2:A1801">
    <cfRule type="expression" dxfId="27" priority="7">
      <formula>LEFT($A2,2)&lt;&gt;LEFT($A1,2)</formula>
    </cfRule>
    <cfRule type="expression" dxfId="26" priority="9">
      <formula>LEFT($A2,10)&lt;&gt;LEFT($A1,10)</formula>
    </cfRule>
  </conditionalFormatting>
  <conditionalFormatting sqref="H1:I1801">
    <cfRule type="expression" dxfId="25" priority="10">
      <formula>AND(COUNTIF(H$1:H$1801, H1)&gt;1,H1&lt;&gt;"")</formula>
    </cfRule>
    <cfRule type="expression" dxfId="24" priority="11">
      <formula>AND(COUNTIF(H$1:H$1801, H1)&gt;1,H1&lt;&gt;"")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anchor moveWithCells="1" sizeWithCells="1">
                  <from>
                    <xdr:col>9</xdr:col>
                    <xdr:colOff>641350</xdr:colOff>
                    <xdr:row>0</xdr:row>
                    <xdr:rowOff>0</xdr:rowOff>
                  </from>
                  <to>
                    <xdr:col>9</xdr:col>
                    <xdr:colOff>2336800</xdr:colOff>
                    <xdr:row>1</xdr:row>
                    <xdr:rowOff>171450</xdr:rowOff>
                  </to>
                </anchor>
              </controlPr>
            </control>
          </mc:Choice>
        </mc:AlternateContent>
        <mc:AlternateContent xmlns:mc="http://schemas.openxmlformats.org/markup-compatibility/2006">
          <mc:Choice Requires="x14">
            <control shapeId="45058" r:id="rId4" name="Button 2">
              <controlPr defaultSize="0" print="0" autoFill="0" autoPict="0">
                <anchor moveWithCells="1" sizeWithCells="1">
                  <from>
                    <xdr:col>9</xdr:col>
                    <xdr:colOff>641350</xdr:colOff>
                    <xdr:row>0</xdr:row>
                    <xdr:rowOff>0</xdr:rowOff>
                  </from>
                  <to>
                    <xdr:col>9</xdr:col>
                    <xdr:colOff>2336800</xdr:colOff>
                    <xdr:row>1</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BE1B-CC34-4C53-99E4-507E32E43AAC}">
  <sheetPr codeName="Tabelle10">
    <tabColor rgb="FFFFC000"/>
  </sheetPr>
  <dimension ref="A1:J17"/>
  <sheetViews>
    <sheetView topLeftCell="A7" workbookViewId="0">
      <selection activeCell="A13" sqref="A13:F13"/>
    </sheetView>
  </sheetViews>
  <sheetFormatPr baseColWidth="10" defaultColWidth="11.453125" defaultRowHeight="12" x14ac:dyDescent="0.3"/>
  <cols>
    <col min="1" max="1" width="23.7265625" style="614" customWidth="1"/>
    <col min="2" max="2" width="37.7265625" style="614" customWidth="1"/>
    <col min="3" max="3" width="28.81640625" style="609" customWidth="1"/>
    <col min="4" max="4" width="11" style="642" customWidth="1"/>
    <col min="5" max="5" width="5.453125" style="614" bestFit="1" customWidth="1"/>
    <col min="6" max="6" width="28.1796875" style="614" bestFit="1" customWidth="1"/>
    <col min="7" max="7" width="46.453125" style="642" bestFit="1" customWidth="1"/>
    <col min="8" max="8" width="21.453125" style="643" bestFit="1" customWidth="1"/>
    <col min="9" max="9" width="14.7265625" style="644" bestFit="1" customWidth="1"/>
    <col min="10" max="10" width="38.7265625" style="645" customWidth="1"/>
    <col min="11" max="16384" width="11.453125" style="614"/>
  </cols>
  <sheetData>
    <row r="1" spans="1:10" ht="12.5" thickBot="1" x14ac:dyDescent="0.35">
      <c r="A1" s="607" t="s">
        <v>64</v>
      </c>
      <c r="B1" s="608" t="s">
        <v>65</v>
      </c>
      <c r="D1" s="610" t="s">
        <v>66</v>
      </c>
      <c r="E1" s="607" t="s">
        <v>67</v>
      </c>
      <c r="F1" s="607" t="s">
        <v>68</v>
      </c>
      <c r="G1" s="611" t="s">
        <v>69</v>
      </c>
      <c r="H1" s="612" t="s">
        <v>70</v>
      </c>
      <c r="I1" s="612" t="s">
        <v>71</v>
      </c>
      <c r="J1" s="613" t="s">
        <v>72</v>
      </c>
    </row>
    <row r="2" spans="1:10" ht="13" thickTop="1" thickBot="1" x14ac:dyDescent="0.4">
      <c r="A2" s="615" t="s">
        <v>73</v>
      </c>
      <c r="B2" s="616" t="str">
        <f t="shared" ref="B2:B16" si="0">IF(C2="","",IF(D2="Datum",TEXT(DAY(C2),"00")&amp;"."&amp;TEXT(MONTH(C2),"00")&amp;"."&amp;TEXT(YEAR(C2),"0000"),IF(AND(ISNUMBER(C2),D2="x"),TEXT(C2,"@"),IF(ISNUMBER(C2),TEXT(ROUNDDOWN(C2,0),0)&amp;IF(D2=0,"","."&amp;IF(C2-ROUNDDOWN(C2,0)=0,LEFT("0000000000",D2),TEXT((C2-ROUNDDOWN(C2,0))*(1&amp; LEFT("0000000000",$D2)),LEFT("0000000000",$D2)))),C2))))</f>
        <v>Cargo</v>
      </c>
      <c r="C2" s="617" t="s">
        <v>74</v>
      </c>
      <c r="D2" s="618" t="s">
        <v>75</v>
      </c>
      <c r="F2" s="619" t="s">
        <v>76</v>
      </c>
      <c r="G2" s="620"/>
      <c r="H2" s="621"/>
      <c r="I2" s="622"/>
      <c r="J2" s="623"/>
    </row>
    <row r="3" spans="1:10" ht="13" thickTop="1" thickBot="1" x14ac:dyDescent="0.4">
      <c r="A3" s="615" t="s">
        <v>4393</v>
      </c>
      <c r="B3" s="616" t="str">
        <f t="shared" si="0"/>
        <v/>
      </c>
      <c r="C3" s="617"/>
      <c r="D3" s="618" t="s">
        <v>75</v>
      </c>
      <c r="F3" s="619" t="s">
        <v>76</v>
      </c>
      <c r="G3" s="620"/>
      <c r="H3" s="621"/>
      <c r="I3" s="622"/>
      <c r="J3" s="623"/>
    </row>
    <row r="4" spans="1:10" ht="13" thickTop="1" thickBot="1" x14ac:dyDescent="0.4">
      <c r="A4" s="615" t="s">
        <v>77</v>
      </c>
      <c r="B4" s="616" t="str">
        <f t="shared" si="0"/>
        <v>Marine</v>
      </c>
      <c r="C4" s="617" t="s">
        <v>78</v>
      </c>
      <c r="D4" s="618" t="s">
        <v>75</v>
      </c>
      <c r="F4" s="619" t="s">
        <v>76</v>
      </c>
      <c r="G4" s="620"/>
      <c r="H4" s="621"/>
      <c r="I4" s="622"/>
      <c r="J4" s="623"/>
    </row>
    <row r="5" spans="1:10" ht="12.5" thickTop="1" x14ac:dyDescent="0.35">
      <c r="A5" s="615" t="s">
        <v>2553</v>
      </c>
      <c r="B5" s="616" t="str">
        <f t="shared" si="0"/>
        <v/>
      </c>
      <c r="C5" s="624"/>
      <c r="D5" s="658" t="s">
        <v>75</v>
      </c>
      <c r="E5" s="659"/>
      <c r="F5" s="232" t="s">
        <v>76</v>
      </c>
      <c r="G5" s="620"/>
      <c r="H5" s="621"/>
      <c r="I5" s="622"/>
      <c r="J5" s="623"/>
    </row>
    <row r="6" spans="1:10" ht="12.5" thickBot="1" x14ac:dyDescent="0.4">
      <c r="A6" s="615" t="s">
        <v>2554</v>
      </c>
      <c r="B6" s="616" t="str">
        <f t="shared" si="0"/>
        <v/>
      </c>
      <c r="C6" s="625"/>
      <c r="D6" s="618" t="s">
        <v>75</v>
      </c>
      <c r="F6" s="619" t="s">
        <v>76</v>
      </c>
      <c r="G6" s="620"/>
      <c r="H6" s="621"/>
      <c r="I6" s="646"/>
      <c r="J6" s="623"/>
    </row>
    <row r="7" spans="1:10" ht="109" thickTop="1" thickBot="1" x14ac:dyDescent="0.4">
      <c r="A7" s="615" t="s">
        <v>79</v>
      </c>
      <c r="B7" s="626" t="str">
        <f t="shared" si="0"/>
        <v>Turnover</v>
      </c>
      <c r="C7" s="627" t="s">
        <v>80</v>
      </c>
      <c r="D7" s="628" t="s">
        <v>75</v>
      </c>
      <c r="E7" s="629"/>
      <c r="F7" s="619" t="s">
        <v>81</v>
      </c>
      <c r="G7" s="630" t="s">
        <v>82</v>
      </c>
      <c r="H7" s="621"/>
      <c r="I7" s="622"/>
      <c r="J7" s="623"/>
    </row>
    <row r="8" spans="1:10" ht="12.5" thickTop="1" x14ac:dyDescent="0.35">
      <c r="A8" s="615" t="s">
        <v>83</v>
      </c>
      <c r="B8" s="616" t="str">
        <f t="shared" ca="1" si="0"/>
        <v>16212710</v>
      </c>
      <c r="C8" s="631">
        <f ca="1">IF(calc_exposure_transport_total=0,"",calc_exposure_transport_total)</f>
        <v>16212710</v>
      </c>
      <c r="D8" s="618">
        <v>0</v>
      </c>
      <c r="F8" s="619" t="s">
        <v>84</v>
      </c>
      <c r="G8" s="620" t="s">
        <v>85</v>
      </c>
      <c r="H8" s="621" t="s">
        <v>2535</v>
      </c>
      <c r="I8" s="622" t="s">
        <v>2536</v>
      </c>
      <c r="J8" s="623"/>
    </row>
    <row r="9" spans="1:10" x14ac:dyDescent="0.35">
      <c r="A9" s="615" t="s">
        <v>86</v>
      </c>
      <c r="B9" s="616" t="str">
        <f t="shared" si="0"/>
        <v>EUR</v>
      </c>
      <c r="C9" s="624" t="str">
        <f>IF(calc_currency_code="","",calc_currency_code)</f>
        <v>EUR</v>
      </c>
      <c r="D9" s="618" t="s">
        <v>75</v>
      </c>
      <c r="F9" s="619" t="s">
        <v>87</v>
      </c>
      <c r="G9" s="620"/>
      <c r="H9" s="621" t="s">
        <v>2533</v>
      </c>
      <c r="I9" s="622" t="s">
        <v>2534</v>
      </c>
      <c r="J9" s="623"/>
    </row>
    <row r="10" spans="1:10" x14ac:dyDescent="0.35">
      <c r="A10" s="615" t="s">
        <v>2555</v>
      </c>
      <c r="B10" s="616" t="str">
        <f t="shared" si="0"/>
        <v/>
      </c>
      <c r="C10" s="661" t="s">
        <v>2455</v>
      </c>
      <c r="D10" s="658" t="s">
        <v>2556</v>
      </c>
      <c r="E10" s="659"/>
      <c r="F10" s="232" t="s">
        <v>2556</v>
      </c>
      <c r="G10" s="660"/>
      <c r="H10" s="634"/>
      <c r="I10" s="635"/>
      <c r="J10" s="636"/>
    </row>
    <row r="11" spans="1:10" ht="12.5" thickBot="1" x14ac:dyDescent="0.4">
      <c r="A11" s="615" t="s">
        <v>2557</v>
      </c>
      <c r="B11" s="616" t="str">
        <f t="shared" si="0"/>
        <v/>
      </c>
      <c r="C11" s="661" t="s">
        <v>2455</v>
      </c>
      <c r="D11" s="658" t="s">
        <v>2556</v>
      </c>
      <c r="E11" s="659"/>
      <c r="F11" s="232" t="s">
        <v>2556</v>
      </c>
      <c r="G11" s="660"/>
      <c r="H11" s="634"/>
      <c r="I11" s="635"/>
      <c r="J11" s="636"/>
    </row>
    <row r="12" spans="1:10" ht="85" thickTop="1" thickBot="1" x14ac:dyDescent="0.4">
      <c r="A12" s="615" t="s">
        <v>88</v>
      </c>
      <c r="B12" s="616" t="str">
        <f t="shared" si="0"/>
        <v>Tariff (exposure-based)</v>
      </c>
      <c r="C12" s="627" t="s">
        <v>89</v>
      </c>
      <c r="D12" s="618" t="s">
        <v>75</v>
      </c>
      <c r="F12" s="632" t="s">
        <v>76</v>
      </c>
      <c r="G12" s="633" t="s">
        <v>90</v>
      </c>
      <c r="H12" s="634"/>
      <c r="I12" s="635"/>
      <c r="J12" s="636"/>
    </row>
    <row r="13" spans="1:10" ht="12.5" thickTop="1" x14ac:dyDescent="0.35">
      <c r="A13" s="615" t="s">
        <v>2560</v>
      </c>
      <c r="B13" s="616"/>
      <c r="C13" s="637"/>
      <c r="D13" s="658" t="s">
        <v>75</v>
      </c>
      <c r="E13" s="659"/>
      <c r="F13" s="662" t="s">
        <v>76</v>
      </c>
      <c r="G13" s="239"/>
      <c r="H13" s="639"/>
      <c r="I13" s="622"/>
      <c r="J13" s="621"/>
    </row>
    <row r="14" spans="1:10" ht="48" x14ac:dyDescent="0.35">
      <c r="A14" s="615" t="s">
        <v>2558</v>
      </c>
      <c r="B14" s="616" t="str">
        <f t="shared" si="0"/>
        <v/>
      </c>
      <c r="C14" s="637"/>
      <c r="D14" s="658" t="s">
        <v>75</v>
      </c>
      <c r="E14" s="659"/>
      <c r="F14" s="662" t="s">
        <v>76</v>
      </c>
      <c r="G14" s="657" t="s">
        <v>2559</v>
      </c>
      <c r="H14" s="639"/>
      <c r="I14" s="622"/>
      <c r="J14" s="621"/>
    </row>
    <row r="15" spans="1:10" ht="36.5" thickBot="1" x14ac:dyDescent="0.4">
      <c r="A15" s="615" t="s">
        <v>92</v>
      </c>
      <c r="B15" s="616" t="str">
        <f t="shared" si="0"/>
        <v>No</v>
      </c>
      <c r="C15" s="641" t="str">
        <f>IF(\selected_ipflag=0,"",\selected_ipflag)</f>
        <v>No</v>
      </c>
      <c r="D15" s="618" t="s">
        <v>75</v>
      </c>
      <c r="F15" s="638" t="s">
        <v>76</v>
      </c>
      <c r="G15" s="640" t="s">
        <v>93</v>
      </c>
      <c r="H15" s="639" t="s">
        <v>2540</v>
      </c>
      <c r="I15" s="622" t="s">
        <v>2541</v>
      </c>
      <c r="J15" s="621"/>
    </row>
    <row r="16" spans="1:10" ht="13" thickTop="1" thickBot="1" x14ac:dyDescent="0.4">
      <c r="A16" s="615" t="s">
        <v>2561</v>
      </c>
      <c r="B16" s="626" t="str">
        <f t="shared" si="0"/>
        <v>1</v>
      </c>
      <c r="C16" s="663">
        <v>1</v>
      </c>
      <c r="D16" s="664">
        <v>0</v>
      </c>
      <c r="E16" s="659"/>
      <c r="F16" s="662" t="s">
        <v>76</v>
      </c>
      <c r="G16" s="239"/>
      <c r="H16" s="652"/>
      <c r="I16" s="656"/>
    </row>
    <row r="17" ht="12.5" thickTop="1" x14ac:dyDescent="0.3"/>
  </sheetData>
  <sheetProtection autoFilter="0"/>
  <autoFilter ref="A1:J1" xr:uid="{00000000-0009-0000-0000-00000C000000}"/>
  <conditionalFormatting sqref="A7:E9 B6:E6 A12:E12 A15:E15 A1:E4">
    <cfRule type="expression" dxfId="23" priority="31">
      <formula>ISERROR(A1)</formula>
    </cfRule>
  </conditionalFormatting>
  <conditionalFormatting sqref="D2:D4 D6:D9 D15 D12">
    <cfRule type="expression" dxfId="22" priority="33">
      <formula>AND($A2&lt;&gt;"",$D2="")</formula>
    </cfRule>
    <cfRule type="expression" dxfId="21" priority="34">
      <formula>$D2=0</formula>
    </cfRule>
    <cfRule type="expression" dxfId="20" priority="35">
      <formula>ISERROR($D2*1)</formula>
    </cfRule>
  </conditionalFormatting>
  <conditionalFormatting sqref="H1:I15">
    <cfRule type="expression" dxfId="19" priority="394">
      <formula>AND(COUNTIF(H$1:H$12, H1)&gt;1,H1&lt;&gt;"")</formula>
    </cfRule>
  </conditionalFormatting>
  <conditionalFormatting sqref="A5:E5">
    <cfRule type="expression" dxfId="18" priority="20">
      <formula>ISERROR(A5)</formula>
    </cfRule>
  </conditionalFormatting>
  <conditionalFormatting sqref="D5">
    <cfRule type="expression" dxfId="17" priority="21">
      <formula>AND($A5&lt;&gt;"",$D5="")</formula>
    </cfRule>
    <cfRule type="expression" dxfId="16" priority="22">
      <formula>$D5=0</formula>
    </cfRule>
    <cfRule type="expression" dxfId="15" priority="23">
      <formula>ISERROR($D5*1)</formula>
    </cfRule>
  </conditionalFormatting>
  <conditionalFormatting sqref="A6">
    <cfRule type="expression" dxfId="14" priority="19">
      <formula>ISERROR(A6)</formula>
    </cfRule>
  </conditionalFormatting>
  <conditionalFormatting sqref="A10:E11">
    <cfRule type="expression" dxfId="13" priority="15">
      <formula>ISERROR(A10)</formula>
    </cfRule>
  </conditionalFormatting>
  <conditionalFormatting sqref="D10:D11">
    <cfRule type="expression" dxfId="12" priority="16">
      <formula>AND($A10&lt;&gt;"",$D10="")</formula>
    </cfRule>
    <cfRule type="expression" dxfId="11" priority="17">
      <formula>$D10=0</formula>
    </cfRule>
    <cfRule type="expression" dxfId="10" priority="18">
      <formula>ISERROR($D10*1)</formula>
    </cfRule>
  </conditionalFormatting>
  <conditionalFormatting sqref="A13:E14">
    <cfRule type="expression" dxfId="9" priority="7">
      <formula>ISERROR(A13)</formula>
    </cfRule>
  </conditionalFormatting>
  <conditionalFormatting sqref="D13:D14">
    <cfRule type="expression" dxfId="8" priority="8">
      <formula>AND($A13&lt;&gt;"",$D13="")</formula>
    </cfRule>
    <cfRule type="expression" dxfId="7" priority="9">
      <formula>$D13=0</formula>
    </cfRule>
    <cfRule type="expression" dxfId="6" priority="10">
      <formula>ISERROR($D13*1)</formula>
    </cfRule>
  </conditionalFormatting>
  <conditionalFormatting sqref="A16:E16">
    <cfRule type="expression" dxfId="5" priority="2">
      <formula>ISERROR(A16)</formula>
    </cfRule>
  </conditionalFormatting>
  <conditionalFormatting sqref="H16:I16">
    <cfRule type="expression" dxfId="4" priority="3">
      <formula>AND(COUNTIF(H$1:H$12, H16)&gt;1,H16&lt;&gt;"")</formula>
    </cfRule>
  </conditionalFormatting>
  <conditionalFormatting sqref="D16">
    <cfRule type="expression" dxfId="3" priority="4">
      <formula>AND($A16&lt;&gt;"",$D16="")</formula>
    </cfRule>
    <cfRule type="expression" dxfId="2" priority="5">
      <formula>$D16=0</formula>
    </cfRule>
    <cfRule type="expression" dxfId="1" priority="6">
      <formula>ISERROR($D16*1)</formula>
    </cfRule>
  </conditionalFormatting>
  <conditionalFormatting sqref="H16:I16">
    <cfRule type="expression" dxfId="0" priority="406">
      <formula>AND(COUNTIF(H$1:H$18, H16)&gt;1,H16&lt;&gt;"")</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anchor moveWithCells="1" sizeWithCells="1">
                  <from>
                    <xdr:col>9</xdr:col>
                    <xdr:colOff>641350</xdr:colOff>
                    <xdr:row>0</xdr:row>
                    <xdr:rowOff>0</xdr:rowOff>
                  </from>
                  <to>
                    <xdr:col>9</xdr:col>
                    <xdr:colOff>2336800</xdr:colOff>
                    <xdr:row>1</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kument" ma:contentTypeID="0x010100CF60C58D7B476448BA8AFEBE2A8FECC9" ma:contentTypeVersion="12" ma:contentTypeDescription="Ein neues Dokument erstellen." ma:contentTypeScope="" ma:versionID="e13e04912aeefd2f3d199a8791f9a4e3">
  <xsd:schema xmlns:xsd="http://www.w3.org/2001/XMLSchema" xmlns:xs="http://www.w3.org/2001/XMLSchema" xmlns:p="http://schemas.microsoft.com/office/2006/metadata/properties" xmlns:ns2="d3ca5bf0-6f3a-4e1e-9303-6fae7f41528d" xmlns:ns3="175097f2-95db-47ee-a3a8-3a96e9886b03" targetNamespace="http://schemas.microsoft.com/office/2006/metadata/properties" ma:root="true" ma:fieldsID="bd57302721eb9b6ab05b13bc924df874" ns2:_="" ns3:_="">
    <xsd:import namespace="d3ca5bf0-6f3a-4e1e-9303-6fae7f41528d"/>
    <xsd:import namespace="175097f2-95db-47ee-a3a8-3a96e9886b0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ca5bf0-6f3a-4e1e-9303-6fae7f4152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c57c2bcb-998b-4e58-8676-d30001bcee7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75097f2-95db-47ee-a3a8-3a96e9886b03" elementFormDefault="qualified">
    <xsd:import namespace="http://schemas.microsoft.com/office/2006/documentManagement/types"/>
    <xsd:import namespace="http://schemas.microsoft.com/office/infopath/2007/PartnerControls"/>
    <xsd:element name="SharedWithUsers" ma:index="10"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Freigegeben für - Details" ma:internalName="SharedWithDetails" ma:readOnly="true">
      <xsd:simpleType>
        <xsd:restriction base="dms:Note">
          <xsd:maxLength value="255"/>
        </xsd:restriction>
      </xsd:simpleType>
    </xsd:element>
    <xsd:element name="TaxCatchAll" ma:index="14" nillable="true" ma:displayName="Taxonomy Catch All Column" ma:hidden="true" ma:list="{9bcf8bb2-df1e-43a9-9e63-17f587e9fad0}" ma:internalName="TaxCatchAll" ma:showField="CatchAllData" ma:web="175097f2-95db-47ee-a3a8-3a96e9886b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175097f2-95db-47ee-a3a8-3a96e9886b03" xsi:nil="true"/>
    <lcf76f155ced4ddcb4097134ff3c332f xmlns="d3ca5bf0-6f3a-4e1e-9303-6fae7f41528d">
      <Terms xmlns="http://schemas.microsoft.com/office/infopath/2007/PartnerControls"/>
    </lcf76f155ced4ddcb4097134ff3c332f>
    <SharedWithUsers xmlns="175097f2-95db-47ee-a3a8-3a96e9886b03">
      <UserInfo>
        <DisplayName>Engelking, Jonas</DisplayName>
        <AccountId>40</AccountId>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FD2541-C8B0-4511-BE54-C891EDCB93F7}">
  <ds:schemaRefs>
    <ds:schemaRef ds:uri="http://schemas.microsoft.com/DataMashup"/>
  </ds:schemaRefs>
</ds:datastoreItem>
</file>

<file path=customXml/itemProps2.xml><?xml version="1.0" encoding="utf-8"?>
<ds:datastoreItem xmlns:ds="http://schemas.openxmlformats.org/officeDocument/2006/customXml" ds:itemID="{517238F8-1575-47F4-A802-9458C72D8D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ca5bf0-6f3a-4e1e-9303-6fae7f41528d"/>
    <ds:schemaRef ds:uri="175097f2-95db-47ee-a3a8-3a96e9886b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1303D6-530F-4C87-BC82-8D488D99F427}">
  <ds:schemaRefs>
    <ds:schemaRef ds:uri="http://schemas.microsoft.com/office/2006/metadata/properties"/>
    <ds:schemaRef ds:uri="http://schemas.microsoft.com/office/infopath/2007/PartnerControls"/>
    <ds:schemaRef ds:uri="175097f2-95db-47ee-a3a8-3a96e9886b03"/>
    <ds:schemaRef ds:uri="d3ca5bf0-6f3a-4e1e-9303-6fae7f41528d"/>
  </ds:schemaRefs>
</ds:datastoreItem>
</file>

<file path=customXml/itemProps4.xml><?xml version="1.0" encoding="utf-8"?>
<ds:datastoreItem xmlns:ds="http://schemas.openxmlformats.org/officeDocument/2006/customXml" ds:itemID="{20D62753-1E48-4064-94AB-D34E7CD66F5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596</vt:i4>
      </vt:variant>
    </vt:vector>
  </HeadingPairs>
  <TitlesOfParts>
    <vt:vector size="597" baseType="lpstr">
      <vt:lpstr>Makro_Checker</vt:lpstr>
      <vt:lpstr>\geographicalScope_Input</vt:lpstr>
      <vt:lpstr>\language_countries_sorted</vt:lpstr>
      <vt:lpstr>\language_english</vt:lpstr>
      <vt:lpstr>\language_german</vt:lpstr>
      <vt:lpstr>\language_offset</vt:lpstr>
      <vt:lpstr>\language_subcontinent</vt:lpstr>
      <vt:lpstr>\language_typeofgoods_Class1_backend</vt:lpstr>
      <vt:lpstr>\language_typeofgoods_Class2_backend</vt:lpstr>
      <vt:lpstr>\language_typeofgoods_Class3_backend</vt:lpstr>
      <vt:lpstr>\language_typeofgoods_ClassAll_backend</vt:lpstr>
      <vt:lpstr>\language_typeofgoods_SClass1_backend</vt:lpstr>
      <vt:lpstr>\language_typeofgoods_SClass2_backend</vt:lpstr>
      <vt:lpstr>\language_typeofgoods_SClass3_backend</vt:lpstr>
      <vt:lpstr>\language_typeofgoods_SClassAll_backend</vt:lpstr>
      <vt:lpstr>\parameter_ambition_margin</vt:lpstr>
      <vt:lpstr>\parameter_aussteuerungLossRatio</vt:lpstr>
      <vt:lpstr>\parameter_baseexposure_transport</vt:lpstr>
      <vt:lpstr>\parameter_basisvaluation</vt:lpstr>
      <vt:lpstr>\parameter_central_expenses</vt:lpstr>
      <vt:lpstr>\parameter_coc_ivc_ri</vt:lpstr>
      <vt:lpstr>\parameter_constant_severitymodel</vt:lpstr>
      <vt:lpstr>\parameter_constant_storagelosses</vt:lpstr>
      <vt:lpstr>\parameter_constant2_severitymodel</vt:lpstr>
      <vt:lpstr>\parameter_countmodel_dispersion</vt:lpstr>
      <vt:lpstr>\parameter_countmodel_intercept</vt:lpstr>
      <vt:lpstr>\parameter_countmodel_turnover</vt:lpstr>
      <vt:lpstr>\parameter_decentral_expenses</vt:lpstr>
      <vt:lpstr>\parameter_fxrates</vt:lpstr>
      <vt:lpstr>\parameter_geoscope_countrynames</vt:lpstr>
      <vt:lpstr>\parameter_geoscope_int_int</vt:lpstr>
      <vt:lpstr>\parameter_geoscope_int_int_header</vt:lpstr>
      <vt:lpstr>\parameter_geoscope_int_names</vt:lpstr>
      <vt:lpstr>\parameter_goods</vt:lpstr>
      <vt:lpstr>\parameter_industry</vt:lpstr>
      <vt:lpstr>\parameter_inflation</vt:lpstr>
      <vt:lpstr>\parameter_ip</vt:lpstr>
      <vt:lpstr>\parameter_language_offsets</vt:lpstr>
      <vt:lpstr>\parameter_limitLoss_RP</vt:lpstr>
      <vt:lpstr>\parameter_ll_frequencymean</vt:lpstr>
      <vt:lpstr>\parameter_ll_GPD_shape</vt:lpstr>
      <vt:lpstr>\parameter_ll_LN_Dispersion</vt:lpstr>
      <vt:lpstr>\parameter_ll_severitymean</vt:lpstr>
      <vt:lpstr>\parameter_llconstant_countmodel</vt:lpstr>
      <vt:lpstr>\parameter_LLLALR</vt:lpstr>
      <vt:lpstr>\parameter_llthreshold1_transport</vt:lpstr>
      <vt:lpstr>\parameter_MidMarketChanges_MinMaxValues</vt:lpstr>
      <vt:lpstr>\parameter_MidMarketChanges_TransportationType</vt:lpstr>
      <vt:lpstr>\parameter_MidMarketChanges_typeofCover2PreDefined</vt:lpstr>
      <vt:lpstr>\parameter_packagingtype</vt:lpstr>
      <vt:lpstr>\parameter_premiumPerLocalPolicy_EUR</vt:lpstr>
      <vt:lpstr>\parameter_producingRegionalOffice</vt:lpstr>
      <vt:lpstr>\parameter_riskcountry</vt:lpstr>
      <vt:lpstr>\parameter_storage_transports_days</vt:lpstr>
      <vt:lpstr>\parameter_targetALR</vt:lpstr>
      <vt:lpstr>\parameter_transportationtype</vt:lpstr>
      <vt:lpstr>\parameter_useBCLLL</vt:lpstr>
      <vt:lpstr>\parameter_war_strike</vt:lpstr>
      <vt:lpstr>\parameter_zerohurdle_intercept</vt:lpstr>
      <vt:lpstr>\parameter_zerohurdle_turnover</vt:lpstr>
      <vt:lpstr>\paramhelper_StorageTableNatCatColumn</vt:lpstr>
      <vt:lpstr>\paramhelper_StorageTableStartColumn</vt:lpstr>
      <vt:lpstr>\reference_absoluterelative</vt:lpstr>
      <vt:lpstr>\reference_Allgemeine_Gebrauchsgueter</vt:lpstr>
      <vt:lpstr>\reference_Andere_vegetabile_Gueter</vt:lpstr>
      <vt:lpstr>\reference_Anlagenbau</vt:lpstr>
      <vt:lpstr>\reference_Automobilbau</vt:lpstr>
      <vt:lpstr>\reference_Baustoffe_Bauelemente</vt:lpstr>
      <vt:lpstr>\reference_branch</vt:lpstr>
      <vt:lpstr>\reference_Bulkgueter_fest</vt:lpstr>
      <vt:lpstr>\reference_Bulkgueter_fluessig</vt:lpstr>
      <vt:lpstr>\reference_Bulkgueter_gasfoermig</vt:lpstr>
      <vt:lpstr>\reference_commercialAdjustment_minMax</vt:lpstr>
      <vt:lpstr>\reference_covertype</vt:lpstr>
      <vt:lpstr>\reference_covertype_midmarket</vt:lpstr>
      <vt:lpstr>\reference_covertype1_DropDown</vt:lpstr>
      <vt:lpstr>\reference_covertype2_DropDown</vt:lpstr>
      <vt:lpstr>\reference_covertype2_MidMarket</vt:lpstr>
      <vt:lpstr>\reference_covertype2_nonMidMarket</vt:lpstr>
      <vt:lpstr>\reference_currency_code</vt:lpstr>
      <vt:lpstr>\reference_currency_longname</vt:lpstr>
      <vt:lpstr>\reference_Elektronik_EDV</vt:lpstr>
      <vt:lpstr>\reference_Elektrotechnik_Schaltschraenke_etc</vt:lpstr>
      <vt:lpstr>\reference_Feinmechanik_Optik</vt:lpstr>
      <vt:lpstr>\reference_industry_longname</vt:lpstr>
      <vt:lpstr>\reference_Kabel_Seile_Seekabel_Tragseile_fuer_Bruecken_S</vt:lpstr>
      <vt:lpstr>\reference_language</vt:lpstr>
      <vt:lpstr>\reference_Maschinen_und_Anlagenbau</vt:lpstr>
      <vt:lpstr>\reference_Militaerisches_Material_Wehrtechnik_Schusswaff</vt:lpstr>
      <vt:lpstr>\reference_Papier_Druckerzeugnisse</vt:lpstr>
      <vt:lpstr>\reference_Pharma_Medizin_Kosmetik_Lebensmittel</vt:lpstr>
      <vt:lpstr>\reference_purchaseshipment</vt:lpstr>
      <vt:lpstr>\reference_region</vt:lpstr>
      <vt:lpstr>\reference_regionalOffice</vt:lpstr>
      <vt:lpstr>\reference_regionalOffice_preSplit</vt:lpstr>
      <vt:lpstr>\reference_riskcountry_name</vt:lpstr>
      <vt:lpstr>\reference_Schiffs_Luft_Schienenbau_Fahrzeuge_excl_Automo</vt:lpstr>
      <vt:lpstr>\reference_Status</vt:lpstr>
      <vt:lpstr>\reference_technicalAdjustment_transit_reasons</vt:lpstr>
      <vt:lpstr>\reference_Technische_Komponenten</vt:lpstr>
      <vt:lpstr>\reference_Textilien_Leder_Bekleidung_Schuhe</vt:lpstr>
      <vt:lpstr>\reference_transportationtype</vt:lpstr>
      <vt:lpstr>\reference_typeofgoods1</vt:lpstr>
      <vt:lpstr>\reference_typeofparticipation_DropDown</vt:lpstr>
      <vt:lpstr>\reference_typeofparticipation_MidMarket</vt:lpstr>
      <vt:lpstr>\reference_typeofparticipation_nonMidMarket</vt:lpstr>
      <vt:lpstr>\reference_warstrikecountry_name</vt:lpstr>
      <vt:lpstr>\reference_YesNo</vt:lpstr>
      <vt:lpstr>\selected_additional_deductible_Cyber</vt:lpstr>
      <vt:lpstr>\selected_additional_deductible_Gueterfolge</vt:lpstr>
      <vt:lpstr>\selected_additional_deductible_Krieg</vt:lpstr>
      <vt:lpstr>\selected_additional_deductible_Luggage</vt:lpstr>
      <vt:lpstr>\selected_additional_deductible_Messen</vt:lpstr>
      <vt:lpstr>\selected_additional_deductible_Pandemic</vt:lpstr>
      <vt:lpstr>\selected_additional_deductible_Streik</vt:lpstr>
      <vt:lpstr>\selected_additional_deductible_Vermoegen</vt:lpstr>
      <vt:lpstr>\selected_additional_deductibleAggregat_Cyber</vt:lpstr>
      <vt:lpstr>\selected_additional_deductibleAggregat_Gueterfolge</vt:lpstr>
      <vt:lpstr>\selected_additional_deductibleAggregat_Krieg</vt:lpstr>
      <vt:lpstr>\selected_additional_deductibleAggregat_Luggage</vt:lpstr>
      <vt:lpstr>\selected_additional_deductibleAggregat_Messen</vt:lpstr>
      <vt:lpstr>\selected_additional_deductibleAggregat_Pandemic</vt:lpstr>
      <vt:lpstr>\selected_additional_deductibleAggregat_Streik</vt:lpstr>
      <vt:lpstr>\selected_additional_deductibleAggregat_Vermoegen</vt:lpstr>
      <vt:lpstr>\selected_additional_deductibleMax_Cyber</vt:lpstr>
      <vt:lpstr>\selected_additional_deductibleMax_Gueterfolge</vt:lpstr>
      <vt:lpstr>\selected_additional_deductibleMax_Krieg</vt:lpstr>
      <vt:lpstr>\selected_additional_deductibleMax_Luggage</vt:lpstr>
      <vt:lpstr>\selected_additional_deductibleMax_Messen</vt:lpstr>
      <vt:lpstr>\selected_additional_deductibleMax_Pandemic</vt:lpstr>
      <vt:lpstr>\selected_additional_deductibleMax_Streik</vt:lpstr>
      <vt:lpstr>\selected_additional_deductibleMax_Vermoegen</vt:lpstr>
      <vt:lpstr>\selected_additional_deductibleProp_Cyber</vt:lpstr>
      <vt:lpstr>\selected_additional_deductibleProp_Gueterfolge</vt:lpstr>
      <vt:lpstr>\selected_additional_deductibleProp_Krieg</vt:lpstr>
      <vt:lpstr>\selected_additional_deductibleProp_Luggage</vt:lpstr>
      <vt:lpstr>\selected_additional_deductibleProp_Messen</vt:lpstr>
      <vt:lpstr>\selected_additional_deductibleProp_Pandemic</vt:lpstr>
      <vt:lpstr>\selected_additional_deductibleProp_Streik</vt:lpstr>
      <vt:lpstr>\selected_additional_deductibleProp_Vermoegen</vt:lpstr>
      <vt:lpstr>\selected_additional_limit_Cyber</vt:lpstr>
      <vt:lpstr>\selected_additional_limit_Gueterfolge</vt:lpstr>
      <vt:lpstr>\selected_additional_limit_Krieg</vt:lpstr>
      <vt:lpstr>\selected_additional_limit_Luggage</vt:lpstr>
      <vt:lpstr>\selected_additional_limit_Messen</vt:lpstr>
      <vt:lpstr>\selected_additional_limit_Pandemic</vt:lpstr>
      <vt:lpstr>\selected_additional_limit_Streik</vt:lpstr>
      <vt:lpstr>\selected_additional_limit_Vermoegen</vt:lpstr>
      <vt:lpstr>\selected_additional_YesNo_Cyber</vt:lpstr>
      <vt:lpstr>\selected_additional_YesNo_Gueterfolge</vt:lpstr>
      <vt:lpstr>\selected_additional_YesNo_Krieg</vt:lpstr>
      <vt:lpstr>\selected_additional_YesNo_Luggage</vt:lpstr>
      <vt:lpstr>\selected_additional_YesNo_Messen</vt:lpstr>
      <vt:lpstr>\selected_additional_YesNo_Pandemic</vt:lpstr>
      <vt:lpstr>\selected_additional_YesNo_Streik</vt:lpstr>
      <vt:lpstr>\selected_additional_YesNo_Vermoegen</vt:lpstr>
      <vt:lpstr>\selected_conditions_deductible_Air</vt:lpstr>
      <vt:lpstr>\selected_conditions_deductible_General</vt:lpstr>
      <vt:lpstr>\selected_conditions_deductible_Land</vt:lpstr>
      <vt:lpstr>\selected_conditions_deductible_Rail</vt:lpstr>
      <vt:lpstr>\selected_conditions_deductible_Sea</vt:lpstr>
      <vt:lpstr>\selected_conditions_deductible_temperatureContr</vt:lpstr>
      <vt:lpstr>\selected_conditions_deductibleAggregat_Air</vt:lpstr>
      <vt:lpstr>\selected_conditions_deductibleAggregat_General</vt:lpstr>
      <vt:lpstr>\selected_conditions_deductibleAggregat_Land</vt:lpstr>
      <vt:lpstr>\selected_conditions_deductibleAggregat_Rail</vt:lpstr>
      <vt:lpstr>\selected_conditions_deductibleAggregat_Sea</vt:lpstr>
      <vt:lpstr>\selected_conditions_deductibleAggregat_temperatureContr</vt:lpstr>
      <vt:lpstr>\selected_conditions_deductibleMax_Air</vt:lpstr>
      <vt:lpstr>\selected_conditions_deductibleMax_General</vt:lpstr>
      <vt:lpstr>\selected_conditions_deductibleMax_Land</vt:lpstr>
      <vt:lpstr>\selected_conditions_deductibleMax_Rail</vt:lpstr>
      <vt:lpstr>\selected_conditions_deductibleMax_Sea</vt:lpstr>
      <vt:lpstr>\selected_conditions_deductibleMax_temperatureContr</vt:lpstr>
      <vt:lpstr>\selected_conditions_deductibleProp_Air</vt:lpstr>
      <vt:lpstr>\selected_conditions_deductibleProp_General</vt:lpstr>
      <vt:lpstr>\selected_conditions_deductibleProp_Land</vt:lpstr>
      <vt:lpstr>\selected_conditions_deductibleProp_Rail</vt:lpstr>
      <vt:lpstr>\selected_conditions_deductibleProp_Sea</vt:lpstr>
      <vt:lpstr>\selected_conditions_deductibleProp_temperatureContr</vt:lpstr>
      <vt:lpstr>\selected_conditions_limit_Air</vt:lpstr>
      <vt:lpstr>\selected_conditions_limit_General</vt:lpstr>
      <vt:lpstr>\selected_conditions_limit_Land</vt:lpstr>
      <vt:lpstr>\selected_conditions_limit_Rail</vt:lpstr>
      <vt:lpstr>\selected_conditions_limit_Sea</vt:lpstr>
      <vt:lpstr>\selected_conditions_limit_temperatureContr</vt:lpstr>
      <vt:lpstr>\selected_country1_Krieg</vt:lpstr>
      <vt:lpstr>\selected_country1_Streik</vt:lpstr>
      <vt:lpstr>\selected_currency</vt:lpstr>
      <vt:lpstr>\selected_deductible_transportationtype</vt:lpstr>
      <vt:lpstr>\selected_deductiblemax_transportationtype</vt:lpstr>
      <vt:lpstr>\selected_deductibleprop_transportationtype</vt:lpstr>
      <vt:lpstr>\selected_expectedprofit</vt:lpstr>
      <vt:lpstr>\selected_geoscope_international</vt:lpstr>
      <vt:lpstr>\selected_geoscope_national</vt:lpstr>
      <vt:lpstr>\selected_industry</vt:lpstr>
      <vt:lpstr>\selected_ip_numberLocalPolicies</vt:lpstr>
      <vt:lpstr>\selected_ipflag</vt:lpstr>
      <vt:lpstr>\selected_limit_transportationtype</vt:lpstr>
      <vt:lpstr>\selected_limitdays_storage_transport</vt:lpstr>
      <vt:lpstr>\selected_lossratio</vt:lpstr>
      <vt:lpstr>\selected_MidMarketNewBusiness</vt:lpstr>
      <vt:lpstr>\selected_partner</vt:lpstr>
      <vt:lpstr>\selected_partnerID</vt:lpstr>
      <vt:lpstr>\selected_riskcountry</vt:lpstr>
      <vt:lpstr>\selected_subsidiariesflag</vt:lpstr>
      <vt:lpstr>\selected_transportationtype_Air</vt:lpstr>
      <vt:lpstr>\selected_transportationtype_Land</vt:lpstr>
      <vt:lpstr>\selected_transportationtype_perc</vt:lpstr>
      <vt:lpstr>\selected_transportationtype_Sea</vt:lpstr>
      <vt:lpstr>\selected_turnover_cargo</vt:lpstr>
      <vt:lpstr>\selected_turnover_shipped</vt:lpstr>
      <vt:lpstr>\selected_turnover_total</vt:lpstr>
      <vt:lpstr>\selected_typeofcover1</vt:lpstr>
      <vt:lpstr>\selected_typeofcover2</vt:lpstr>
      <vt:lpstr>\selected_typeofgoods_Class1</vt:lpstr>
      <vt:lpstr>\selected_typeofgoods_Class1_Split</vt:lpstr>
      <vt:lpstr>\selected_typeofgoods_Class2</vt:lpstr>
      <vt:lpstr>\selected_typeofgoods_Class2_Split</vt:lpstr>
      <vt:lpstr>\selected_typeofgoods_Class3</vt:lpstr>
      <vt:lpstr>\selected_typeofgoods_Class3_Split</vt:lpstr>
      <vt:lpstr>\selected_typeofgoods_SClass1</vt:lpstr>
      <vt:lpstr>\selected_typeofgoods_SClass2</vt:lpstr>
      <vt:lpstr>\selected_typeofgoods_SClass3</vt:lpstr>
      <vt:lpstr>\selected_typeofgoods_TClass1</vt:lpstr>
      <vt:lpstr>\selected_typeofgoods_TClass2</vt:lpstr>
      <vt:lpstr>\selected_typeofgoods_TClass3</vt:lpstr>
      <vt:lpstr>\selected_typeofgoods_ThClass1</vt:lpstr>
      <vt:lpstr>\selected_typeofgoods_ThClass2</vt:lpstr>
      <vt:lpstr>\selected_typeofgoods_ThClass3</vt:lpstr>
      <vt:lpstr>\selected_typeofparticipation</vt:lpstr>
      <vt:lpstr>\showHide_GeoScope_Detail</vt:lpstr>
      <vt:lpstr>\showHide_MidMarket_1</vt:lpstr>
      <vt:lpstr>\showHide_MidMarket_2</vt:lpstr>
      <vt:lpstr>\showHide_MidMarket_3</vt:lpstr>
      <vt:lpstr>\showHide_MidMarket_Output_1</vt:lpstr>
      <vt:lpstr>\showHide_MidMarket_Output_2</vt:lpstr>
      <vt:lpstr>\showHide_TransportationType</vt:lpstr>
      <vt:lpstr>\storageCalc_typeOfGoods_totalFactor</vt:lpstr>
      <vt:lpstr>\storageCalc_typeOfGoods_totalShare</vt:lpstr>
      <vt:lpstr>\storageCalc_typeOfGoodsNr</vt:lpstr>
      <vt:lpstr>\storageInput_Deductible_FixedAmount</vt:lpstr>
      <vt:lpstr>\storageInput_Deductible_Max</vt:lpstr>
      <vt:lpstr>\storageInput_Deductible_Min</vt:lpstr>
      <vt:lpstr>\storageInput_Deductible_PercentageAmount</vt:lpstr>
      <vt:lpstr>\storageInput_Deductible_Type</vt:lpstr>
      <vt:lpstr>\storageInput_NatCat_YLT_Gross</vt:lpstr>
      <vt:lpstr>\storageInput_TypeOfGoods_Top</vt:lpstr>
      <vt:lpstr>\storageInput_TypeOfGoodsCount</vt:lpstr>
      <vt:lpstr>\storageInput_TypeOfGoodsShare_Top</vt:lpstr>
      <vt:lpstr>\storageParams_Alpha</vt:lpstr>
      <vt:lpstr>\storageParams_BaseRate</vt:lpstr>
      <vt:lpstr>\storageParams_ColumnCount</vt:lpstr>
      <vt:lpstr>\storageParams_DeductibleTypes</vt:lpstr>
      <vt:lpstr>\storageParams_Import_ARGOSexportv3_ColumnIndex</vt:lpstr>
      <vt:lpstr>\storageParams_Import_ARGOSexportv3_ColumnNames</vt:lpstr>
      <vt:lpstr>\storageParams_Import_ARGOSexportv3_HeaderRow</vt:lpstr>
      <vt:lpstr>\storageParams_Import_ARGOSexportv3_SheetName</vt:lpstr>
      <vt:lpstr>\storageParams_Import_ARGOSexportv4_ColumnIndex</vt:lpstr>
      <vt:lpstr>\storageParams_Import_ARGOSexportv4_ColumnNames</vt:lpstr>
      <vt:lpstr>\storageParams_Import_ARGOSexportv4_HeaderRow</vt:lpstr>
      <vt:lpstr>\storageParams_Import_ARGOSexportv4_SheetName</vt:lpstr>
      <vt:lpstr>\storageParams_Import_ARGOSImport_ColumnIndex</vt:lpstr>
      <vt:lpstr>\storageParams_Import_ARGOSImport_ColumnNames</vt:lpstr>
      <vt:lpstr>\storageParams_Import_ARGOSImport_HeaderRow</vt:lpstr>
      <vt:lpstr>\storageParams_Import_ARGOSImport_SheetName</vt:lpstr>
      <vt:lpstr>\storageParams_Import_MarineDB_ColumnIndex</vt:lpstr>
      <vt:lpstr>\storageParams_Import_MarineDB_ColumnNames</vt:lpstr>
      <vt:lpstr>\storageParams_Import_MarineDB_HeaderRow</vt:lpstr>
      <vt:lpstr>\storageParams_Import_MarineDB_SheetName</vt:lpstr>
      <vt:lpstr>\storageParams_Import_Types</vt:lpstr>
      <vt:lpstr>\storageParams_LimitQuantile</vt:lpstr>
      <vt:lpstr>\storageParams_NatCat_NrYears</vt:lpstr>
      <vt:lpstr>\storageParams_ReturnPeriodLimit</vt:lpstr>
      <vt:lpstr>\storageParams_ReturnPeriodThreshold</vt:lpstr>
      <vt:lpstr>\storageParams_technicalAdjustments_combinedReason_lowerBound</vt:lpstr>
      <vt:lpstr>\storageParams_technicalAdjustments_combinedReason_upperBound</vt:lpstr>
      <vt:lpstr>\storageParams_technicalAdjustments_Reasons</vt:lpstr>
      <vt:lpstr>\storageParams_technicalAdjustments_singleReason_lowerBound</vt:lpstr>
      <vt:lpstr>\storageParams_technicalAdjustments_singleReason_upperBound</vt:lpstr>
      <vt:lpstr>\storageParams_ThresholdFactor</vt:lpstr>
      <vt:lpstr>\storageParams_typeOfGoods</vt:lpstr>
      <vt:lpstr>Additional_YesNo</vt:lpstr>
      <vt:lpstr>AVG_VALUE_ORIG_L</vt:lpstr>
      <vt:lpstr>calc_additional_costs</vt:lpstr>
      <vt:lpstr>calc_additionalcostsflag</vt:lpstr>
      <vt:lpstr>calc_alr_brokerage</vt:lpstr>
      <vt:lpstr>calc_alr_expenses</vt:lpstr>
      <vt:lpstr>calc_alr_vola</vt:lpstr>
      <vt:lpstr>calc_brokerage</vt:lpstr>
      <vt:lpstr>calc_brokerageflag</vt:lpstr>
      <vt:lpstr>calc_central_expenses</vt:lpstr>
      <vt:lpstr>calc_central_expenses_ELC</vt:lpstr>
      <vt:lpstr>calc_coc_ivc_ri</vt:lpstr>
      <vt:lpstr>calc_coverageflag_storage</vt:lpstr>
      <vt:lpstr>calc_coverageflag_transport</vt:lpstr>
      <vt:lpstr>calc_currency_code</vt:lpstr>
      <vt:lpstr>calc_decentral_expenses</vt:lpstr>
      <vt:lpstr>calc_decentral_expenses_ELC</vt:lpstr>
      <vt:lpstr>calc_deductible_general</vt:lpstr>
      <vt:lpstr>calc_deductible_general_EUR</vt:lpstr>
      <vt:lpstr>calc_deductible_notspecified_temperaturecontrolled</vt:lpstr>
      <vt:lpstr>calc_deductible_notspecified_transportationtype</vt:lpstr>
      <vt:lpstr>calc_deductible_temperaturecontrolled</vt:lpstr>
      <vt:lpstr>calc_deductible_temperaturecontrolled_EUR</vt:lpstr>
      <vt:lpstr>calc_deductible_transportationtype</vt:lpstr>
      <vt:lpstr>calc_deductibleagg_general</vt:lpstr>
      <vt:lpstr>calc_deductibleagg_general_EUR</vt:lpstr>
      <vt:lpstr>calc_deductibleagg_transportationtype</vt:lpstr>
      <vt:lpstr>calc_deductibleagg_transportationtype_EUR</vt:lpstr>
      <vt:lpstr>calc_deductiblemax_general</vt:lpstr>
      <vt:lpstr>calc_deductiblemax_general_EUR</vt:lpstr>
      <vt:lpstr>calc_deductiblemax_temperaturecontrolled</vt:lpstr>
      <vt:lpstr>calc_deductiblemax_temperaturecontrolled_EUR</vt:lpstr>
      <vt:lpstr>calc_deductiblemax_transportationtype</vt:lpstr>
      <vt:lpstr>calc_deductiblemax_transportationtype_EUR</vt:lpstr>
      <vt:lpstr>calc_deductiblemin_transportationtype_EUR</vt:lpstr>
      <vt:lpstr>calc_deductibleprop_general</vt:lpstr>
      <vt:lpstr>calc_deductibleprop_temperaturecontrolled</vt:lpstr>
      <vt:lpstr>calc_deductibleprop_transportationtype</vt:lpstr>
      <vt:lpstr>calc_expected_loss_polCur</vt:lpstr>
      <vt:lpstr>calc_expectedloss_EUR</vt:lpstr>
      <vt:lpstr>calc_expectedprofit</vt:lpstr>
      <vt:lpstr>calc_exposure_transport_total</vt:lpstr>
      <vt:lpstr>calc_exposure_transport_total_EUR</vt:lpstr>
      <vt:lpstr>calc_fxrate</vt:lpstr>
      <vt:lpstr>calc_geoscope</vt:lpstr>
      <vt:lpstr>calc_geoscope_int_adjlllosscount</vt:lpstr>
      <vt:lpstr>calc_geoscope_int_adjlllosscount_hashtag</vt:lpstr>
      <vt:lpstr>calc_geoscope_int_adjllseverity</vt:lpstr>
      <vt:lpstr>calc_geoscope_int_adjllseverity_hashtag</vt:lpstr>
      <vt:lpstr>calc_geoscope_int_adjlosscount</vt:lpstr>
      <vt:lpstr>calc_geoscope_int_adjlosscount_hashtag</vt:lpstr>
      <vt:lpstr>calc_geoscope_int_adjseverity</vt:lpstr>
      <vt:lpstr>calc_geoscope_int_adjseverity_hashtag</vt:lpstr>
      <vt:lpstr>calc_geoscope_int_int_charges_hashtag</vt:lpstr>
      <vt:lpstr>calc_geoscope_int_int_hashtag</vt:lpstr>
      <vt:lpstr>calc_geoscope_int_int_perc_hashtag</vt:lpstr>
      <vt:lpstr>calc_geoscope_int_nat</vt:lpstr>
      <vt:lpstr>calc_geoscope_int_nat_perc</vt:lpstr>
      <vt:lpstr>calc_geoscope_int_perc</vt:lpstr>
      <vt:lpstr>calc_geoscope_nat</vt:lpstr>
      <vt:lpstr>calc_goods_code</vt:lpstr>
      <vt:lpstr>calc_goods_code_perc</vt:lpstr>
      <vt:lpstr>calc_goods_temperature</vt:lpstr>
      <vt:lpstr>calc_goods_theft</vt:lpstr>
      <vt:lpstr>calc_industry_code</vt:lpstr>
      <vt:lpstr>calc_inputrelevant_temperaturecontrolled</vt:lpstr>
      <vt:lpstr>calc_ipflag</vt:lpstr>
      <vt:lpstr>calc_leading_fee</vt:lpstr>
      <vt:lpstr>calc_leadingfeeflag</vt:lpstr>
      <vt:lpstr>calc_limit_general</vt:lpstr>
      <vt:lpstr>calc_limit_general_EUR</vt:lpstr>
      <vt:lpstr>calc_limit_temperaturecontrolled</vt:lpstr>
      <vt:lpstr>calc_limit_temperaturecontrolled_EUR</vt:lpstr>
      <vt:lpstr>calc_limit_transportationtype</vt:lpstr>
      <vt:lpstr>calc_limit_transportationtype_EUR</vt:lpstr>
      <vt:lpstr>calc_limitdays_storage_transport</vt:lpstr>
      <vt:lpstr>calc_llloss</vt:lpstr>
      <vt:lpstr>calc_llloss_base</vt:lpstr>
      <vt:lpstr>calc_llloss_modelled</vt:lpstr>
      <vt:lpstr>calc_lllosscount_adjbasisvaluation</vt:lpstr>
      <vt:lpstr>calc_lllosscount_adjexposure</vt:lpstr>
      <vt:lpstr>calc_lllosscount_adjgeoscope</vt:lpstr>
      <vt:lpstr>calc_lllosscount_adjgeoscope_MidMarket</vt:lpstr>
      <vt:lpstr>calc_lllosscount_adjgoods</vt:lpstr>
      <vt:lpstr>calc_lllosscount_adjgoods_singlegoods</vt:lpstr>
      <vt:lpstr>calc_lllosscount_adjindustry</vt:lpstr>
      <vt:lpstr>calc_lllosscount_adjip</vt:lpstr>
      <vt:lpstr>calc_lllosscount_adjlimit</vt:lpstr>
      <vt:lpstr>calc_lllosscount_adjpackagingtype</vt:lpstr>
      <vt:lpstr>calc_lllosscount_adjretention</vt:lpstr>
      <vt:lpstr>calc_lllosscount_adjtransportationtype</vt:lpstr>
      <vt:lpstr>calc_lllosscount_base</vt:lpstr>
      <vt:lpstr>calc_lllosscount_modelled</vt:lpstr>
      <vt:lpstr>calc_llseverity_adjbasisvaluation</vt:lpstr>
      <vt:lpstr>calc_llseverity_adjexposure</vt:lpstr>
      <vt:lpstr>calc_llseverity_adjgeoscope</vt:lpstr>
      <vt:lpstr>calc_llseverity_adjgeoscope_MidMarket</vt:lpstr>
      <vt:lpstr>calc_llseverity_adjgoods</vt:lpstr>
      <vt:lpstr>calc_llseverity_adjgoods_singlegoods</vt:lpstr>
      <vt:lpstr>calc_llseverity_adjindustry</vt:lpstr>
      <vt:lpstr>calc_llseverity_adjip</vt:lpstr>
      <vt:lpstr>calc_llseverity_adjlimit</vt:lpstr>
      <vt:lpstr>calc_llseverity_adjpackagingtype</vt:lpstr>
      <vt:lpstr>calc_llseverity_adjretention</vt:lpstr>
      <vt:lpstr>calc_llseverity_adjtransportationtype</vt:lpstr>
      <vt:lpstr>calc_llseverity_base</vt:lpstr>
      <vt:lpstr>calc_llseverity_modelled</vt:lpstr>
      <vt:lpstr>calc_llsim_frequencymean</vt:lpstr>
      <vt:lpstr>calc_llthreshold1_transport</vt:lpstr>
      <vt:lpstr>calc_llthreshold1_transport_polcurr</vt:lpstr>
      <vt:lpstr>calc_loss</vt:lpstr>
      <vt:lpstr>calc_loss_base</vt:lpstr>
      <vt:lpstr>calc_loss_modelled</vt:lpstr>
      <vt:lpstr>calc_losscount_AAD</vt:lpstr>
      <vt:lpstr>calc_losscount_adjbasisvaluation</vt:lpstr>
      <vt:lpstr>calc_losscount_adjexposure</vt:lpstr>
      <vt:lpstr>calc_losscount_adjgeoscope</vt:lpstr>
      <vt:lpstr>calc_losscount_adjgeoscope_MidMarket</vt:lpstr>
      <vt:lpstr>calc_losscount_adjgoods</vt:lpstr>
      <vt:lpstr>calc_losscount_adjgoods_singlegoods</vt:lpstr>
      <vt:lpstr>calc_losscount_adjindustry</vt:lpstr>
      <vt:lpstr>calc_losscount_adjip</vt:lpstr>
      <vt:lpstr>calc_losscount_adjlimit</vt:lpstr>
      <vt:lpstr>calc_losscount_adjpackagingtype</vt:lpstr>
      <vt:lpstr>calc_losscount_adjretention</vt:lpstr>
      <vt:lpstr>calc_losscount_adjtransportationtype</vt:lpstr>
      <vt:lpstr>calc_losscount_adjtransportationtype_MidMarket</vt:lpstr>
      <vt:lpstr>calc_losscount_base</vt:lpstr>
      <vt:lpstr>calc_losscount_base2</vt:lpstr>
      <vt:lpstr>calc_losscount_glmresult</vt:lpstr>
      <vt:lpstr>calc_losscount_inverselogit</vt:lpstr>
      <vt:lpstr>calc_losscount_modelled</vt:lpstr>
      <vt:lpstr>calc_midmarket</vt:lpstr>
      <vt:lpstr>calc_packagingtype_adjlllosscount</vt:lpstr>
      <vt:lpstr>calc_packagingtype_adjllseverity</vt:lpstr>
      <vt:lpstr>calc_packagingtype_adjlosscount</vt:lpstr>
      <vt:lpstr>calc_packagingtype_adjseverity</vt:lpstr>
      <vt:lpstr>calc_pareto_shape_sim</vt:lpstr>
      <vt:lpstr>calc_retention_adjseverity_temperaturecontrolled</vt:lpstr>
      <vt:lpstr>calc_retention_adjseverity_transportationtype</vt:lpstr>
      <vt:lpstr>calc_retention_minvalue1_temperaturecontrolled</vt:lpstr>
      <vt:lpstr>calc_retention_minvalue1_transportationtype</vt:lpstr>
      <vt:lpstr>calc_retention_minvalue2_temperaturecontrolled</vt:lpstr>
      <vt:lpstr>calc_retention_minvalue2_transportationtype</vt:lpstr>
      <vt:lpstr>calc_retention_mvalue_temperaturecontrolled</vt:lpstr>
      <vt:lpstr>calc_retention_mvalue_transportationtype</vt:lpstr>
      <vt:lpstr>calc_RI_expenses</vt:lpstr>
      <vt:lpstr>calc_riskcountry_adjlllosscount</vt:lpstr>
      <vt:lpstr>calc_riskcountry_adjllseverity</vt:lpstr>
      <vt:lpstr>calc_riskcountry_adjlosscount</vt:lpstr>
      <vt:lpstr>calc_riskcountry_adjseverity</vt:lpstr>
      <vt:lpstr>calc_riskcountry_adjuwadjustment</vt:lpstr>
      <vt:lpstr>calc_riskcountry_code</vt:lpstr>
      <vt:lpstr>calc_riskpremium_EUR</vt:lpstr>
      <vt:lpstr>calc_riskpremium_polCur</vt:lpstr>
      <vt:lpstr>calc_severity_aad_AAD</vt:lpstr>
      <vt:lpstr>calc_severity_adjbasisvaluation</vt:lpstr>
      <vt:lpstr>calc_severity_adjexposure</vt:lpstr>
      <vt:lpstr>calc_severity_adjgeoscope</vt:lpstr>
      <vt:lpstr>calc_severity_adjgeoscope_MidMarket</vt:lpstr>
      <vt:lpstr>calc_severity_adjgoods</vt:lpstr>
      <vt:lpstr>calc_severity_adjgoods_singlegoods</vt:lpstr>
      <vt:lpstr>calc_severity_adjindustry</vt:lpstr>
      <vt:lpstr>calc_severity_adjip</vt:lpstr>
      <vt:lpstr>calc_severity_adjlimit</vt:lpstr>
      <vt:lpstr>calc_severity_adjpackagingtype</vt:lpstr>
      <vt:lpstr>calc_severity_adjretention</vt:lpstr>
      <vt:lpstr>calc_severity_adjtransportationtype</vt:lpstr>
      <vt:lpstr>calc_severity_adjtransportationtype_MidMarket</vt:lpstr>
      <vt:lpstr>calc_severity_base</vt:lpstr>
      <vt:lpstr>calc_severity_ded_AAD</vt:lpstr>
      <vt:lpstr>calc_severity_ELP_AAD</vt:lpstr>
      <vt:lpstr>calc_severity_factor_AAD</vt:lpstr>
      <vt:lpstr>calc_severity_FAD_AAD</vt:lpstr>
      <vt:lpstr>calc_severity_modelled</vt:lpstr>
      <vt:lpstr>calc_severity_mu_AAD</vt:lpstr>
      <vt:lpstr>calc_sigma</vt:lpstr>
      <vt:lpstr>calc_sigma2</vt:lpstr>
      <vt:lpstr>calc_strike_air_uwadjustment_hashtag</vt:lpstr>
      <vt:lpstr>calc_strike_countries_hastag</vt:lpstr>
      <vt:lpstr>calc_strike_landsea_uwadjustment_hashtag</vt:lpstr>
      <vt:lpstr>calc_technicalpremium_polCur</vt:lpstr>
      <vt:lpstr>calc_technicalpremium_polCur_from_ELC</vt:lpstr>
      <vt:lpstr>calc_temperaturecontrolled</vt:lpstr>
      <vt:lpstr>calc_totalloss</vt:lpstr>
      <vt:lpstr>calc_totalloss_base</vt:lpstr>
      <vt:lpstr>calc_totalloss_modelled</vt:lpstr>
      <vt:lpstr>calc_totalloss_prep_base</vt:lpstr>
      <vt:lpstr>calc_totalloss_prep_modelled</vt:lpstr>
      <vt:lpstr>calc_transportationtype</vt:lpstr>
      <vt:lpstr>calc_transportationtype_adjlllosscount</vt:lpstr>
      <vt:lpstr>calc_transportationtype_adjllseverity</vt:lpstr>
      <vt:lpstr>calc_transportationtype_adjlosscount</vt:lpstr>
      <vt:lpstr>calc_transportationtype_adjseverity</vt:lpstr>
      <vt:lpstr>calc_transportationtype_adjuwadjustment</vt:lpstr>
      <vt:lpstr>calc_transportationtype_perc</vt:lpstr>
      <vt:lpstr>calc_userTechnicalAdjustment</vt:lpstr>
      <vt:lpstr>calc_uwadjustment_adjgoods_singlegoods</vt:lpstr>
      <vt:lpstr>calc_uwadjustment_adjgoods_singlegoods_temperature</vt:lpstr>
      <vt:lpstr>calc_uwadjustment_adjgoods_singlegoods_theft</vt:lpstr>
      <vt:lpstr>calc_uwadjustments</vt:lpstr>
      <vt:lpstr>calc_volatility_loading</vt:lpstr>
      <vt:lpstr>calc_volatilityloading_polCur</vt:lpstr>
      <vt:lpstr>calc_war_air_uwadjustment_hashtag</vt:lpstr>
      <vt:lpstr>calc_war_countries_hastag</vt:lpstr>
      <vt:lpstr>calc_war_landsea_uwadjustment_hashtag</vt:lpstr>
      <vt:lpstr>Change_Stop</vt:lpstr>
      <vt:lpstr>Conditions_general</vt:lpstr>
      <vt:lpstr>Input!Druckbereich</vt:lpstr>
      <vt:lpstr>GeoEnde</vt:lpstr>
      <vt:lpstr>geoscope_Error</vt:lpstr>
      <vt:lpstr>Geoscope_int_Checkc_Sp</vt:lpstr>
      <vt:lpstr>Geoscope_int_from_1</vt:lpstr>
      <vt:lpstr>Geoscope_int_from_2</vt:lpstr>
      <vt:lpstr>Geoscope_int_from_3</vt:lpstr>
      <vt:lpstr>Geoscope_int_from_4</vt:lpstr>
      <vt:lpstr>Geoscope_int_from_5</vt:lpstr>
      <vt:lpstr>Geoscope_int_from_Sp</vt:lpstr>
      <vt:lpstr>Geoscope_int_LoadDisc_1</vt:lpstr>
      <vt:lpstr>Geoscope_int_LoadDisc_2</vt:lpstr>
      <vt:lpstr>Geoscope_int_LoadDisc_3</vt:lpstr>
      <vt:lpstr>Geoscope_int_LoadDisc_4</vt:lpstr>
      <vt:lpstr>Geoscope_int_LoadDisc_5</vt:lpstr>
      <vt:lpstr>Geoscope_int_LoadDisc_Sp</vt:lpstr>
      <vt:lpstr>Geoscope_int_Split_1</vt:lpstr>
      <vt:lpstr>Geoscope_int_Split_2</vt:lpstr>
      <vt:lpstr>Geoscope_int_Split_3</vt:lpstr>
      <vt:lpstr>Geoscope_int_Split_4</vt:lpstr>
      <vt:lpstr>Geoscope_int_Split_5</vt:lpstr>
      <vt:lpstr>Geoscope_int_Split_Sp</vt:lpstr>
      <vt:lpstr>Geoscope_int_to_1</vt:lpstr>
      <vt:lpstr>Geoscope_int_to_2</vt:lpstr>
      <vt:lpstr>Geoscope_int_to_3</vt:lpstr>
      <vt:lpstr>Geoscope_int_to_4</vt:lpstr>
      <vt:lpstr>Geoscope_int_to_5</vt:lpstr>
      <vt:lpstr>Geoscope_int_to_Sp</vt:lpstr>
      <vt:lpstr>Geoscope_int_Wegerisiko_1</vt:lpstr>
      <vt:lpstr>Geoscope_int_Wegerisiko_2</vt:lpstr>
      <vt:lpstr>Geoscope_int_Wegerisiko_3</vt:lpstr>
      <vt:lpstr>Geoscope_int_Wegerisiko_4</vt:lpstr>
      <vt:lpstr>Geoscope_int_Wegerisiko_5</vt:lpstr>
      <vt:lpstr>Geoscope_int_Wegerisiko_Sp</vt:lpstr>
      <vt:lpstr>Grundordner_Teams</vt:lpstr>
      <vt:lpstr>Grundordner_V</vt:lpstr>
      <vt:lpstr>helper_automaticSharepointSave</vt:lpstr>
      <vt:lpstr>helper_cargoTurnoverMissingButTurnoverGiven</vt:lpstr>
      <vt:lpstr>helper_countryCount_strikeAndRiot</vt:lpstr>
      <vt:lpstr>helper_countryCount_strikeAndRiot_filled</vt:lpstr>
      <vt:lpstr>helper_countryCount_war</vt:lpstr>
      <vt:lpstr>helper_countryCount_war_filled</vt:lpstr>
      <vt:lpstr>helper_geographicalScope_detailedView</vt:lpstr>
      <vt:lpstr>helper_geographicalScope_DoubleEntryErrorMessage</vt:lpstr>
      <vt:lpstr>helper_geographicalScope_DoubleEntryShowError</vt:lpstr>
      <vt:lpstr>helper_geographicalScope_filledCorrectlyBool</vt:lpstr>
      <vt:lpstr>helper_geographicalScope_filledCorrectlyErrorMessage</vt:lpstr>
      <vt:lpstr>helper_geographicalScope_filledCorrectlyShare</vt:lpstr>
      <vt:lpstr>helper_geographicalScope_filledCorrectlyShowError</vt:lpstr>
      <vt:lpstr>helper_geographicalScope_isDoubleEntry</vt:lpstr>
      <vt:lpstr>helper_geographicalScope_nationalWorldwideErrorMessage</vt:lpstr>
      <vt:lpstr>helper_geographicalScope_nationalWorldwideShowError</vt:lpstr>
      <vt:lpstr>helper_geographicalScope_nationalWorldwideSplit</vt:lpstr>
      <vt:lpstr>helper_geoScopeCount</vt:lpstr>
      <vt:lpstr>helper_isPublished</vt:lpstr>
      <vt:lpstr>helper_strikeAndRiotStopper</vt:lpstr>
      <vt:lpstr>helper_technicalAdjustmentFirstAdjustment</vt:lpstr>
      <vt:lpstr>helper_technicalAdjustmentStopper</vt:lpstr>
      <vt:lpstr>helper_TransportationType_splitAvailable</vt:lpstr>
      <vt:lpstr>helper_typeOfGoods_filledCorrectlyShare</vt:lpstr>
      <vt:lpstr>helper_warStopper</vt:lpstr>
      <vt:lpstr>KundeZ</vt:lpstr>
      <vt:lpstr>LIMIT_LIABILITY_ORIG_L</vt:lpstr>
      <vt:lpstr>ListenName_1_R</vt:lpstr>
      <vt:lpstr>ListenName_2_R</vt:lpstr>
      <vt:lpstr>ListenName_3_R</vt:lpstr>
      <vt:lpstr>result_expectedloss_total</vt:lpstr>
      <vt:lpstr>Sp_AVG_VALUE_ORIG</vt:lpstr>
      <vt:lpstr>Sp_CURRENCY_ORIG</vt:lpstr>
      <vt:lpstr>Sp_ID_ORIG</vt:lpstr>
      <vt:lpstr>Sp_LIMIT_LIABILITY_ORIG</vt:lpstr>
      <vt:lpstr>Sp_NAME</vt:lpstr>
      <vt:lpstr>SubClass_Gesamtliste</vt:lpstr>
      <vt:lpstr>transportationtype_Error</vt:lpstr>
      <vt:lpstr>Type_of_goods_1</vt:lpstr>
      <vt:lpstr>Type_of_goods_2</vt:lpstr>
      <vt:lpstr>Type_of_goods_3</vt:lpstr>
      <vt:lpstr>Type_of_goods_D</vt:lpstr>
      <vt:lpstr>Type_of_goods_filled_1</vt:lpstr>
      <vt:lpstr>Type_of_goods_filled_2</vt:lpstr>
      <vt:lpstr>Type_of_goods_filled_3</vt:lpstr>
      <vt:lpstr>Type_of_goods_filled_all</vt:lpstr>
      <vt:lpstr>Type_Of_Goods_Manual</vt:lpstr>
      <vt:lpstr>UWAdjustments_reasoning</vt:lpstr>
      <vt:lpstr>UWWB_geoscope_adjustment_1</vt:lpstr>
      <vt:lpstr>UWWB_geoscope_adjustment_2</vt:lpstr>
      <vt:lpstr>UWWB_geoscope_adjustment_3</vt:lpstr>
      <vt:lpstr>UWWB_geoscope_from_1</vt:lpstr>
      <vt:lpstr>UWWB_geoscope_from_2</vt:lpstr>
      <vt:lpstr>UWWB_geoscope_from_3</vt:lpstr>
      <vt:lpstr>UWWB_geoscope_share_1</vt:lpstr>
      <vt:lpstr>UWWB_geoscope_share_2</vt:lpstr>
      <vt:lpstr>UWWB_geoscope_share_3</vt:lpstr>
      <vt:lpstr>UWWB_geoscope_to_1</vt:lpstr>
      <vt:lpstr>UWWB_geoscope_to_2</vt:lpstr>
      <vt:lpstr>UWWB_geoscope_to_3</vt:lpstr>
      <vt:lpstr>UWWB_producingOffice</vt:lpstr>
      <vt:lpstr>version_number</vt:lpstr>
      <vt:lpstr>zzInt_BV_Currency</vt:lpstr>
      <vt:lpstr>zzInt_BV_Exposure_value</vt:lpstr>
      <vt:lpstr>zzInt_BV_International_Program</vt:lpstr>
      <vt:lpstr>zzInt_BV_Lines_of_Business</vt:lpstr>
      <vt:lpstr>zzInt_BV_NAICS</vt:lpstr>
      <vt:lpstr>zzInt_BV_Pricing_Method</vt:lpstr>
      <vt:lpstr>zzInt_BV_Product</vt:lpstr>
      <vt:lpstr>zzInt_BV_Stat_Code_NACE_Code</vt:lpstr>
      <vt:lpstr>zzInt_BV_Type_of_exposure</vt:lpstr>
    </vt:vector>
  </TitlesOfParts>
  <Manager/>
  <Company>Talanx</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Sina Dahms</dc:creator>
  <cp:keywords/>
  <dc:description/>
  <cp:lastModifiedBy>Göblmeier, Julia (Ext.)</cp:lastModifiedBy>
  <cp:revision/>
  <cp:lastPrinted>2026-03-02T17:12:14Z</cp:lastPrinted>
  <dcterms:created xsi:type="dcterms:W3CDTF">2020-03-04T14:32:47Z</dcterms:created>
  <dcterms:modified xsi:type="dcterms:W3CDTF">2026-05-20T14:38:35Z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0x010100CF60C58D7B476448BA8AFEBE2A8FECC9</vt:lpwstr>
  </property>
  <property fmtid="{D5CDD505-2E9C-101B-9397-08002B2CF9AE}" pid="3" name="MediaServiceImageTags">
    <vt:lpwstr/>
  </property>
  <property fmtid="{D5CDD505-2E9C-101B-9397-08002B2CF9AE}" pid="4" name="MSIP_Label_ef6012af-2a82-4081-9703-6dfaea38352b_Enabled">
    <vt:lpwstr>true</vt:lpwstr>
  </property>
  <property fmtid="{D5CDD505-2E9C-101B-9397-08002B2CF9AE}" pid="5" name="MSIP_Label_ef6012af-2a82-4081-9703-6dfaea38352b_SetDate">
    <vt:lpwstr>2024-10-09T15:33:37Z</vt:lpwstr>
  </property>
  <property fmtid="{D5CDD505-2E9C-101B-9397-08002B2CF9AE}" pid="6" name="MSIP_Label_ef6012af-2a82-4081-9703-6dfaea38352b_Method">
    <vt:lpwstr>Standard</vt:lpwstr>
  </property>
  <property fmtid="{D5CDD505-2E9C-101B-9397-08002B2CF9AE}" pid="7" name="MSIP_Label_ef6012af-2a82-4081-9703-6dfaea38352b_Name">
    <vt:lpwstr>Confidential</vt:lpwstr>
  </property>
  <property fmtid="{D5CDD505-2E9C-101B-9397-08002B2CF9AE}" pid="8" name="MSIP_Label_ef6012af-2a82-4081-9703-6dfaea38352b_SiteId">
    <vt:lpwstr>40b97eb8-0e2a-4b10-9e5d-5e3d18532f01</vt:lpwstr>
  </property>
  <property fmtid="{D5CDD505-2E9C-101B-9397-08002B2CF9AE}" pid="9" name="MSIP_Label_ef6012af-2a82-4081-9703-6dfaea38352b_ActionId">
    <vt:lpwstr>331db976-933a-4408-87bc-c13c21c4a62e</vt:lpwstr>
  </property>
  <property fmtid="{D5CDD505-2E9C-101B-9397-08002B2CF9AE}" pid="10" name="MSIP_Label_ef6012af-2a82-4081-9703-6dfaea38352b_ContentBits">
    <vt:lpwstr>0</vt:lpwstr>
  </property>
</Properties>
</file>